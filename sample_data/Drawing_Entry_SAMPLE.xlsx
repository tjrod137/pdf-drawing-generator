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Ref_File\"/>
    </mc:Choice>
  </mc:AlternateContent>
  <xr:revisionPtr revIDLastSave="0" documentId="13_ncr:1_{4B792BD6-3D80-47C7-83FB-BBE4692BEAB7}" xr6:coauthVersionLast="47" xr6:coauthVersionMax="47" xr10:uidLastSave="{00000000-0000-0000-0000-000000000000}"/>
  <bookViews>
    <workbookView xWindow="-120" yWindow="-120" windowWidth="29040" windowHeight="15840" activeTab="1" xr2:uid="{42E3AE8C-EB8E-40CB-8A78-A30F56DDBEEA}"/>
  </bookViews>
  <sheets>
    <sheet name="Sheet1" sheetId="1" r:id="rId1"/>
    <sheet name="Sheet2" sheetId="2" r:id="rId2"/>
    <sheet name="Sheet1 (2)" sheetId="5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2" l="1"/>
  <c r="I9" i="2"/>
  <c r="J9" i="2"/>
  <c r="K9" i="2"/>
  <c r="L9" i="2"/>
  <c r="N9" i="2"/>
  <c r="O9" i="2"/>
  <c r="P9" i="2"/>
  <c r="H10" i="2"/>
  <c r="I10" i="2"/>
  <c r="J10" i="2"/>
  <c r="K10" i="2"/>
  <c r="L10" i="2"/>
  <c r="N10" i="2"/>
  <c r="O10" i="2"/>
  <c r="P10" i="2"/>
  <c r="H11" i="2"/>
  <c r="I11" i="2"/>
  <c r="J11" i="2"/>
  <c r="K11" i="2"/>
  <c r="L11" i="2"/>
  <c r="N11" i="2"/>
  <c r="O11" i="2"/>
  <c r="P11" i="2"/>
  <c r="H12" i="2"/>
  <c r="I12" i="2"/>
  <c r="J12" i="2"/>
  <c r="K12" i="2"/>
  <c r="L12" i="2"/>
  <c r="N12" i="2"/>
  <c r="O12" i="2"/>
  <c r="P12" i="2"/>
  <c r="H13" i="2"/>
  <c r="I13" i="2"/>
  <c r="J13" i="2"/>
  <c r="K13" i="2"/>
  <c r="L13" i="2"/>
  <c r="N13" i="2"/>
  <c r="O13" i="2"/>
  <c r="P13" i="2"/>
  <c r="H14" i="2"/>
  <c r="I14" i="2"/>
  <c r="J14" i="2"/>
  <c r="K14" i="2"/>
  <c r="L14" i="2"/>
  <c r="N14" i="2"/>
  <c r="O14" i="2"/>
  <c r="P14" i="2"/>
  <c r="H15" i="2"/>
  <c r="I15" i="2"/>
  <c r="J15" i="2"/>
  <c r="K15" i="2"/>
  <c r="L15" i="2"/>
  <c r="N15" i="2"/>
  <c r="O15" i="2"/>
  <c r="P15" i="2"/>
  <c r="H16" i="2"/>
  <c r="I16" i="2"/>
  <c r="J16" i="2"/>
  <c r="K16" i="2"/>
  <c r="L16" i="2"/>
  <c r="N16" i="2"/>
  <c r="O16" i="2"/>
  <c r="P16" i="2"/>
  <c r="H17" i="2"/>
  <c r="I17" i="2"/>
  <c r="J17" i="2"/>
  <c r="K17" i="2"/>
  <c r="L17" i="2"/>
  <c r="N17" i="2"/>
  <c r="O17" i="2"/>
  <c r="P17" i="2"/>
  <c r="H18" i="2"/>
  <c r="I18" i="2"/>
  <c r="J18" i="2"/>
  <c r="K18" i="2"/>
  <c r="L18" i="2"/>
  <c r="N18" i="2"/>
  <c r="O18" i="2"/>
  <c r="P18" i="2"/>
  <c r="H19" i="2"/>
  <c r="I19" i="2"/>
  <c r="J19" i="2"/>
  <c r="K19" i="2"/>
  <c r="L19" i="2"/>
  <c r="N19" i="2"/>
  <c r="O19" i="2"/>
  <c r="P19" i="2"/>
  <c r="H20" i="2"/>
  <c r="I20" i="2"/>
  <c r="J20" i="2"/>
  <c r="K20" i="2"/>
  <c r="L20" i="2"/>
  <c r="N20" i="2"/>
  <c r="O20" i="2"/>
  <c r="P20" i="2"/>
  <c r="H21" i="2"/>
  <c r="I21" i="2"/>
  <c r="J21" i="2"/>
  <c r="K21" i="2"/>
  <c r="L21" i="2"/>
  <c r="N21" i="2"/>
  <c r="O21" i="2"/>
  <c r="P21" i="2"/>
  <c r="H22" i="2"/>
  <c r="I22" i="2"/>
  <c r="J22" i="2"/>
  <c r="K22" i="2"/>
  <c r="L22" i="2"/>
  <c r="N22" i="2"/>
  <c r="O22" i="2"/>
  <c r="P22" i="2"/>
  <c r="H23" i="2"/>
  <c r="I23" i="2"/>
  <c r="J23" i="2"/>
  <c r="K23" i="2"/>
  <c r="L23" i="2"/>
  <c r="N23" i="2"/>
  <c r="O23" i="2"/>
  <c r="P23" i="2"/>
  <c r="H24" i="2"/>
  <c r="I24" i="2"/>
  <c r="J24" i="2"/>
  <c r="K24" i="2"/>
  <c r="L24" i="2"/>
  <c r="N24" i="2"/>
  <c r="O24" i="2"/>
  <c r="P24" i="2"/>
  <c r="O8" i="2"/>
  <c r="N8" i="2"/>
  <c r="H8" i="2"/>
  <c r="K8" i="2" s="1"/>
  <c r="O7" i="2"/>
  <c r="N7" i="2"/>
  <c r="H7" i="2"/>
  <c r="K7" i="2" s="1"/>
  <c r="O6" i="2"/>
  <c r="N6" i="2"/>
  <c r="H6" i="2"/>
  <c r="K6" i="2" s="1"/>
  <c r="O5" i="2"/>
  <c r="N5" i="2"/>
  <c r="H5" i="2"/>
  <c r="K5" i="2" s="1"/>
  <c r="O4" i="2"/>
  <c r="N4" i="2"/>
  <c r="H4" i="2"/>
  <c r="K4" i="2" s="1"/>
  <c r="O3" i="2"/>
  <c r="N3" i="2"/>
  <c r="H3" i="2"/>
  <c r="K3" i="2" s="1"/>
  <c r="O2" i="2"/>
  <c r="N2" i="2"/>
  <c r="H2" i="2"/>
  <c r="K2" i="2" s="1"/>
  <c r="G6" i="1"/>
  <c r="G7" i="1"/>
  <c r="J2" i="2" l="1"/>
  <c r="L2" i="2"/>
  <c r="J6" i="2"/>
  <c r="L6" i="2"/>
  <c r="J7" i="2"/>
  <c r="L7" i="2"/>
  <c r="J8" i="2"/>
  <c r="L8" i="2"/>
  <c r="J3" i="2"/>
  <c r="L3" i="2"/>
  <c r="J4" i="2"/>
  <c r="L4" i="2"/>
  <c r="J5" i="2"/>
  <c r="L5" i="2"/>
  <c r="I2" i="2"/>
  <c r="I3" i="2"/>
  <c r="I4" i="2"/>
  <c r="I5" i="2"/>
  <c r="I6" i="2"/>
  <c r="I7" i="2"/>
  <c r="I8" i="2"/>
  <c r="X400" i="1" l="1"/>
  <c r="U400" i="1" a="1"/>
  <c r="U400" i="1" s="1"/>
  <c r="T400" i="1"/>
  <c r="P400" i="1"/>
  <c r="Q400" i="1" s="1" a="1"/>
  <c r="Q400" i="1" s="1"/>
  <c r="O400" i="1"/>
  <c r="L400" i="1"/>
  <c r="I400" i="1"/>
  <c r="H400" i="1"/>
  <c r="G400" i="1"/>
  <c r="X399" i="1"/>
  <c r="U399" i="1" a="1"/>
  <c r="U399" i="1" s="1"/>
  <c r="T399" i="1"/>
  <c r="P399" i="1"/>
  <c r="Q399" i="1" s="1" a="1"/>
  <c r="Q399" i="1" s="1"/>
  <c r="O399" i="1"/>
  <c r="L399" i="1"/>
  <c r="I399" i="1"/>
  <c r="H399" i="1"/>
  <c r="G399" i="1"/>
  <c r="X398" i="1"/>
  <c r="U398" i="1" a="1"/>
  <c r="U398" i="1" s="1"/>
  <c r="T398" i="1"/>
  <c r="P398" i="1"/>
  <c r="Q398" i="1" s="1" a="1"/>
  <c r="Q398" i="1" s="1"/>
  <c r="O398" i="1"/>
  <c r="L398" i="1"/>
  <c r="I398" i="1"/>
  <c r="H398" i="1"/>
  <c r="G398" i="1"/>
  <c r="X397" i="1"/>
  <c r="U397" i="1" a="1"/>
  <c r="U397" i="1" s="1"/>
  <c r="T397" i="1"/>
  <c r="P397" i="1"/>
  <c r="Q397" i="1" s="1" a="1"/>
  <c r="Q397" i="1" s="1"/>
  <c r="O397" i="1"/>
  <c r="L397" i="1"/>
  <c r="I397" i="1"/>
  <c r="H397" i="1"/>
  <c r="G397" i="1"/>
  <c r="X396" i="1"/>
  <c r="U396" i="1" a="1"/>
  <c r="U396" i="1" s="1"/>
  <c r="T396" i="1"/>
  <c r="P396" i="1"/>
  <c r="Q396" i="1" s="1" a="1"/>
  <c r="Q396" i="1" s="1"/>
  <c r="O396" i="1"/>
  <c r="L396" i="1"/>
  <c r="I396" i="1"/>
  <c r="H396" i="1"/>
  <c r="G396" i="1"/>
  <c r="X395" i="1"/>
  <c r="U395" i="1" a="1"/>
  <c r="U395" i="1" s="1"/>
  <c r="T395" i="1"/>
  <c r="P395" i="1"/>
  <c r="Q395" i="1" s="1" a="1"/>
  <c r="Q395" i="1" s="1"/>
  <c r="O395" i="1"/>
  <c r="L395" i="1"/>
  <c r="I395" i="1"/>
  <c r="H395" i="1"/>
  <c r="G395" i="1"/>
  <c r="X394" i="1"/>
  <c r="U394" i="1" a="1"/>
  <c r="U394" i="1" s="1"/>
  <c r="T394" i="1"/>
  <c r="P394" i="1"/>
  <c r="Q394" i="1" s="1" a="1"/>
  <c r="Q394" i="1" s="1"/>
  <c r="O394" i="1"/>
  <c r="L394" i="1"/>
  <c r="I394" i="1"/>
  <c r="H394" i="1"/>
  <c r="G394" i="1"/>
  <c r="X393" i="1"/>
  <c r="U393" i="1" a="1"/>
  <c r="U393" i="1" s="1"/>
  <c r="T393" i="1"/>
  <c r="P393" i="1"/>
  <c r="Q393" i="1" s="1" a="1"/>
  <c r="Q393" i="1" s="1"/>
  <c r="O393" i="1"/>
  <c r="L393" i="1"/>
  <c r="I393" i="1"/>
  <c r="H393" i="1"/>
  <c r="G393" i="1"/>
  <c r="X392" i="1"/>
  <c r="U392" i="1" a="1"/>
  <c r="U392" i="1" s="1"/>
  <c r="T392" i="1"/>
  <c r="P392" i="1"/>
  <c r="Q392" i="1" s="1" a="1"/>
  <c r="Q392" i="1" s="1"/>
  <c r="O392" i="1"/>
  <c r="L392" i="1"/>
  <c r="I392" i="1"/>
  <c r="H392" i="1"/>
  <c r="G392" i="1"/>
  <c r="X391" i="1"/>
  <c r="U391" i="1" a="1"/>
  <c r="U391" i="1" s="1"/>
  <c r="T391" i="1"/>
  <c r="P391" i="1"/>
  <c r="Q391" i="1" s="1" a="1"/>
  <c r="Q391" i="1" s="1"/>
  <c r="O391" i="1"/>
  <c r="L391" i="1"/>
  <c r="I391" i="1"/>
  <c r="H391" i="1"/>
  <c r="G391" i="1"/>
  <c r="X390" i="1"/>
  <c r="T390" i="1"/>
  <c r="U390" i="1" s="1" a="1"/>
  <c r="U390" i="1" s="1"/>
  <c r="P390" i="1"/>
  <c r="Q390" i="1" s="1" a="1"/>
  <c r="Q390" i="1" s="1"/>
  <c r="O390" i="1"/>
  <c r="L390" i="1"/>
  <c r="I390" i="1"/>
  <c r="H390" i="1"/>
  <c r="G390" i="1"/>
  <c r="X389" i="1"/>
  <c r="T389" i="1"/>
  <c r="U389" i="1" s="1" a="1"/>
  <c r="U389" i="1" s="1"/>
  <c r="Q389" i="1" a="1"/>
  <c r="Q389" i="1" s="1"/>
  <c r="P389" i="1"/>
  <c r="O389" i="1"/>
  <c r="L389" i="1"/>
  <c r="I389" i="1"/>
  <c r="H389" i="1"/>
  <c r="G389" i="1"/>
  <c r="X388" i="1"/>
  <c r="T388" i="1"/>
  <c r="U388" i="1" s="1" a="1"/>
  <c r="U388" i="1" s="1"/>
  <c r="Q388" i="1" a="1"/>
  <c r="Q388" i="1" s="1"/>
  <c r="P388" i="1"/>
  <c r="O388" i="1"/>
  <c r="L388" i="1"/>
  <c r="I388" i="1"/>
  <c r="H388" i="1"/>
  <c r="G388" i="1"/>
  <c r="X387" i="1"/>
  <c r="T387" i="1"/>
  <c r="U387" i="1" s="1" a="1"/>
  <c r="U387" i="1" s="1"/>
  <c r="Q387" i="1" a="1"/>
  <c r="Q387" i="1" s="1"/>
  <c r="P387" i="1"/>
  <c r="O387" i="1"/>
  <c r="L387" i="1"/>
  <c r="I387" i="1"/>
  <c r="H387" i="1"/>
  <c r="G387" i="1"/>
  <c r="X386" i="1"/>
  <c r="T386" i="1"/>
  <c r="U386" i="1" s="1" a="1"/>
  <c r="U386" i="1" s="1"/>
  <c r="Q386" i="1" a="1"/>
  <c r="Q386" i="1" s="1"/>
  <c r="P386" i="1"/>
  <c r="O386" i="1"/>
  <c r="L386" i="1"/>
  <c r="I386" i="1"/>
  <c r="H386" i="1"/>
  <c r="G386" i="1"/>
  <c r="X385" i="1"/>
  <c r="T385" i="1"/>
  <c r="U385" i="1" s="1" a="1"/>
  <c r="U385" i="1" s="1"/>
  <c r="Q385" i="1" a="1"/>
  <c r="Q385" i="1" s="1"/>
  <c r="P385" i="1"/>
  <c r="O385" i="1"/>
  <c r="L385" i="1"/>
  <c r="I385" i="1"/>
  <c r="H385" i="1"/>
  <c r="G385" i="1"/>
  <c r="X384" i="1"/>
  <c r="T384" i="1"/>
  <c r="U384" i="1" s="1" a="1"/>
  <c r="U384" i="1" s="1"/>
  <c r="Q384" i="1" a="1"/>
  <c r="Q384" i="1" s="1"/>
  <c r="P384" i="1"/>
  <c r="O384" i="1"/>
  <c r="L384" i="1"/>
  <c r="I384" i="1"/>
  <c r="H384" i="1"/>
  <c r="G384" i="1"/>
  <c r="X383" i="1"/>
  <c r="T383" i="1"/>
  <c r="U383" i="1" s="1" a="1"/>
  <c r="U383" i="1" s="1"/>
  <c r="Q383" i="1" a="1"/>
  <c r="Q383" i="1" s="1"/>
  <c r="P383" i="1"/>
  <c r="O383" i="1"/>
  <c r="L383" i="1"/>
  <c r="I383" i="1"/>
  <c r="H383" i="1"/>
  <c r="G383" i="1"/>
  <c r="X382" i="1"/>
  <c r="T382" i="1"/>
  <c r="U382" i="1" s="1" a="1"/>
  <c r="U382" i="1" s="1"/>
  <c r="Q382" i="1" a="1"/>
  <c r="Q382" i="1" s="1"/>
  <c r="P382" i="1"/>
  <c r="O382" i="1"/>
  <c r="L382" i="1"/>
  <c r="I382" i="1"/>
  <c r="H382" i="1"/>
  <c r="G382" i="1"/>
  <c r="X381" i="1"/>
  <c r="T381" i="1"/>
  <c r="U381" i="1" s="1" a="1"/>
  <c r="U381" i="1" s="1"/>
  <c r="Q381" i="1" a="1"/>
  <c r="Q381" i="1" s="1"/>
  <c r="P381" i="1"/>
  <c r="O381" i="1"/>
  <c r="L381" i="1"/>
  <c r="I381" i="1"/>
  <c r="H381" i="1"/>
  <c r="G381" i="1"/>
  <c r="X380" i="1"/>
  <c r="T380" i="1"/>
  <c r="U380" i="1" s="1" a="1"/>
  <c r="U380" i="1" s="1"/>
  <c r="Q380" i="1" a="1"/>
  <c r="Q380" i="1" s="1"/>
  <c r="P380" i="1"/>
  <c r="O380" i="1"/>
  <c r="L380" i="1"/>
  <c r="I380" i="1"/>
  <c r="H380" i="1"/>
  <c r="G380" i="1"/>
  <c r="X379" i="1"/>
  <c r="T379" i="1"/>
  <c r="U379" i="1" s="1" a="1"/>
  <c r="U379" i="1" s="1"/>
  <c r="Q379" i="1" a="1"/>
  <c r="Q379" i="1" s="1"/>
  <c r="P379" i="1"/>
  <c r="O379" i="1"/>
  <c r="L379" i="1"/>
  <c r="I379" i="1"/>
  <c r="H379" i="1"/>
  <c r="G379" i="1"/>
  <c r="X378" i="1"/>
  <c r="T378" i="1"/>
  <c r="U378" i="1" s="1" a="1"/>
  <c r="U378" i="1" s="1"/>
  <c r="Q378" i="1" a="1"/>
  <c r="Q378" i="1" s="1"/>
  <c r="P378" i="1"/>
  <c r="O378" i="1"/>
  <c r="L378" i="1"/>
  <c r="I378" i="1"/>
  <c r="H378" i="1"/>
  <c r="G378" i="1"/>
  <c r="X377" i="1"/>
  <c r="T377" i="1"/>
  <c r="U377" i="1" s="1" a="1"/>
  <c r="U377" i="1" s="1"/>
  <c r="Q377" i="1" a="1"/>
  <c r="Q377" i="1" s="1"/>
  <c r="P377" i="1"/>
  <c r="O377" i="1"/>
  <c r="L377" i="1"/>
  <c r="I377" i="1"/>
  <c r="H377" i="1"/>
  <c r="G377" i="1"/>
  <c r="X376" i="1"/>
  <c r="T376" i="1"/>
  <c r="U376" i="1" s="1" a="1"/>
  <c r="U376" i="1" s="1"/>
  <c r="Q376" i="1" a="1"/>
  <c r="Q376" i="1" s="1"/>
  <c r="P376" i="1"/>
  <c r="O376" i="1"/>
  <c r="L376" i="1"/>
  <c r="I376" i="1"/>
  <c r="H376" i="1"/>
  <c r="G376" i="1"/>
  <c r="X375" i="1"/>
  <c r="T375" i="1"/>
  <c r="U375" i="1" s="1" a="1"/>
  <c r="U375" i="1" s="1"/>
  <c r="Q375" i="1" a="1"/>
  <c r="Q375" i="1" s="1"/>
  <c r="P375" i="1"/>
  <c r="O375" i="1"/>
  <c r="L375" i="1"/>
  <c r="I375" i="1"/>
  <c r="H375" i="1"/>
  <c r="G375" i="1"/>
  <c r="X374" i="1"/>
  <c r="T374" i="1"/>
  <c r="U374" i="1" s="1" a="1"/>
  <c r="U374" i="1" s="1"/>
  <c r="Q374" i="1" a="1"/>
  <c r="Q374" i="1" s="1"/>
  <c r="P374" i="1"/>
  <c r="O374" i="1"/>
  <c r="L374" i="1"/>
  <c r="I374" i="1"/>
  <c r="H374" i="1"/>
  <c r="G374" i="1"/>
  <c r="X373" i="1"/>
  <c r="T373" i="1"/>
  <c r="U373" i="1" s="1" a="1"/>
  <c r="U373" i="1" s="1"/>
  <c r="Q373" i="1" a="1"/>
  <c r="Q373" i="1" s="1"/>
  <c r="P373" i="1"/>
  <c r="O373" i="1"/>
  <c r="L373" i="1"/>
  <c r="I373" i="1"/>
  <c r="H373" i="1"/>
  <c r="G373" i="1"/>
  <c r="X372" i="1"/>
  <c r="T372" i="1"/>
  <c r="U372" i="1" s="1" a="1"/>
  <c r="U372" i="1" s="1"/>
  <c r="Q372" i="1" a="1"/>
  <c r="Q372" i="1" s="1"/>
  <c r="P372" i="1"/>
  <c r="O372" i="1"/>
  <c r="L372" i="1"/>
  <c r="I372" i="1"/>
  <c r="H372" i="1"/>
  <c r="G372" i="1"/>
  <c r="X371" i="1"/>
  <c r="T371" i="1"/>
  <c r="U371" i="1" s="1" a="1"/>
  <c r="U371" i="1" s="1"/>
  <c r="Q371" i="1" a="1"/>
  <c r="Q371" i="1" s="1"/>
  <c r="P371" i="1"/>
  <c r="O371" i="1"/>
  <c r="L371" i="1"/>
  <c r="I371" i="1"/>
  <c r="H371" i="1"/>
  <c r="G371" i="1"/>
  <c r="X370" i="1"/>
  <c r="T370" i="1"/>
  <c r="U370" i="1" s="1" a="1"/>
  <c r="U370" i="1" s="1"/>
  <c r="Q370" i="1" a="1"/>
  <c r="Q370" i="1" s="1"/>
  <c r="P370" i="1"/>
  <c r="O370" i="1"/>
  <c r="L370" i="1"/>
  <c r="I370" i="1"/>
  <c r="H370" i="1"/>
  <c r="G370" i="1"/>
  <c r="X369" i="1"/>
  <c r="T369" i="1"/>
  <c r="U369" i="1" s="1" a="1"/>
  <c r="U369" i="1" s="1"/>
  <c r="Q369" i="1" a="1"/>
  <c r="Q369" i="1" s="1"/>
  <c r="P369" i="1"/>
  <c r="O369" i="1"/>
  <c r="L369" i="1"/>
  <c r="I369" i="1"/>
  <c r="H369" i="1"/>
  <c r="G369" i="1"/>
  <c r="X368" i="1"/>
  <c r="T368" i="1"/>
  <c r="U368" i="1" s="1" a="1"/>
  <c r="U368" i="1" s="1"/>
  <c r="Q368" i="1" a="1"/>
  <c r="Q368" i="1" s="1"/>
  <c r="P368" i="1"/>
  <c r="O368" i="1"/>
  <c r="L368" i="1"/>
  <c r="I368" i="1"/>
  <c r="H368" i="1"/>
  <c r="G368" i="1"/>
  <c r="X367" i="1"/>
  <c r="T367" i="1"/>
  <c r="U367" i="1" s="1" a="1"/>
  <c r="U367" i="1" s="1"/>
  <c r="Q367" i="1" a="1"/>
  <c r="Q367" i="1" s="1"/>
  <c r="P367" i="1"/>
  <c r="O367" i="1"/>
  <c r="L367" i="1"/>
  <c r="I367" i="1"/>
  <c r="H367" i="1"/>
  <c r="G367" i="1"/>
  <c r="X366" i="1"/>
  <c r="T366" i="1"/>
  <c r="U366" i="1" s="1" a="1"/>
  <c r="U366" i="1" s="1"/>
  <c r="Q366" i="1" a="1"/>
  <c r="Q366" i="1" s="1"/>
  <c r="P366" i="1"/>
  <c r="O366" i="1"/>
  <c r="L366" i="1"/>
  <c r="I366" i="1"/>
  <c r="H366" i="1"/>
  <c r="G366" i="1"/>
  <c r="X365" i="1"/>
  <c r="T365" i="1"/>
  <c r="U365" i="1" s="1" a="1"/>
  <c r="U365" i="1" s="1"/>
  <c r="Q365" i="1" a="1"/>
  <c r="Q365" i="1" s="1"/>
  <c r="P365" i="1"/>
  <c r="O365" i="1"/>
  <c r="L365" i="1"/>
  <c r="I365" i="1"/>
  <c r="H365" i="1"/>
  <c r="G365" i="1"/>
  <c r="X364" i="1"/>
  <c r="T364" i="1"/>
  <c r="U364" i="1" s="1" a="1"/>
  <c r="U364" i="1" s="1"/>
  <c r="Q364" i="1" a="1"/>
  <c r="Q364" i="1" s="1"/>
  <c r="P364" i="1"/>
  <c r="O364" i="1"/>
  <c r="L364" i="1"/>
  <c r="I364" i="1"/>
  <c r="H364" i="1"/>
  <c r="G364" i="1"/>
  <c r="X363" i="1"/>
  <c r="T363" i="1"/>
  <c r="U363" i="1" s="1" a="1"/>
  <c r="U363" i="1" s="1"/>
  <c r="Q363" i="1" a="1"/>
  <c r="Q363" i="1" s="1"/>
  <c r="P363" i="1"/>
  <c r="O363" i="1"/>
  <c r="L363" i="1"/>
  <c r="I363" i="1"/>
  <c r="H363" i="1"/>
  <c r="G363" i="1"/>
  <c r="X362" i="1"/>
  <c r="T362" i="1"/>
  <c r="U362" i="1" s="1" a="1"/>
  <c r="U362" i="1" s="1"/>
  <c r="Q362" i="1" a="1"/>
  <c r="Q362" i="1" s="1"/>
  <c r="P362" i="1"/>
  <c r="O362" i="1"/>
  <c r="L362" i="1"/>
  <c r="I362" i="1"/>
  <c r="H362" i="1"/>
  <c r="G362" i="1"/>
  <c r="X361" i="1"/>
  <c r="T361" i="1"/>
  <c r="U361" i="1" s="1" a="1"/>
  <c r="U361" i="1" s="1"/>
  <c r="Q361" i="1" a="1"/>
  <c r="Q361" i="1" s="1"/>
  <c r="P361" i="1"/>
  <c r="O361" i="1"/>
  <c r="L361" i="1"/>
  <c r="I361" i="1"/>
  <c r="H361" i="1"/>
  <c r="G361" i="1"/>
  <c r="X360" i="1"/>
  <c r="T360" i="1"/>
  <c r="U360" i="1" s="1" a="1"/>
  <c r="U360" i="1" s="1"/>
  <c r="Q360" i="1" a="1"/>
  <c r="Q360" i="1" s="1"/>
  <c r="P360" i="1"/>
  <c r="O360" i="1"/>
  <c r="L360" i="1"/>
  <c r="I360" i="1"/>
  <c r="H360" i="1"/>
  <c r="G360" i="1"/>
  <c r="X359" i="1"/>
  <c r="T359" i="1"/>
  <c r="U359" i="1" s="1" a="1"/>
  <c r="U359" i="1" s="1"/>
  <c r="Q359" i="1" a="1"/>
  <c r="Q359" i="1" s="1"/>
  <c r="P359" i="1"/>
  <c r="O359" i="1"/>
  <c r="L359" i="1"/>
  <c r="I359" i="1"/>
  <c r="H359" i="1"/>
  <c r="G359" i="1"/>
  <c r="X358" i="1"/>
  <c r="T358" i="1"/>
  <c r="U358" i="1" s="1" a="1"/>
  <c r="U358" i="1" s="1"/>
  <c r="Q358" i="1" a="1"/>
  <c r="Q358" i="1" s="1"/>
  <c r="P358" i="1"/>
  <c r="O358" i="1"/>
  <c r="L358" i="1"/>
  <c r="I358" i="1"/>
  <c r="H358" i="1"/>
  <c r="G358" i="1"/>
  <c r="X357" i="1"/>
  <c r="T357" i="1"/>
  <c r="U357" i="1" s="1" a="1"/>
  <c r="U357" i="1" s="1"/>
  <c r="Q357" i="1" a="1"/>
  <c r="Q357" i="1" s="1"/>
  <c r="P357" i="1"/>
  <c r="O357" i="1"/>
  <c r="L357" i="1"/>
  <c r="I357" i="1"/>
  <c r="H357" i="1"/>
  <c r="G357" i="1"/>
  <c r="X356" i="1"/>
  <c r="T356" i="1"/>
  <c r="U356" i="1" s="1" a="1"/>
  <c r="U356" i="1" s="1"/>
  <c r="Q356" i="1" a="1"/>
  <c r="Q356" i="1" s="1"/>
  <c r="P356" i="1"/>
  <c r="O356" i="1"/>
  <c r="L356" i="1"/>
  <c r="I356" i="1"/>
  <c r="H356" i="1"/>
  <c r="G356" i="1"/>
  <c r="X355" i="1"/>
  <c r="T355" i="1"/>
  <c r="U355" i="1" s="1" a="1"/>
  <c r="U355" i="1" s="1"/>
  <c r="Q355" i="1" a="1"/>
  <c r="Q355" i="1" s="1"/>
  <c r="P355" i="1"/>
  <c r="O355" i="1"/>
  <c r="L355" i="1"/>
  <c r="I355" i="1"/>
  <c r="H355" i="1"/>
  <c r="G355" i="1"/>
  <c r="X354" i="1"/>
  <c r="T354" i="1"/>
  <c r="U354" i="1" s="1" a="1"/>
  <c r="U354" i="1" s="1"/>
  <c r="Q354" i="1" a="1"/>
  <c r="Q354" i="1" s="1"/>
  <c r="P354" i="1"/>
  <c r="O354" i="1"/>
  <c r="L354" i="1"/>
  <c r="I354" i="1"/>
  <c r="H354" i="1"/>
  <c r="G354" i="1"/>
  <c r="X353" i="1"/>
  <c r="T353" i="1"/>
  <c r="U353" i="1" s="1" a="1"/>
  <c r="U353" i="1" s="1"/>
  <c r="P353" i="1"/>
  <c r="Q353" i="1" s="1" a="1"/>
  <c r="Q353" i="1" s="1"/>
  <c r="O353" i="1"/>
  <c r="L353" i="1"/>
  <c r="I353" i="1"/>
  <c r="H353" i="1"/>
  <c r="G353" i="1"/>
  <c r="X352" i="1"/>
  <c r="U352" i="1" a="1"/>
  <c r="U352" i="1" s="1"/>
  <c r="T352" i="1"/>
  <c r="P352" i="1"/>
  <c r="Q352" i="1" s="1" a="1"/>
  <c r="Q352" i="1" s="1"/>
  <c r="O352" i="1"/>
  <c r="L352" i="1"/>
  <c r="I352" i="1"/>
  <c r="H352" i="1"/>
  <c r="G352" i="1"/>
  <c r="X351" i="1"/>
  <c r="U351" i="1" a="1"/>
  <c r="U351" i="1" s="1"/>
  <c r="T351" i="1"/>
  <c r="P351" i="1"/>
  <c r="Q351" i="1" s="1" a="1"/>
  <c r="Q351" i="1" s="1"/>
  <c r="O351" i="1"/>
  <c r="L351" i="1"/>
  <c r="I351" i="1"/>
  <c r="H351" i="1"/>
  <c r="G351" i="1"/>
  <c r="X350" i="1"/>
  <c r="U350" i="1" a="1"/>
  <c r="U350" i="1" s="1"/>
  <c r="T350" i="1"/>
  <c r="P350" i="1"/>
  <c r="Q350" i="1" s="1" a="1"/>
  <c r="Q350" i="1" s="1"/>
  <c r="O350" i="1"/>
  <c r="L350" i="1"/>
  <c r="I350" i="1"/>
  <c r="H350" i="1"/>
  <c r="G350" i="1"/>
  <c r="X349" i="1"/>
  <c r="U349" i="1" a="1"/>
  <c r="U349" i="1" s="1"/>
  <c r="T349" i="1"/>
  <c r="P349" i="1"/>
  <c r="Q349" i="1" s="1" a="1"/>
  <c r="Q349" i="1" s="1"/>
  <c r="O349" i="1"/>
  <c r="L349" i="1"/>
  <c r="I349" i="1"/>
  <c r="H349" i="1"/>
  <c r="G349" i="1"/>
  <c r="X348" i="1"/>
  <c r="U348" i="1" a="1"/>
  <c r="U348" i="1" s="1"/>
  <c r="T348" i="1"/>
  <c r="P348" i="1"/>
  <c r="Q348" i="1" s="1" a="1"/>
  <c r="Q348" i="1" s="1"/>
  <c r="O348" i="1"/>
  <c r="L348" i="1"/>
  <c r="I348" i="1"/>
  <c r="H348" i="1"/>
  <c r="G348" i="1"/>
  <c r="X347" i="1"/>
  <c r="U347" i="1" a="1"/>
  <c r="U347" i="1" s="1"/>
  <c r="T347" i="1"/>
  <c r="P347" i="1"/>
  <c r="Q347" i="1" s="1" a="1"/>
  <c r="Q347" i="1" s="1"/>
  <c r="O347" i="1"/>
  <c r="L347" i="1"/>
  <c r="I347" i="1"/>
  <c r="H347" i="1"/>
  <c r="G347" i="1"/>
  <c r="X346" i="1"/>
  <c r="U346" i="1" a="1"/>
  <c r="U346" i="1" s="1"/>
  <c r="T346" i="1"/>
  <c r="P346" i="1"/>
  <c r="Q346" i="1" s="1" a="1"/>
  <c r="Q346" i="1" s="1"/>
  <c r="O346" i="1"/>
  <c r="L346" i="1"/>
  <c r="I346" i="1"/>
  <c r="H346" i="1"/>
  <c r="G346" i="1"/>
  <c r="X345" i="1"/>
  <c r="U345" i="1" a="1"/>
  <c r="U345" i="1" s="1"/>
  <c r="T345" i="1"/>
  <c r="P345" i="1"/>
  <c r="Q345" i="1" s="1" a="1"/>
  <c r="Q345" i="1" s="1"/>
  <c r="O345" i="1"/>
  <c r="L345" i="1"/>
  <c r="I345" i="1"/>
  <c r="H345" i="1"/>
  <c r="G345" i="1"/>
  <c r="X344" i="1"/>
  <c r="U344" i="1" a="1"/>
  <c r="U344" i="1" s="1"/>
  <c r="T344" i="1"/>
  <c r="P344" i="1"/>
  <c r="Q344" i="1" s="1" a="1"/>
  <c r="Q344" i="1" s="1"/>
  <c r="O344" i="1"/>
  <c r="L344" i="1"/>
  <c r="I344" i="1"/>
  <c r="H344" i="1"/>
  <c r="G344" i="1"/>
  <c r="X343" i="1"/>
  <c r="U343" i="1" a="1"/>
  <c r="U343" i="1" s="1"/>
  <c r="T343" i="1"/>
  <c r="P343" i="1"/>
  <c r="Q343" i="1" s="1" a="1"/>
  <c r="Q343" i="1" s="1"/>
  <c r="O343" i="1"/>
  <c r="L343" i="1"/>
  <c r="I343" i="1"/>
  <c r="H343" i="1"/>
  <c r="G343" i="1"/>
  <c r="X342" i="1"/>
  <c r="U342" i="1" a="1"/>
  <c r="U342" i="1" s="1"/>
  <c r="T342" i="1"/>
  <c r="P342" i="1"/>
  <c r="Q342" i="1" s="1" a="1"/>
  <c r="Q342" i="1" s="1"/>
  <c r="O342" i="1"/>
  <c r="L342" i="1"/>
  <c r="I342" i="1"/>
  <c r="H342" i="1"/>
  <c r="G342" i="1"/>
  <c r="X341" i="1"/>
  <c r="U341" i="1" a="1"/>
  <c r="U341" i="1" s="1"/>
  <c r="T341" i="1"/>
  <c r="P341" i="1"/>
  <c r="Q341" i="1" s="1" a="1"/>
  <c r="Q341" i="1" s="1"/>
  <c r="O341" i="1"/>
  <c r="L341" i="1"/>
  <c r="I341" i="1"/>
  <c r="H341" i="1"/>
  <c r="G341" i="1"/>
  <c r="X340" i="1"/>
  <c r="U340" i="1" a="1"/>
  <c r="U340" i="1" s="1"/>
  <c r="T340" i="1"/>
  <c r="P340" i="1"/>
  <c r="Q340" i="1" s="1" a="1"/>
  <c r="Q340" i="1" s="1"/>
  <c r="O340" i="1"/>
  <c r="L340" i="1"/>
  <c r="I340" i="1"/>
  <c r="H340" i="1"/>
  <c r="G340" i="1"/>
  <c r="X339" i="1"/>
  <c r="U339" i="1" a="1"/>
  <c r="U339" i="1" s="1"/>
  <c r="T339" i="1"/>
  <c r="P339" i="1"/>
  <c r="Q339" i="1" s="1" a="1"/>
  <c r="Q339" i="1" s="1"/>
  <c r="O339" i="1"/>
  <c r="L339" i="1"/>
  <c r="I339" i="1"/>
  <c r="H339" i="1"/>
  <c r="G339" i="1"/>
  <c r="X338" i="1"/>
  <c r="U338" i="1" a="1"/>
  <c r="U338" i="1" s="1"/>
  <c r="T338" i="1"/>
  <c r="P338" i="1"/>
  <c r="Q338" i="1" s="1" a="1"/>
  <c r="Q338" i="1" s="1"/>
  <c r="O338" i="1"/>
  <c r="L338" i="1"/>
  <c r="I338" i="1"/>
  <c r="H338" i="1"/>
  <c r="G338" i="1"/>
  <c r="X337" i="1"/>
  <c r="U337" i="1" a="1"/>
  <c r="U337" i="1" s="1"/>
  <c r="T337" i="1"/>
  <c r="P337" i="1"/>
  <c r="Q337" i="1" s="1" a="1"/>
  <c r="Q337" i="1" s="1"/>
  <c r="O337" i="1"/>
  <c r="L337" i="1"/>
  <c r="I337" i="1"/>
  <c r="H337" i="1"/>
  <c r="G337" i="1"/>
  <c r="X336" i="1"/>
  <c r="U336" i="1" a="1"/>
  <c r="U336" i="1" s="1"/>
  <c r="T336" i="1"/>
  <c r="P336" i="1"/>
  <c r="Q336" i="1" s="1" a="1"/>
  <c r="Q336" i="1" s="1"/>
  <c r="O336" i="1"/>
  <c r="L336" i="1"/>
  <c r="I336" i="1"/>
  <c r="H336" i="1"/>
  <c r="G336" i="1"/>
  <c r="X335" i="1"/>
  <c r="U335" i="1" a="1"/>
  <c r="U335" i="1" s="1"/>
  <c r="T335" i="1"/>
  <c r="P335" i="1"/>
  <c r="Q335" i="1" s="1" a="1"/>
  <c r="Q335" i="1" s="1"/>
  <c r="O335" i="1"/>
  <c r="L335" i="1"/>
  <c r="I335" i="1"/>
  <c r="H335" i="1"/>
  <c r="G335" i="1"/>
  <c r="X334" i="1"/>
  <c r="U334" i="1" a="1"/>
  <c r="U334" i="1" s="1"/>
  <c r="T334" i="1"/>
  <c r="P334" i="1"/>
  <c r="Q334" i="1" s="1" a="1"/>
  <c r="Q334" i="1" s="1"/>
  <c r="O334" i="1"/>
  <c r="L334" i="1"/>
  <c r="I334" i="1"/>
  <c r="H334" i="1"/>
  <c r="G334" i="1"/>
  <c r="X333" i="1"/>
  <c r="U333" i="1" a="1"/>
  <c r="U333" i="1" s="1"/>
  <c r="T333" i="1"/>
  <c r="P333" i="1"/>
  <c r="Q333" i="1" s="1" a="1"/>
  <c r="Q333" i="1" s="1"/>
  <c r="O333" i="1"/>
  <c r="L333" i="1"/>
  <c r="I333" i="1"/>
  <c r="H333" i="1"/>
  <c r="G333" i="1"/>
  <c r="X332" i="1"/>
  <c r="U332" i="1" a="1"/>
  <c r="U332" i="1" s="1"/>
  <c r="T332" i="1"/>
  <c r="P332" i="1"/>
  <c r="Q332" i="1" s="1" a="1"/>
  <c r="Q332" i="1" s="1"/>
  <c r="O332" i="1"/>
  <c r="L332" i="1"/>
  <c r="I332" i="1"/>
  <c r="H332" i="1"/>
  <c r="G332" i="1"/>
  <c r="X331" i="1"/>
  <c r="U331" i="1" a="1"/>
  <c r="U331" i="1" s="1"/>
  <c r="T331" i="1"/>
  <c r="P331" i="1"/>
  <c r="Q331" i="1" s="1" a="1"/>
  <c r="Q331" i="1" s="1"/>
  <c r="O331" i="1"/>
  <c r="L331" i="1"/>
  <c r="I331" i="1"/>
  <c r="H331" i="1"/>
  <c r="G331" i="1"/>
  <c r="X330" i="1"/>
  <c r="U330" i="1" a="1"/>
  <c r="U330" i="1" s="1"/>
  <c r="T330" i="1"/>
  <c r="P330" i="1"/>
  <c r="Q330" i="1" s="1" a="1"/>
  <c r="Q330" i="1" s="1"/>
  <c r="O330" i="1"/>
  <c r="L330" i="1"/>
  <c r="I330" i="1"/>
  <c r="H330" i="1"/>
  <c r="G330" i="1"/>
  <c r="X329" i="1"/>
  <c r="U329" i="1" a="1"/>
  <c r="U329" i="1" s="1"/>
  <c r="T329" i="1"/>
  <c r="P329" i="1"/>
  <c r="Q329" i="1" s="1" a="1"/>
  <c r="Q329" i="1" s="1"/>
  <c r="O329" i="1"/>
  <c r="L329" i="1"/>
  <c r="I329" i="1"/>
  <c r="H329" i="1"/>
  <c r="G329" i="1"/>
  <c r="X328" i="1"/>
  <c r="U328" i="1" a="1"/>
  <c r="U328" i="1" s="1"/>
  <c r="T328" i="1"/>
  <c r="P328" i="1"/>
  <c r="Q328" i="1" s="1" a="1"/>
  <c r="Q328" i="1" s="1"/>
  <c r="O328" i="1"/>
  <c r="L328" i="1"/>
  <c r="I328" i="1"/>
  <c r="H328" i="1"/>
  <c r="G328" i="1"/>
  <c r="X327" i="1"/>
  <c r="U327" i="1" a="1"/>
  <c r="U327" i="1" s="1"/>
  <c r="T327" i="1"/>
  <c r="P327" i="1"/>
  <c r="Q327" i="1" s="1" a="1"/>
  <c r="Q327" i="1" s="1"/>
  <c r="O327" i="1"/>
  <c r="L327" i="1"/>
  <c r="I327" i="1"/>
  <c r="H327" i="1"/>
  <c r="G327" i="1"/>
  <c r="X326" i="1"/>
  <c r="U326" i="1" a="1"/>
  <c r="U326" i="1" s="1"/>
  <c r="T326" i="1"/>
  <c r="P326" i="1"/>
  <c r="Q326" i="1" s="1" a="1"/>
  <c r="Q326" i="1" s="1"/>
  <c r="O326" i="1"/>
  <c r="L326" i="1"/>
  <c r="I326" i="1"/>
  <c r="H326" i="1"/>
  <c r="G326" i="1"/>
  <c r="X325" i="1"/>
  <c r="U325" i="1" a="1"/>
  <c r="U325" i="1" s="1"/>
  <c r="T325" i="1"/>
  <c r="P325" i="1"/>
  <c r="Q325" i="1" s="1" a="1"/>
  <c r="Q325" i="1" s="1"/>
  <c r="O325" i="1"/>
  <c r="L325" i="1"/>
  <c r="I325" i="1"/>
  <c r="H325" i="1"/>
  <c r="G325" i="1"/>
  <c r="X324" i="1"/>
  <c r="U324" i="1" a="1"/>
  <c r="U324" i="1" s="1"/>
  <c r="T324" i="1"/>
  <c r="P324" i="1"/>
  <c r="Q324" i="1" s="1" a="1"/>
  <c r="Q324" i="1" s="1"/>
  <c r="O324" i="1"/>
  <c r="L324" i="1"/>
  <c r="I324" i="1"/>
  <c r="H324" i="1"/>
  <c r="G324" i="1"/>
  <c r="X323" i="1"/>
  <c r="U323" i="1" a="1"/>
  <c r="U323" i="1" s="1"/>
  <c r="T323" i="1"/>
  <c r="P323" i="1"/>
  <c r="Q323" i="1" s="1" a="1"/>
  <c r="Q323" i="1" s="1"/>
  <c r="O323" i="1"/>
  <c r="L323" i="1"/>
  <c r="I323" i="1"/>
  <c r="H323" i="1"/>
  <c r="G323" i="1"/>
  <c r="X322" i="1"/>
  <c r="U322" i="1" a="1"/>
  <c r="U322" i="1" s="1"/>
  <c r="T322" i="1"/>
  <c r="P322" i="1"/>
  <c r="Q322" i="1" s="1" a="1"/>
  <c r="Q322" i="1" s="1"/>
  <c r="O322" i="1"/>
  <c r="L322" i="1"/>
  <c r="I322" i="1"/>
  <c r="H322" i="1"/>
  <c r="G322" i="1"/>
  <c r="X321" i="1"/>
  <c r="U321" i="1" a="1"/>
  <c r="U321" i="1" s="1"/>
  <c r="T321" i="1"/>
  <c r="P321" i="1"/>
  <c r="Q321" i="1" s="1" a="1"/>
  <c r="Q321" i="1" s="1"/>
  <c r="O321" i="1"/>
  <c r="L321" i="1"/>
  <c r="I321" i="1"/>
  <c r="H321" i="1"/>
  <c r="G321" i="1"/>
  <c r="X320" i="1"/>
  <c r="U320" i="1" a="1"/>
  <c r="U320" i="1" s="1"/>
  <c r="T320" i="1"/>
  <c r="P320" i="1"/>
  <c r="Q320" i="1" s="1" a="1"/>
  <c r="Q320" i="1" s="1"/>
  <c r="O320" i="1"/>
  <c r="L320" i="1"/>
  <c r="I320" i="1"/>
  <c r="H320" i="1"/>
  <c r="G320" i="1"/>
  <c r="X319" i="1"/>
  <c r="U319" i="1" a="1"/>
  <c r="U319" i="1" s="1"/>
  <c r="T319" i="1"/>
  <c r="P319" i="1"/>
  <c r="Q319" i="1" s="1" a="1"/>
  <c r="Q319" i="1" s="1"/>
  <c r="O319" i="1"/>
  <c r="L319" i="1"/>
  <c r="I319" i="1"/>
  <c r="H319" i="1"/>
  <c r="G319" i="1"/>
  <c r="X318" i="1"/>
  <c r="U318" i="1" a="1"/>
  <c r="U318" i="1" s="1"/>
  <c r="T318" i="1"/>
  <c r="P318" i="1"/>
  <c r="Q318" i="1" s="1" a="1"/>
  <c r="Q318" i="1" s="1"/>
  <c r="O318" i="1"/>
  <c r="L318" i="1"/>
  <c r="I318" i="1"/>
  <c r="H318" i="1"/>
  <c r="G318" i="1"/>
  <c r="X317" i="1"/>
  <c r="U317" i="1" a="1"/>
  <c r="U317" i="1" s="1"/>
  <c r="T317" i="1"/>
  <c r="P317" i="1"/>
  <c r="Q317" i="1" s="1" a="1"/>
  <c r="Q317" i="1" s="1"/>
  <c r="O317" i="1"/>
  <c r="L317" i="1"/>
  <c r="I317" i="1"/>
  <c r="H317" i="1"/>
  <c r="G317" i="1"/>
  <c r="X316" i="1"/>
  <c r="U316" i="1" a="1"/>
  <c r="U316" i="1" s="1"/>
  <c r="T316" i="1"/>
  <c r="P316" i="1"/>
  <c r="Q316" i="1" s="1" a="1"/>
  <c r="Q316" i="1" s="1"/>
  <c r="O316" i="1"/>
  <c r="L316" i="1"/>
  <c r="I316" i="1"/>
  <c r="H316" i="1"/>
  <c r="G316" i="1"/>
  <c r="X315" i="1"/>
  <c r="U315" i="1" a="1"/>
  <c r="U315" i="1" s="1"/>
  <c r="T315" i="1"/>
  <c r="P315" i="1"/>
  <c r="Q315" i="1" s="1" a="1"/>
  <c r="Q315" i="1" s="1"/>
  <c r="O315" i="1"/>
  <c r="L315" i="1"/>
  <c r="I315" i="1"/>
  <c r="H315" i="1"/>
  <c r="G315" i="1"/>
  <c r="X314" i="1"/>
  <c r="U314" i="1" a="1"/>
  <c r="U314" i="1" s="1"/>
  <c r="T314" i="1"/>
  <c r="P314" i="1"/>
  <c r="Q314" i="1" s="1" a="1"/>
  <c r="Q314" i="1" s="1"/>
  <c r="O314" i="1"/>
  <c r="L314" i="1"/>
  <c r="I314" i="1"/>
  <c r="H314" i="1"/>
  <c r="G314" i="1"/>
  <c r="X313" i="1"/>
  <c r="U313" i="1" a="1"/>
  <c r="U313" i="1" s="1"/>
  <c r="T313" i="1"/>
  <c r="P313" i="1"/>
  <c r="Q313" i="1" s="1" a="1"/>
  <c r="Q313" i="1" s="1"/>
  <c r="O313" i="1"/>
  <c r="L313" i="1"/>
  <c r="I313" i="1"/>
  <c r="H313" i="1"/>
  <c r="G313" i="1"/>
  <c r="X312" i="1"/>
  <c r="U312" i="1" a="1"/>
  <c r="U312" i="1" s="1"/>
  <c r="T312" i="1"/>
  <c r="P312" i="1"/>
  <c r="Q312" i="1" s="1" a="1"/>
  <c r="Q312" i="1" s="1"/>
  <c r="O312" i="1"/>
  <c r="L312" i="1"/>
  <c r="I312" i="1"/>
  <c r="H312" i="1"/>
  <c r="G312" i="1"/>
  <c r="X311" i="1"/>
  <c r="U311" i="1" a="1"/>
  <c r="U311" i="1" s="1"/>
  <c r="T311" i="1"/>
  <c r="P311" i="1"/>
  <c r="Q311" i="1" s="1" a="1"/>
  <c r="Q311" i="1" s="1"/>
  <c r="O311" i="1"/>
  <c r="L311" i="1"/>
  <c r="I311" i="1"/>
  <c r="H311" i="1"/>
  <c r="G311" i="1"/>
  <c r="X310" i="1"/>
  <c r="U310" i="1" a="1"/>
  <c r="U310" i="1" s="1"/>
  <c r="T310" i="1"/>
  <c r="P310" i="1"/>
  <c r="Q310" i="1" s="1" a="1"/>
  <c r="Q310" i="1" s="1"/>
  <c r="O310" i="1"/>
  <c r="L310" i="1"/>
  <c r="I310" i="1"/>
  <c r="H310" i="1"/>
  <c r="G310" i="1"/>
  <c r="X309" i="1"/>
  <c r="U309" i="1" a="1"/>
  <c r="U309" i="1" s="1"/>
  <c r="T309" i="1"/>
  <c r="P309" i="1"/>
  <c r="Q309" i="1" s="1" a="1"/>
  <c r="Q309" i="1" s="1"/>
  <c r="O309" i="1"/>
  <c r="L309" i="1"/>
  <c r="I309" i="1"/>
  <c r="H309" i="1"/>
  <c r="G309" i="1"/>
  <c r="X308" i="1"/>
  <c r="U308" i="1" a="1"/>
  <c r="U308" i="1" s="1"/>
  <c r="T308" i="1"/>
  <c r="P308" i="1"/>
  <c r="Q308" i="1" s="1" a="1"/>
  <c r="Q308" i="1" s="1"/>
  <c r="O308" i="1"/>
  <c r="L308" i="1"/>
  <c r="I308" i="1"/>
  <c r="H308" i="1"/>
  <c r="G308" i="1"/>
  <c r="X307" i="1"/>
  <c r="U307" i="1" a="1"/>
  <c r="U307" i="1" s="1"/>
  <c r="T307" i="1"/>
  <c r="P307" i="1"/>
  <c r="Q307" i="1" s="1" a="1"/>
  <c r="Q307" i="1" s="1"/>
  <c r="O307" i="1"/>
  <c r="L307" i="1"/>
  <c r="I307" i="1"/>
  <c r="H307" i="1"/>
  <c r="G307" i="1"/>
  <c r="X306" i="1"/>
  <c r="U306" i="1" a="1"/>
  <c r="U306" i="1" s="1"/>
  <c r="T306" i="1"/>
  <c r="P306" i="1"/>
  <c r="Q306" i="1" s="1" a="1"/>
  <c r="Q306" i="1" s="1"/>
  <c r="O306" i="1"/>
  <c r="L306" i="1"/>
  <c r="I306" i="1"/>
  <c r="H306" i="1"/>
  <c r="G306" i="1"/>
  <c r="X305" i="1"/>
  <c r="U305" i="1" a="1"/>
  <c r="U305" i="1" s="1"/>
  <c r="T305" i="1"/>
  <c r="P305" i="1"/>
  <c r="Q305" i="1" s="1" a="1"/>
  <c r="Q305" i="1" s="1"/>
  <c r="O305" i="1"/>
  <c r="L305" i="1"/>
  <c r="I305" i="1"/>
  <c r="H305" i="1"/>
  <c r="G305" i="1"/>
  <c r="X304" i="1"/>
  <c r="U304" i="1" a="1"/>
  <c r="U304" i="1" s="1"/>
  <c r="T304" i="1"/>
  <c r="P304" i="1"/>
  <c r="Q304" i="1" s="1" a="1"/>
  <c r="Q304" i="1" s="1"/>
  <c r="O304" i="1"/>
  <c r="L304" i="1"/>
  <c r="I304" i="1"/>
  <c r="H304" i="1"/>
  <c r="G304" i="1"/>
  <c r="X303" i="1"/>
  <c r="U303" i="1" a="1"/>
  <c r="U303" i="1" s="1"/>
  <c r="T303" i="1"/>
  <c r="P303" i="1"/>
  <c r="Q303" i="1" s="1" a="1"/>
  <c r="Q303" i="1" s="1"/>
  <c r="O303" i="1"/>
  <c r="L303" i="1"/>
  <c r="I303" i="1"/>
  <c r="H303" i="1"/>
  <c r="G303" i="1"/>
  <c r="X302" i="1"/>
  <c r="U302" i="1" a="1"/>
  <c r="U302" i="1" s="1"/>
  <c r="T302" i="1"/>
  <c r="P302" i="1"/>
  <c r="Q302" i="1" s="1" a="1"/>
  <c r="Q302" i="1" s="1"/>
  <c r="O302" i="1"/>
  <c r="L302" i="1"/>
  <c r="I302" i="1"/>
  <c r="H302" i="1"/>
  <c r="G302" i="1"/>
  <c r="X301" i="1"/>
  <c r="U301" i="1" a="1"/>
  <c r="U301" i="1" s="1"/>
  <c r="T301" i="1"/>
  <c r="P301" i="1"/>
  <c r="Q301" i="1" s="1" a="1"/>
  <c r="Q301" i="1" s="1"/>
  <c r="O301" i="1"/>
  <c r="L301" i="1"/>
  <c r="I301" i="1"/>
  <c r="H301" i="1"/>
  <c r="G301" i="1"/>
  <c r="X300" i="1"/>
  <c r="U300" i="1" a="1"/>
  <c r="U300" i="1" s="1"/>
  <c r="T300" i="1"/>
  <c r="P300" i="1"/>
  <c r="Q300" i="1" s="1" a="1"/>
  <c r="Q300" i="1" s="1"/>
  <c r="O300" i="1"/>
  <c r="L300" i="1"/>
  <c r="I300" i="1"/>
  <c r="H300" i="1"/>
  <c r="G300" i="1"/>
  <c r="X299" i="1"/>
  <c r="U299" i="1" a="1"/>
  <c r="U299" i="1" s="1"/>
  <c r="T299" i="1"/>
  <c r="P299" i="1"/>
  <c r="Q299" i="1" s="1" a="1"/>
  <c r="Q299" i="1" s="1"/>
  <c r="O299" i="1"/>
  <c r="L299" i="1"/>
  <c r="I299" i="1"/>
  <c r="H299" i="1"/>
  <c r="G299" i="1"/>
  <c r="X298" i="1"/>
  <c r="U298" i="1" a="1"/>
  <c r="U298" i="1" s="1"/>
  <c r="T298" i="1"/>
  <c r="P298" i="1"/>
  <c r="Q298" i="1" s="1" a="1"/>
  <c r="Q298" i="1" s="1"/>
  <c r="O298" i="1"/>
  <c r="L298" i="1"/>
  <c r="I298" i="1"/>
  <c r="H298" i="1"/>
  <c r="G298" i="1"/>
  <c r="X297" i="1"/>
  <c r="U297" i="1" a="1"/>
  <c r="U297" i="1" s="1"/>
  <c r="T297" i="1"/>
  <c r="P297" i="1"/>
  <c r="Q297" i="1" s="1" a="1"/>
  <c r="Q297" i="1" s="1"/>
  <c r="O297" i="1"/>
  <c r="L297" i="1"/>
  <c r="I297" i="1"/>
  <c r="H297" i="1"/>
  <c r="G297" i="1"/>
  <c r="X296" i="1"/>
  <c r="U296" i="1" a="1"/>
  <c r="U296" i="1" s="1"/>
  <c r="T296" i="1"/>
  <c r="P296" i="1"/>
  <c r="Q296" i="1" s="1" a="1"/>
  <c r="Q296" i="1" s="1"/>
  <c r="O296" i="1"/>
  <c r="L296" i="1"/>
  <c r="I296" i="1"/>
  <c r="H296" i="1"/>
  <c r="G296" i="1"/>
  <c r="X295" i="1"/>
  <c r="U295" i="1" a="1"/>
  <c r="U295" i="1" s="1"/>
  <c r="T295" i="1"/>
  <c r="P295" i="1"/>
  <c r="Q295" i="1" s="1" a="1"/>
  <c r="Q295" i="1" s="1"/>
  <c r="O295" i="1"/>
  <c r="L295" i="1"/>
  <c r="I295" i="1"/>
  <c r="H295" i="1"/>
  <c r="G295" i="1"/>
  <c r="X294" i="1"/>
  <c r="U294" i="1" a="1"/>
  <c r="U294" i="1" s="1"/>
  <c r="T294" i="1"/>
  <c r="P294" i="1"/>
  <c r="Q294" i="1" s="1" a="1"/>
  <c r="Q294" i="1" s="1"/>
  <c r="O294" i="1"/>
  <c r="L294" i="1"/>
  <c r="I294" i="1"/>
  <c r="H294" i="1"/>
  <c r="G294" i="1"/>
  <c r="X293" i="1"/>
  <c r="U293" i="1" a="1"/>
  <c r="U293" i="1" s="1"/>
  <c r="T293" i="1"/>
  <c r="P293" i="1"/>
  <c r="Q293" i="1" s="1" a="1"/>
  <c r="Q293" i="1" s="1"/>
  <c r="O293" i="1"/>
  <c r="L293" i="1"/>
  <c r="I293" i="1"/>
  <c r="H293" i="1"/>
  <c r="G293" i="1"/>
  <c r="X292" i="1"/>
  <c r="U292" i="1" a="1"/>
  <c r="U292" i="1" s="1"/>
  <c r="T292" i="1"/>
  <c r="P292" i="1"/>
  <c r="Q292" i="1" s="1" a="1"/>
  <c r="Q292" i="1" s="1"/>
  <c r="O292" i="1"/>
  <c r="L292" i="1"/>
  <c r="I292" i="1"/>
  <c r="H292" i="1"/>
  <c r="G292" i="1"/>
  <c r="X291" i="1"/>
  <c r="U291" i="1" a="1"/>
  <c r="U291" i="1" s="1"/>
  <c r="T291" i="1"/>
  <c r="P291" i="1"/>
  <c r="Q291" i="1" s="1" a="1"/>
  <c r="Q291" i="1" s="1"/>
  <c r="O291" i="1"/>
  <c r="L291" i="1"/>
  <c r="I291" i="1"/>
  <c r="H291" i="1"/>
  <c r="G291" i="1"/>
  <c r="X290" i="1"/>
  <c r="U290" i="1" a="1"/>
  <c r="U290" i="1" s="1"/>
  <c r="T290" i="1"/>
  <c r="P290" i="1"/>
  <c r="Q290" i="1" s="1" a="1"/>
  <c r="Q290" i="1" s="1"/>
  <c r="O290" i="1"/>
  <c r="L290" i="1"/>
  <c r="I290" i="1"/>
  <c r="H290" i="1"/>
  <c r="G290" i="1"/>
  <c r="X289" i="1"/>
  <c r="U289" i="1" a="1"/>
  <c r="U289" i="1" s="1"/>
  <c r="T289" i="1"/>
  <c r="P289" i="1"/>
  <c r="Q289" i="1" s="1" a="1"/>
  <c r="Q289" i="1" s="1"/>
  <c r="O289" i="1"/>
  <c r="L289" i="1"/>
  <c r="I289" i="1"/>
  <c r="H289" i="1"/>
  <c r="G289" i="1"/>
  <c r="X288" i="1"/>
  <c r="U288" i="1" a="1"/>
  <c r="U288" i="1" s="1"/>
  <c r="T288" i="1"/>
  <c r="P288" i="1"/>
  <c r="Q288" i="1" s="1" a="1"/>
  <c r="Q288" i="1" s="1"/>
  <c r="O288" i="1"/>
  <c r="L288" i="1"/>
  <c r="I288" i="1"/>
  <c r="H288" i="1"/>
  <c r="G288" i="1"/>
  <c r="X287" i="1"/>
  <c r="U287" i="1" a="1"/>
  <c r="U287" i="1" s="1"/>
  <c r="T287" i="1"/>
  <c r="P287" i="1"/>
  <c r="Q287" i="1" s="1" a="1"/>
  <c r="Q287" i="1" s="1"/>
  <c r="O287" i="1"/>
  <c r="L287" i="1"/>
  <c r="I287" i="1"/>
  <c r="H287" i="1"/>
  <c r="G287" i="1"/>
  <c r="X286" i="1"/>
  <c r="U286" i="1" a="1"/>
  <c r="U286" i="1" s="1"/>
  <c r="T286" i="1"/>
  <c r="P286" i="1"/>
  <c r="Q286" i="1" s="1" a="1"/>
  <c r="Q286" i="1" s="1"/>
  <c r="O286" i="1"/>
  <c r="L286" i="1"/>
  <c r="I286" i="1"/>
  <c r="H286" i="1"/>
  <c r="G286" i="1"/>
  <c r="X285" i="1"/>
  <c r="U285" i="1" a="1"/>
  <c r="U285" i="1" s="1"/>
  <c r="T285" i="1"/>
  <c r="P285" i="1"/>
  <c r="Q285" i="1" s="1" a="1"/>
  <c r="Q285" i="1" s="1"/>
  <c r="O285" i="1"/>
  <c r="L285" i="1"/>
  <c r="I285" i="1"/>
  <c r="H285" i="1"/>
  <c r="G285" i="1"/>
  <c r="X284" i="1"/>
  <c r="U284" i="1" a="1"/>
  <c r="U284" i="1" s="1"/>
  <c r="T284" i="1"/>
  <c r="P284" i="1"/>
  <c r="Q284" i="1" s="1" a="1"/>
  <c r="Q284" i="1" s="1"/>
  <c r="O284" i="1"/>
  <c r="L284" i="1"/>
  <c r="I284" i="1"/>
  <c r="H284" i="1"/>
  <c r="G284" i="1"/>
  <c r="X283" i="1"/>
  <c r="U283" i="1" a="1"/>
  <c r="U283" i="1" s="1"/>
  <c r="T283" i="1"/>
  <c r="P283" i="1"/>
  <c r="Q283" i="1" s="1" a="1"/>
  <c r="Q283" i="1" s="1"/>
  <c r="O283" i="1"/>
  <c r="L283" i="1"/>
  <c r="I283" i="1"/>
  <c r="H283" i="1"/>
  <c r="G283" i="1"/>
  <c r="X282" i="1"/>
  <c r="U282" i="1" a="1"/>
  <c r="U282" i="1" s="1"/>
  <c r="T282" i="1"/>
  <c r="P282" i="1"/>
  <c r="Q282" i="1" s="1" a="1"/>
  <c r="Q282" i="1" s="1"/>
  <c r="O282" i="1"/>
  <c r="L282" i="1"/>
  <c r="I282" i="1"/>
  <c r="H282" i="1"/>
  <c r="G282" i="1"/>
  <c r="X281" i="1"/>
  <c r="U281" i="1" a="1"/>
  <c r="U281" i="1" s="1"/>
  <c r="T281" i="1"/>
  <c r="P281" i="1"/>
  <c r="Q281" i="1" s="1" a="1"/>
  <c r="Q281" i="1" s="1"/>
  <c r="O281" i="1"/>
  <c r="L281" i="1"/>
  <c r="I281" i="1"/>
  <c r="H281" i="1"/>
  <c r="G281" i="1"/>
  <c r="X280" i="1"/>
  <c r="U280" i="1" a="1"/>
  <c r="U280" i="1" s="1"/>
  <c r="T280" i="1"/>
  <c r="P280" i="1"/>
  <c r="Q280" i="1" s="1" a="1"/>
  <c r="Q280" i="1" s="1"/>
  <c r="O280" i="1"/>
  <c r="L280" i="1"/>
  <c r="I280" i="1"/>
  <c r="H280" i="1"/>
  <c r="G280" i="1"/>
  <c r="X279" i="1"/>
  <c r="T279" i="1"/>
  <c r="U279" i="1" s="1" a="1"/>
  <c r="U279" i="1" s="1"/>
  <c r="P279" i="1"/>
  <c r="Q279" i="1" s="1" a="1"/>
  <c r="Q279" i="1" s="1"/>
  <c r="O279" i="1"/>
  <c r="L279" i="1"/>
  <c r="I279" i="1"/>
  <c r="H279" i="1"/>
  <c r="G279" i="1"/>
  <c r="X278" i="1"/>
  <c r="T278" i="1"/>
  <c r="U278" i="1" s="1" a="1"/>
  <c r="U278" i="1" s="1"/>
  <c r="Q278" i="1" a="1"/>
  <c r="Q278" i="1" s="1"/>
  <c r="P278" i="1"/>
  <c r="O278" i="1"/>
  <c r="L278" i="1"/>
  <c r="I278" i="1"/>
  <c r="H278" i="1"/>
  <c r="G278" i="1"/>
  <c r="X277" i="1"/>
  <c r="T277" i="1"/>
  <c r="U277" i="1" s="1" a="1"/>
  <c r="U277" i="1" s="1"/>
  <c r="Q277" i="1" a="1"/>
  <c r="Q277" i="1" s="1"/>
  <c r="P277" i="1"/>
  <c r="O277" i="1"/>
  <c r="L277" i="1"/>
  <c r="I277" i="1"/>
  <c r="H277" i="1"/>
  <c r="G277" i="1"/>
  <c r="X276" i="1"/>
  <c r="T276" i="1"/>
  <c r="U276" i="1" s="1" a="1"/>
  <c r="U276" i="1" s="1"/>
  <c r="Q276" i="1" a="1"/>
  <c r="Q276" i="1" s="1"/>
  <c r="P276" i="1"/>
  <c r="O276" i="1"/>
  <c r="L276" i="1"/>
  <c r="I276" i="1"/>
  <c r="H276" i="1"/>
  <c r="G276" i="1"/>
  <c r="X275" i="1"/>
  <c r="T275" i="1"/>
  <c r="U275" i="1" s="1" a="1"/>
  <c r="U275" i="1" s="1"/>
  <c r="P275" i="1"/>
  <c r="Q275" i="1" s="1" a="1"/>
  <c r="Q275" i="1" s="1"/>
  <c r="O275" i="1"/>
  <c r="L275" i="1"/>
  <c r="I275" i="1"/>
  <c r="H275" i="1"/>
  <c r="G275" i="1"/>
  <c r="X274" i="1"/>
  <c r="U274" i="1" a="1"/>
  <c r="U274" i="1" s="1"/>
  <c r="T274" i="1"/>
  <c r="P274" i="1"/>
  <c r="Q274" i="1" s="1" a="1"/>
  <c r="Q274" i="1" s="1"/>
  <c r="O274" i="1"/>
  <c r="L274" i="1"/>
  <c r="I274" i="1"/>
  <c r="H274" i="1"/>
  <c r="G274" i="1"/>
  <c r="X273" i="1"/>
  <c r="U273" i="1" a="1"/>
  <c r="U273" i="1" s="1"/>
  <c r="T273" i="1"/>
  <c r="P273" i="1"/>
  <c r="Q273" i="1" s="1" a="1"/>
  <c r="Q273" i="1" s="1"/>
  <c r="O273" i="1"/>
  <c r="L273" i="1"/>
  <c r="I273" i="1"/>
  <c r="H273" i="1"/>
  <c r="G273" i="1"/>
  <c r="X272" i="1"/>
  <c r="U272" i="1" a="1"/>
  <c r="U272" i="1" s="1"/>
  <c r="T272" i="1"/>
  <c r="P272" i="1"/>
  <c r="Q272" i="1" s="1" a="1"/>
  <c r="Q272" i="1" s="1"/>
  <c r="O272" i="1"/>
  <c r="L272" i="1"/>
  <c r="I272" i="1"/>
  <c r="H272" i="1"/>
  <c r="G272" i="1"/>
  <c r="X271" i="1"/>
  <c r="T271" i="1"/>
  <c r="U271" i="1" s="1" a="1"/>
  <c r="U271" i="1" s="1"/>
  <c r="P271" i="1"/>
  <c r="Q271" i="1" s="1" a="1"/>
  <c r="Q271" i="1" s="1"/>
  <c r="O271" i="1"/>
  <c r="L271" i="1"/>
  <c r="I271" i="1"/>
  <c r="H271" i="1"/>
  <c r="G271" i="1"/>
  <c r="X270" i="1"/>
  <c r="T270" i="1"/>
  <c r="U270" i="1" s="1" a="1"/>
  <c r="U270" i="1" s="1"/>
  <c r="Q270" i="1" a="1"/>
  <c r="Q270" i="1" s="1"/>
  <c r="P270" i="1"/>
  <c r="O270" i="1"/>
  <c r="L270" i="1"/>
  <c r="I270" i="1"/>
  <c r="H270" i="1"/>
  <c r="G270" i="1"/>
  <c r="X269" i="1"/>
  <c r="T269" i="1"/>
  <c r="U269" i="1" s="1" a="1"/>
  <c r="U269" i="1" s="1"/>
  <c r="Q269" i="1" a="1"/>
  <c r="Q269" i="1" s="1"/>
  <c r="P269" i="1"/>
  <c r="O269" i="1"/>
  <c r="L269" i="1"/>
  <c r="I269" i="1"/>
  <c r="H269" i="1"/>
  <c r="G269" i="1"/>
  <c r="X268" i="1"/>
  <c r="T268" i="1"/>
  <c r="U268" i="1" s="1" a="1"/>
  <c r="U268" i="1" s="1"/>
  <c r="Q268" i="1" a="1"/>
  <c r="Q268" i="1" s="1"/>
  <c r="P268" i="1"/>
  <c r="O268" i="1"/>
  <c r="L268" i="1"/>
  <c r="I268" i="1"/>
  <c r="H268" i="1"/>
  <c r="G268" i="1"/>
  <c r="X267" i="1"/>
  <c r="T267" i="1"/>
  <c r="U267" i="1" s="1" a="1"/>
  <c r="U267" i="1" s="1"/>
  <c r="Q267" i="1" a="1"/>
  <c r="Q267" i="1" s="1"/>
  <c r="P267" i="1"/>
  <c r="O267" i="1"/>
  <c r="L267" i="1"/>
  <c r="I267" i="1"/>
  <c r="H267" i="1"/>
  <c r="G267" i="1"/>
  <c r="X266" i="1"/>
  <c r="T266" i="1"/>
  <c r="U266" i="1" s="1" a="1"/>
  <c r="U266" i="1" s="1"/>
  <c r="Q266" i="1" a="1"/>
  <c r="Q266" i="1" s="1"/>
  <c r="P266" i="1"/>
  <c r="O266" i="1"/>
  <c r="L266" i="1"/>
  <c r="I266" i="1"/>
  <c r="H266" i="1"/>
  <c r="G266" i="1"/>
  <c r="X265" i="1"/>
  <c r="T265" i="1"/>
  <c r="U265" i="1" s="1" a="1"/>
  <c r="U265" i="1" s="1"/>
  <c r="Q265" i="1" a="1"/>
  <c r="Q265" i="1" s="1"/>
  <c r="P265" i="1"/>
  <c r="O265" i="1"/>
  <c r="L265" i="1"/>
  <c r="I265" i="1"/>
  <c r="H265" i="1"/>
  <c r="G265" i="1"/>
  <c r="X264" i="1"/>
  <c r="T264" i="1"/>
  <c r="U264" i="1" s="1" a="1"/>
  <c r="U264" i="1" s="1"/>
  <c r="Q264" i="1" a="1"/>
  <c r="Q264" i="1" s="1"/>
  <c r="P264" i="1"/>
  <c r="O264" i="1"/>
  <c r="L264" i="1"/>
  <c r="I264" i="1"/>
  <c r="H264" i="1"/>
  <c r="G264" i="1"/>
  <c r="X263" i="1"/>
  <c r="T263" i="1"/>
  <c r="U263" i="1" s="1" a="1"/>
  <c r="U263" i="1" s="1"/>
  <c r="Q263" i="1" a="1"/>
  <c r="Q263" i="1" s="1"/>
  <c r="P263" i="1"/>
  <c r="O263" i="1"/>
  <c r="L263" i="1"/>
  <c r="I263" i="1"/>
  <c r="H263" i="1"/>
  <c r="G263" i="1"/>
  <c r="X262" i="1"/>
  <c r="T262" i="1"/>
  <c r="U262" i="1" s="1" a="1"/>
  <c r="U262" i="1" s="1"/>
  <c r="Q262" i="1" a="1"/>
  <c r="Q262" i="1" s="1"/>
  <c r="P262" i="1"/>
  <c r="O262" i="1"/>
  <c r="L262" i="1"/>
  <c r="I262" i="1"/>
  <c r="H262" i="1"/>
  <c r="G262" i="1"/>
  <c r="X261" i="1"/>
  <c r="T261" i="1"/>
  <c r="U261" i="1" s="1" a="1"/>
  <c r="U261" i="1" s="1"/>
  <c r="Q261" i="1" a="1"/>
  <c r="Q261" i="1" s="1"/>
  <c r="P261" i="1"/>
  <c r="O261" i="1"/>
  <c r="L261" i="1"/>
  <c r="I261" i="1"/>
  <c r="H261" i="1"/>
  <c r="G261" i="1"/>
  <c r="X260" i="1"/>
  <c r="T260" i="1"/>
  <c r="U260" i="1" s="1" a="1"/>
  <c r="U260" i="1" s="1"/>
  <c r="Q260" i="1" a="1"/>
  <c r="Q260" i="1" s="1"/>
  <c r="P260" i="1"/>
  <c r="O260" i="1"/>
  <c r="L260" i="1"/>
  <c r="I260" i="1"/>
  <c r="H260" i="1"/>
  <c r="G260" i="1"/>
  <c r="X259" i="1"/>
  <c r="T259" i="1"/>
  <c r="U259" i="1" s="1" a="1"/>
  <c r="U259" i="1" s="1"/>
  <c r="Q259" i="1" a="1"/>
  <c r="Q259" i="1" s="1"/>
  <c r="P259" i="1"/>
  <c r="O259" i="1"/>
  <c r="L259" i="1"/>
  <c r="I259" i="1"/>
  <c r="H259" i="1"/>
  <c r="G259" i="1"/>
  <c r="X258" i="1"/>
  <c r="T258" i="1"/>
  <c r="U258" i="1" s="1" a="1"/>
  <c r="U258" i="1" s="1"/>
  <c r="Q258" i="1" a="1"/>
  <c r="Q258" i="1" s="1"/>
  <c r="P258" i="1"/>
  <c r="O258" i="1"/>
  <c r="L258" i="1"/>
  <c r="I258" i="1"/>
  <c r="H258" i="1"/>
  <c r="G258" i="1"/>
  <c r="X257" i="1"/>
  <c r="T257" i="1"/>
  <c r="U257" i="1" s="1" a="1"/>
  <c r="U257" i="1" s="1"/>
  <c r="Q257" i="1" a="1"/>
  <c r="Q257" i="1" s="1"/>
  <c r="P257" i="1"/>
  <c r="O257" i="1"/>
  <c r="L257" i="1"/>
  <c r="I257" i="1"/>
  <c r="H257" i="1"/>
  <c r="G257" i="1"/>
  <c r="X256" i="1"/>
  <c r="T256" i="1"/>
  <c r="U256" i="1" s="1" a="1"/>
  <c r="U256" i="1" s="1"/>
  <c r="Q256" i="1" a="1"/>
  <c r="Q256" i="1" s="1"/>
  <c r="P256" i="1"/>
  <c r="O256" i="1"/>
  <c r="L256" i="1"/>
  <c r="I256" i="1"/>
  <c r="H256" i="1"/>
  <c r="G256" i="1"/>
  <c r="X255" i="1"/>
  <c r="T255" i="1"/>
  <c r="U255" i="1" s="1" a="1"/>
  <c r="U255" i="1" s="1"/>
  <c r="Q255" i="1" a="1"/>
  <c r="Q255" i="1" s="1"/>
  <c r="P255" i="1"/>
  <c r="O255" i="1"/>
  <c r="L255" i="1"/>
  <c r="I255" i="1"/>
  <c r="H255" i="1"/>
  <c r="G255" i="1"/>
  <c r="X254" i="1"/>
  <c r="T254" i="1"/>
  <c r="U254" i="1" s="1" a="1"/>
  <c r="U254" i="1" s="1"/>
  <c r="Q254" i="1" a="1"/>
  <c r="Q254" i="1" s="1"/>
  <c r="P254" i="1"/>
  <c r="O254" i="1"/>
  <c r="L254" i="1"/>
  <c r="I254" i="1"/>
  <c r="H254" i="1"/>
  <c r="G254" i="1"/>
  <c r="X253" i="1"/>
  <c r="T253" i="1"/>
  <c r="U253" i="1" s="1" a="1"/>
  <c r="U253" i="1" s="1"/>
  <c r="Q253" i="1" a="1"/>
  <c r="Q253" i="1" s="1"/>
  <c r="P253" i="1"/>
  <c r="O253" i="1"/>
  <c r="L253" i="1"/>
  <c r="I253" i="1"/>
  <c r="H253" i="1"/>
  <c r="G253" i="1"/>
  <c r="X252" i="1"/>
  <c r="T252" i="1"/>
  <c r="U252" i="1" s="1" a="1"/>
  <c r="U252" i="1" s="1"/>
  <c r="Q252" i="1" a="1"/>
  <c r="Q252" i="1" s="1"/>
  <c r="P252" i="1"/>
  <c r="O252" i="1"/>
  <c r="L252" i="1"/>
  <c r="I252" i="1"/>
  <c r="H252" i="1"/>
  <c r="G252" i="1"/>
  <c r="X251" i="1"/>
  <c r="T251" i="1"/>
  <c r="U251" i="1" s="1" a="1"/>
  <c r="U251" i="1" s="1"/>
  <c r="Q251" i="1" a="1"/>
  <c r="Q251" i="1" s="1"/>
  <c r="P251" i="1"/>
  <c r="O251" i="1"/>
  <c r="L251" i="1"/>
  <c r="I251" i="1"/>
  <c r="H251" i="1"/>
  <c r="G251" i="1"/>
  <c r="X250" i="1"/>
  <c r="T250" i="1"/>
  <c r="U250" i="1" s="1" a="1"/>
  <c r="U250" i="1" s="1"/>
  <c r="Q250" i="1" a="1"/>
  <c r="Q250" i="1" s="1"/>
  <c r="P250" i="1"/>
  <c r="O250" i="1"/>
  <c r="L250" i="1"/>
  <c r="I250" i="1"/>
  <c r="H250" i="1"/>
  <c r="G250" i="1"/>
  <c r="X249" i="1"/>
  <c r="T249" i="1"/>
  <c r="U249" i="1" s="1" a="1"/>
  <c r="U249" i="1" s="1"/>
  <c r="Q249" i="1" a="1"/>
  <c r="Q249" i="1" s="1"/>
  <c r="P249" i="1"/>
  <c r="O249" i="1"/>
  <c r="L249" i="1"/>
  <c r="I249" i="1"/>
  <c r="H249" i="1"/>
  <c r="G249" i="1"/>
  <c r="X248" i="1"/>
  <c r="T248" i="1"/>
  <c r="U248" i="1" s="1" a="1"/>
  <c r="U248" i="1" s="1"/>
  <c r="Q248" i="1" a="1"/>
  <c r="Q248" i="1" s="1"/>
  <c r="P248" i="1"/>
  <c r="O248" i="1"/>
  <c r="L248" i="1"/>
  <c r="I248" i="1"/>
  <c r="H248" i="1"/>
  <c r="G248" i="1"/>
  <c r="X247" i="1"/>
  <c r="T247" i="1"/>
  <c r="U247" i="1" s="1" a="1"/>
  <c r="U247" i="1" s="1"/>
  <c r="Q247" i="1" a="1"/>
  <c r="Q247" i="1" s="1"/>
  <c r="P247" i="1"/>
  <c r="O247" i="1"/>
  <c r="L247" i="1"/>
  <c r="I247" i="1"/>
  <c r="H247" i="1"/>
  <c r="G247" i="1"/>
  <c r="X246" i="1"/>
  <c r="T246" i="1"/>
  <c r="U246" i="1" s="1" a="1"/>
  <c r="U246" i="1" s="1"/>
  <c r="Q246" i="1" a="1"/>
  <c r="Q246" i="1" s="1"/>
  <c r="P246" i="1"/>
  <c r="O246" i="1"/>
  <c r="L246" i="1"/>
  <c r="I246" i="1"/>
  <c r="H246" i="1"/>
  <c r="G246" i="1"/>
  <c r="X245" i="1"/>
  <c r="T245" i="1"/>
  <c r="U245" i="1" s="1" a="1"/>
  <c r="U245" i="1" s="1"/>
  <c r="Q245" i="1" a="1"/>
  <c r="Q245" i="1" s="1"/>
  <c r="P245" i="1"/>
  <c r="O245" i="1"/>
  <c r="L245" i="1"/>
  <c r="I245" i="1"/>
  <c r="H245" i="1"/>
  <c r="G245" i="1"/>
  <c r="X244" i="1"/>
  <c r="T244" i="1"/>
  <c r="U244" i="1" s="1" a="1"/>
  <c r="U244" i="1" s="1"/>
  <c r="Q244" i="1" a="1"/>
  <c r="Q244" i="1" s="1"/>
  <c r="P244" i="1"/>
  <c r="O244" i="1"/>
  <c r="L244" i="1"/>
  <c r="I244" i="1"/>
  <c r="H244" i="1"/>
  <c r="G244" i="1"/>
  <c r="X243" i="1"/>
  <c r="T243" i="1"/>
  <c r="U243" i="1" s="1" a="1"/>
  <c r="U243" i="1" s="1"/>
  <c r="Q243" i="1" a="1"/>
  <c r="Q243" i="1" s="1"/>
  <c r="P243" i="1"/>
  <c r="O243" i="1"/>
  <c r="L243" i="1"/>
  <c r="I243" i="1"/>
  <c r="H243" i="1"/>
  <c r="G243" i="1"/>
  <c r="X242" i="1"/>
  <c r="T242" i="1"/>
  <c r="U242" i="1" s="1" a="1"/>
  <c r="U242" i="1" s="1"/>
  <c r="Q242" i="1" a="1"/>
  <c r="Q242" i="1" s="1"/>
  <c r="P242" i="1"/>
  <c r="O242" i="1"/>
  <c r="L242" i="1"/>
  <c r="I242" i="1"/>
  <c r="H242" i="1"/>
  <c r="G242" i="1"/>
  <c r="X241" i="1"/>
  <c r="T241" i="1"/>
  <c r="U241" i="1" s="1" a="1"/>
  <c r="U241" i="1" s="1"/>
  <c r="Q241" i="1" a="1"/>
  <c r="Q241" i="1" s="1"/>
  <c r="P241" i="1"/>
  <c r="O241" i="1"/>
  <c r="L241" i="1"/>
  <c r="I241" i="1"/>
  <c r="H241" i="1"/>
  <c r="G241" i="1"/>
  <c r="X240" i="1"/>
  <c r="T240" i="1"/>
  <c r="U240" i="1" s="1" a="1"/>
  <c r="U240" i="1" s="1"/>
  <c r="Q240" i="1" a="1"/>
  <c r="Q240" i="1" s="1"/>
  <c r="P240" i="1"/>
  <c r="O240" i="1"/>
  <c r="L240" i="1"/>
  <c r="I240" i="1"/>
  <c r="H240" i="1"/>
  <c r="G240" i="1"/>
  <c r="X239" i="1"/>
  <c r="T239" i="1"/>
  <c r="U239" i="1" s="1" a="1"/>
  <c r="U239" i="1" s="1"/>
  <c r="Q239" i="1" a="1"/>
  <c r="Q239" i="1" s="1"/>
  <c r="P239" i="1"/>
  <c r="O239" i="1"/>
  <c r="L239" i="1"/>
  <c r="I239" i="1"/>
  <c r="H239" i="1"/>
  <c r="G239" i="1"/>
  <c r="X238" i="1"/>
  <c r="T238" i="1"/>
  <c r="U238" i="1" s="1" a="1"/>
  <c r="U238" i="1" s="1"/>
  <c r="Q238" i="1" a="1"/>
  <c r="Q238" i="1" s="1"/>
  <c r="P238" i="1"/>
  <c r="O238" i="1"/>
  <c r="L238" i="1"/>
  <c r="I238" i="1"/>
  <c r="H238" i="1"/>
  <c r="G238" i="1"/>
  <c r="X237" i="1"/>
  <c r="T237" i="1"/>
  <c r="U237" i="1" s="1" a="1"/>
  <c r="U237" i="1" s="1"/>
  <c r="Q237" i="1" a="1"/>
  <c r="Q237" i="1" s="1"/>
  <c r="P237" i="1"/>
  <c r="O237" i="1"/>
  <c r="L237" i="1"/>
  <c r="I237" i="1"/>
  <c r="H237" i="1"/>
  <c r="G237" i="1"/>
  <c r="X236" i="1"/>
  <c r="T236" i="1"/>
  <c r="U236" i="1" s="1" a="1"/>
  <c r="U236" i="1" s="1"/>
  <c r="Q236" i="1" a="1"/>
  <c r="Q236" i="1" s="1"/>
  <c r="P236" i="1"/>
  <c r="O236" i="1"/>
  <c r="L236" i="1"/>
  <c r="I236" i="1"/>
  <c r="H236" i="1"/>
  <c r="G236" i="1"/>
  <c r="X235" i="1"/>
  <c r="T235" i="1"/>
  <c r="U235" i="1" s="1" a="1"/>
  <c r="U235" i="1" s="1"/>
  <c r="Q235" i="1" a="1"/>
  <c r="Q235" i="1" s="1"/>
  <c r="P235" i="1"/>
  <c r="O235" i="1"/>
  <c r="L235" i="1"/>
  <c r="I235" i="1"/>
  <c r="H235" i="1"/>
  <c r="G235" i="1"/>
  <c r="X234" i="1"/>
  <c r="T234" i="1"/>
  <c r="U234" i="1" s="1" a="1"/>
  <c r="U234" i="1" s="1"/>
  <c r="Q234" i="1" a="1"/>
  <c r="Q234" i="1" s="1"/>
  <c r="P234" i="1"/>
  <c r="O234" i="1"/>
  <c r="L234" i="1"/>
  <c r="I234" i="1"/>
  <c r="H234" i="1"/>
  <c r="G234" i="1"/>
  <c r="X233" i="1"/>
  <c r="T233" i="1"/>
  <c r="U233" i="1" s="1" a="1"/>
  <c r="U233" i="1" s="1"/>
  <c r="Q233" i="1" a="1"/>
  <c r="Q233" i="1" s="1"/>
  <c r="P233" i="1"/>
  <c r="O233" i="1"/>
  <c r="L233" i="1"/>
  <c r="I233" i="1"/>
  <c r="H233" i="1"/>
  <c r="G233" i="1"/>
  <c r="X232" i="1"/>
  <c r="T232" i="1"/>
  <c r="U232" i="1" s="1" a="1"/>
  <c r="U232" i="1" s="1"/>
  <c r="Q232" i="1" a="1"/>
  <c r="Q232" i="1" s="1"/>
  <c r="P232" i="1"/>
  <c r="O232" i="1"/>
  <c r="L232" i="1"/>
  <c r="I232" i="1"/>
  <c r="H232" i="1"/>
  <c r="G232" i="1"/>
  <c r="X231" i="1"/>
  <c r="T231" i="1"/>
  <c r="U231" i="1" s="1" a="1"/>
  <c r="U231" i="1" s="1"/>
  <c r="Q231" i="1" a="1"/>
  <c r="Q231" i="1" s="1"/>
  <c r="P231" i="1"/>
  <c r="O231" i="1"/>
  <c r="L231" i="1"/>
  <c r="I231" i="1"/>
  <c r="H231" i="1"/>
  <c r="G231" i="1"/>
  <c r="X230" i="1"/>
  <c r="T230" i="1"/>
  <c r="U230" i="1" s="1" a="1"/>
  <c r="U230" i="1" s="1"/>
  <c r="Q230" i="1" a="1"/>
  <c r="Q230" i="1" s="1"/>
  <c r="P230" i="1"/>
  <c r="O230" i="1"/>
  <c r="L230" i="1"/>
  <c r="I230" i="1"/>
  <c r="H230" i="1"/>
  <c r="G230" i="1"/>
  <c r="X229" i="1"/>
  <c r="T229" i="1"/>
  <c r="U229" i="1" s="1" a="1"/>
  <c r="U229" i="1" s="1"/>
  <c r="Q229" i="1" a="1"/>
  <c r="Q229" i="1" s="1"/>
  <c r="P229" i="1"/>
  <c r="O229" i="1"/>
  <c r="L229" i="1"/>
  <c r="I229" i="1"/>
  <c r="H229" i="1"/>
  <c r="G229" i="1"/>
  <c r="X228" i="1"/>
  <c r="T228" i="1"/>
  <c r="U228" i="1" s="1" a="1"/>
  <c r="U228" i="1" s="1"/>
  <c r="Q228" i="1" a="1"/>
  <c r="Q228" i="1" s="1"/>
  <c r="P228" i="1"/>
  <c r="O228" i="1"/>
  <c r="L228" i="1"/>
  <c r="I228" i="1"/>
  <c r="H228" i="1"/>
  <c r="G228" i="1"/>
  <c r="X227" i="1"/>
  <c r="T227" i="1"/>
  <c r="U227" i="1" s="1" a="1"/>
  <c r="U227" i="1" s="1"/>
  <c r="Q227" i="1" a="1"/>
  <c r="Q227" i="1" s="1"/>
  <c r="P227" i="1"/>
  <c r="O227" i="1"/>
  <c r="L227" i="1"/>
  <c r="I227" i="1"/>
  <c r="H227" i="1"/>
  <c r="G227" i="1"/>
  <c r="X226" i="1"/>
  <c r="T226" i="1"/>
  <c r="U226" i="1" s="1" a="1"/>
  <c r="U226" i="1" s="1"/>
  <c r="Q226" i="1" a="1"/>
  <c r="Q226" i="1" s="1"/>
  <c r="P226" i="1"/>
  <c r="O226" i="1"/>
  <c r="L226" i="1"/>
  <c r="I226" i="1"/>
  <c r="H226" i="1"/>
  <c r="G226" i="1"/>
  <c r="X225" i="1"/>
  <c r="T225" i="1"/>
  <c r="U225" i="1" s="1" a="1"/>
  <c r="U225" i="1" s="1"/>
  <c r="Q225" i="1" a="1"/>
  <c r="Q225" i="1" s="1"/>
  <c r="P225" i="1"/>
  <c r="O225" i="1"/>
  <c r="L225" i="1"/>
  <c r="I225" i="1"/>
  <c r="H225" i="1"/>
  <c r="G225" i="1"/>
  <c r="X224" i="1"/>
  <c r="T224" i="1"/>
  <c r="U224" i="1" s="1" a="1"/>
  <c r="U224" i="1" s="1"/>
  <c r="Q224" i="1" a="1"/>
  <c r="Q224" i="1" s="1"/>
  <c r="P224" i="1"/>
  <c r="O224" i="1"/>
  <c r="L224" i="1"/>
  <c r="I224" i="1"/>
  <c r="H224" i="1"/>
  <c r="G224" i="1"/>
  <c r="X223" i="1"/>
  <c r="T223" i="1"/>
  <c r="U223" i="1" s="1" a="1"/>
  <c r="U223" i="1" s="1"/>
  <c r="Q223" i="1" a="1"/>
  <c r="Q223" i="1" s="1"/>
  <c r="P223" i="1"/>
  <c r="O223" i="1"/>
  <c r="L223" i="1"/>
  <c r="I223" i="1"/>
  <c r="H223" i="1"/>
  <c r="G223" i="1"/>
  <c r="X222" i="1"/>
  <c r="T222" i="1"/>
  <c r="U222" i="1" s="1" a="1"/>
  <c r="U222" i="1" s="1"/>
  <c r="Q222" i="1" a="1"/>
  <c r="Q222" i="1" s="1"/>
  <c r="P222" i="1"/>
  <c r="O222" i="1"/>
  <c r="L222" i="1"/>
  <c r="I222" i="1"/>
  <c r="H222" i="1"/>
  <c r="G222" i="1"/>
  <c r="X221" i="1"/>
  <c r="T221" i="1"/>
  <c r="U221" i="1" s="1" a="1"/>
  <c r="U221" i="1" s="1"/>
  <c r="Q221" i="1" a="1"/>
  <c r="Q221" i="1" s="1"/>
  <c r="P221" i="1"/>
  <c r="O221" i="1"/>
  <c r="L221" i="1"/>
  <c r="I221" i="1"/>
  <c r="H221" i="1"/>
  <c r="G221" i="1"/>
  <c r="X220" i="1"/>
  <c r="T220" i="1"/>
  <c r="U220" i="1" s="1" a="1"/>
  <c r="U220" i="1" s="1"/>
  <c r="Q220" i="1" a="1"/>
  <c r="Q220" i="1" s="1"/>
  <c r="P220" i="1"/>
  <c r="O220" i="1"/>
  <c r="L220" i="1"/>
  <c r="I220" i="1"/>
  <c r="H220" i="1"/>
  <c r="G220" i="1"/>
  <c r="X219" i="1"/>
  <c r="T219" i="1"/>
  <c r="U219" i="1" s="1" a="1"/>
  <c r="U219" i="1" s="1"/>
  <c r="Q219" i="1" a="1"/>
  <c r="Q219" i="1" s="1"/>
  <c r="P219" i="1"/>
  <c r="O219" i="1"/>
  <c r="L219" i="1"/>
  <c r="I219" i="1"/>
  <c r="H219" i="1"/>
  <c r="G219" i="1"/>
  <c r="X218" i="1"/>
  <c r="T218" i="1"/>
  <c r="U218" i="1" s="1" a="1"/>
  <c r="U218" i="1" s="1"/>
  <c r="Q218" i="1" a="1"/>
  <c r="Q218" i="1" s="1"/>
  <c r="P218" i="1"/>
  <c r="O218" i="1"/>
  <c r="L218" i="1"/>
  <c r="I218" i="1"/>
  <c r="H218" i="1"/>
  <c r="G218" i="1"/>
  <c r="X217" i="1"/>
  <c r="T217" i="1"/>
  <c r="U217" i="1" s="1" a="1"/>
  <c r="U217" i="1" s="1"/>
  <c r="Q217" i="1" a="1"/>
  <c r="Q217" i="1" s="1"/>
  <c r="P217" i="1"/>
  <c r="O217" i="1"/>
  <c r="L217" i="1"/>
  <c r="I217" i="1"/>
  <c r="H217" i="1"/>
  <c r="G217" i="1"/>
  <c r="X216" i="1"/>
  <c r="T216" i="1"/>
  <c r="U216" i="1" s="1" a="1"/>
  <c r="U216" i="1" s="1"/>
  <c r="Q216" i="1" a="1"/>
  <c r="Q216" i="1" s="1"/>
  <c r="P216" i="1"/>
  <c r="O216" i="1"/>
  <c r="L216" i="1"/>
  <c r="I216" i="1"/>
  <c r="H216" i="1"/>
  <c r="G216" i="1"/>
  <c r="X215" i="1"/>
  <c r="T215" i="1"/>
  <c r="U215" i="1" s="1" a="1"/>
  <c r="U215" i="1" s="1"/>
  <c r="Q215" i="1" a="1"/>
  <c r="Q215" i="1" s="1"/>
  <c r="P215" i="1"/>
  <c r="O215" i="1"/>
  <c r="L215" i="1"/>
  <c r="I215" i="1"/>
  <c r="H215" i="1"/>
  <c r="G215" i="1"/>
  <c r="X214" i="1"/>
  <c r="T214" i="1"/>
  <c r="U214" i="1" s="1" a="1"/>
  <c r="U214" i="1" s="1"/>
  <c r="Q214" i="1" a="1"/>
  <c r="Q214" i="1" s="1"/>
  <c r="P214" i="1"/>
  <c r="O214" i="1"/>
  <c r="L214" i="1"/>
  <c r="I214" i="1"/>
  <c r="H214" i="1"/>
  <c r="G214" i="1"/>
  <c r="X213" i="1"/>
  <c r="T213" i="1"/>
  <c r="U213" i="1" s="1" a="1"/>
  <c r="U213" i="1" s="1"/>
  <c r="Q213" i="1" a="1"/>
  <c r="Q213" i="1" s="1"/>
  <c r="P213" i="1"/>
  <c r="O213" i="1"/>
  <c r="L213" i="1"/>
  <c r="I213" i="1"/>
  <c r="H213" i="1"/>
  <c r="G213" i="1"/>
  <c r="X212" i="1"/>
  <c r="T212" i="1"/>
  <c r="U212" i="1" s="1" a="1"/>
  <c r="U212" i="1" s="1"/>
  <c r="Q212" i="1" a="1"/>
  <c r="Q212" i="1" s="1"/>
  <c r="P212" i="1"/>
  <c r="O212" i="1"/>
  <c r="L212" i="1"/>
  <c r="I212" i="1"/>
  <c r="H212" i="1"/>
  <c r="G212" i="1"/>
  <c r="X211" i="1"/>
  <c r="T211" i="1"/>
  <c r="U211" i="1" s="1" a="1"/>
  <c r="U211" i="1" s="1"/>
  <c r="Q211" i="1" a="1"/>
  <c r="Q211" i="1" s="1"/>
  <c r="P211" i="1"/>
  <c r="O211" i="1"/>
  <c r="L211" i="1"/>
  <c r="I211" i="1"/>
  <c r="H211" i="1"/>
  <c r="G211" i="1"/>
  <c r="X210" i="1"/>
  <c r="T210" i="1"/>
  <c r="U210" i="1" s="1" a="1"/>
  <c r="U210" i="1" s="1"/>
  <c r="Q210" i="1" a="1"/>
  <c r="Q210" i="1" s="1"/>
  <c r="P210" i="1"/>
  <c r="O210" i="1"/>
  <c r="L210" i="1"/>
  <c r="I210" i="1"/>
  <c r="H210" i="1"/>
  <c r="G210" i="1"/>
  <c r="X209" i="1"/>
  <c r="T209" i="1"/>
  <c r="U209" i="1" s="1" a="1"/>
  <c r="U209" i="1" s="1"/>
  <c r="Q209" i="1" a="1"/>
  <c r="Q209" i="1" s="1"/>
  <c r="P209" i="1"/>
  <c r="O209" i="1"/>
  <c r="L209" i="1"/>
  <c r="I209" i="1"/>
  <c r="H209" i="1"/>
  <c r="G209" i="1"/>
  <c r="X208" i="1"/>
  <c r="T208" i="1"/>
  <c r="U208" i="1" s="1" a="1"/>
  <c r="U208" i="1" s="1"/>
  <c r="Q208" i="1" a="1"/>
  <c r="Q208" i="1" s="1"/>
  <c r="P208" i="1"/>
  <c r="O208" i="1"/>
  <c r="L208" i="1"/>
  <c r="I208" i="1"/>
  <c r="H208" i="1"/>
  <c r="G208" i="1"/>
  <c r="X207" i="1"/>
  <c r="T207" i="1"/>
  <c r="U207" i="1" s="1" a="1"/>
  <c r="U207" i="1" s="1"/>
  <c r="Q207" i="1" a="1"/>
  <c r="Q207" i="1" s="1"/>
  <c r="P207" i="1"/>
  <c r="O207" i="1"/>
  <c r="L207" i="1"/>
  <c r="I207" i="1"/>
  <c r="H207" i="1"/>
  <c r="G207" i="1"/>
  <c r="X206" i="1"/>
  <c r="T206" i="1"/>
  <c r="U206" i="1" s="1" a="1"/>
  <c r="U206" i="1" s="1"/>
  <c r="Q206" i="1" a="1"/>
  <c r="Q206" i="1" s="1"/>
  <c r="P206" i="1"/>
  <c r="O206" i="1"/>
  <c r="L206" i="1"/>
  <c r="I206" i="1"/>
  <c r="H206" i="1"/>
  <c r="G206" i="1"/>
  <c r="X205" i="1"/>
  <c r="T205" i="1"/>
  <c r="U205" i="1" s="1" a="1"/>
  <c r="U205" i="1" s="1"/>
  <c r="Q205" i="1" a="1"/>
  <c r="Q205" i="1" s="1"/>
  <c r="P205" i="1"/>
  <c r="O205" i="1"/>
  <c r="L205" i="1"/>
  <c r="I205" i="1"/>
  <c r="H205" i="1"/>
  <c r="G205" i="1"/>
  <c r="X204" i="1"/>
  <c r="T204" i="1"/>
  <c r="U204" i="1" s="1" a="1"/>
  <c r="U204" i="1" s="1"/>
  <c r="Q204" i="1" a="1"/>
  <c r="Q204" i="1" s="1"/>
  <c r="P204" i="1"/>
  <c r="O204" i="1"/>
  <c r="L204" i="1"/>
  <c r="I204" i="1"/>
  <c r="H204" i="1"/>
  <c r="G204" i="1"/>
  <c r="X203" i="1"/>
  <c r="T203" i="1"/>
  <c r="U203" i="1" s="1" a="1"/>
  <c r="U203" i="1" s="1"/>
  <c r="Q203" i="1" a="1"/>
  <c r="Q203" i="1" s="1"/>
  <c r="P203" i="1"/>
  <c r="O203" i="1"/>
  <c r="L203" i="1"/>
  <c r="I203" i="1"/>
  <c r="H203" i="1"/>
  <c r="G203" i="1"/>
  <c r="X202" i="1"/>
  <c r="T202" i="1"/>
  <c r="U202" i="1" s="1" a="1"/>
  <c r="U202" i="1" s="1"/>
  <c r="Q202" i="1" a="1"/>
  <c r="Q202" i="1" s="1"/>
  <c r="P202" i="1"/>
  <c r="O202" i="1"/>
  <c r="L202" i="1"/>
  <c r="I202" i="1"/>
  <c r="H202" i="1"/>
  <c r="G202" i="1"/>
  <c r="X201" i="1"/>
  <c r="T201" i="1"/>
  <c r="U201" i="1" s="1" a="1"/>
  <c r="U201" i="1" s="1"/>
  <c r="Q201" i="1" a="1"/>
  <c r="Q201" i="1" s="1"/>
  <c r="P201" i="1"/>
  <c r="O201" i="1"/>
  <c r="L201" i="1"/>
  <c r="I201" i="1"/>
  <c r="H201" i="1"/>
  <c r="G201" i="1"/>
  <c r="X200" i="1"/>
  <c r="T200" i="1"/>
  <c r="U200" i="1" s="1" a="1"/>
  <c r="U200" i="1" s="1"/>
  <c r="Q200" i="1" a="1"/>
  <c r="Q200" i="1" s="1"/>
  <c r="P200" i="1"/>
  <c r="O200" i="1"/>
  <c r="L200" i="1"/>
  <c r="I200" i="1"/>
  <c r="H200" i="1"/>
  <c r="G200" i="1"/>
  <c r="X199" i="1"/>
  <c r="T199" i="1"/>
  <c r="U199" i="1" s="1" a="1"/>
  <c r="U199" i="1" s="1"/>
  <c r="Q199" i="1" a="1"/>
  <c r="Q199" i="1" s="1"/>
  <c r="P199" i="1"/>
  <c r="O199" i="1"/>
  <c r="L199" i="1"/>
  <c r="I199" i="1"/>
  <c r="H199" i="1"/>
  <c r="G199" i="1"/>
  <c r="X198" i="1"/>
  <c r="T198" i="1"/>
  <c r="U198" i="1" s="1" a="1"/>
  <c r="U198" i="1" s="1"/>
  <c r="Q198" i="1" a="1"/>
  <c r="Q198" i="1" s="1"/>
  <c r="P198" i="1"/>
  <c r="O198" i="1"/>
  <c r="L198" i="1"/>
  <c r="I198" i="1"/>
  <c r="H198" i="1"/>
  <c r="G198" i="1"/>
  <c r="X197" i="1"/>
  <c r="T197" i="1"/>
  <c r="U197" i="1" s="1" a="1"/>
  <c r="U197" i="1" s="1"/>
  <c r="Q197" i="1" a="1"/>
  <c r="Q197" i="1" s="1"/>
  <c r="P197" i="1"/>
  <c r="O197" i="1"/>
  <c r="L197" i="1"/>
  <c r="I197" i="1"/>
  <c r="H197" i="1"/>
  <c r="G197" i="1"/>
  <c r="X196" i="1"/>
  <c r="T196" i="1"/>
  <c r="U196" i="1" s="1" a="1"/>
  <c r="U196" i="1" s="1"/>
  <c r="Q196" i="1" a="1"/>
  <c r="Q196" i="1" s="1"/>
  <c r="P196" i="1"/>
  <c r="O196" i="1"/>
  <c r="L196" i="1"/>
  <c r="I196" i="1"/>
  <c r="H196" i="1"/>
  <c r="G196" i="1"/>
  <c r="X195" i="1"/>
  <c r="T195" i="1"/>
  <c r="U195" i="1" s="1" a="1"/>
  <c r="U195" i="1" s="1"/>
  <c r="Q195" i="1" a="1"/>
  <c r="Q195" i="1" s="1"/>
  <c r="P195" i="1"/>
  <c r="O195" i="1"/>
  <c r="L195" i="1"/>
  <c r="I195" i="1"/>
  <c r="H195" i="1"/>
  <c r="G195" i="1"/>
  <c r="X194" i="1"/>
  <c r="T194" i="1"/>
  <c r="U194" i="1" s="1" a="1"/>
  <c r="U194" i="1" s="1"/>
  <c r="Q194" i="1" a="1"/>
  <c r="Q194" i="1" s="1"/>
  <c r="P194" i="1"/>
  <c r="O194" i="1"/>
  <c r="L194" i="1"/>
  <c r="I194" i="1"/>
  <c r="H194" i="1"/>
  <c r="G194" i="1"/>
  <c r="X193" i="1"/>
  <c r="T193" i="1"/>
  <c r="U193" i="1" s="1" a="1"/>
  <c r="U193" i="1" s="1"/>
  <c r="Q193" i="1" a="1"/>
  <c r="Q193" i="1" s="1"/>
  <c r="P193" i="1"/>
  <c r="O193" i="1"/>
  <c r="L193" i="1"/>
  <c r="I193" i="1"/>
  <c r="H193" i="1"/>
  <c r="G193" i="1"/>
  <c r="X192" i="1"/>
  <c r="T192" i="1"/>
  <c r="U192" i="1" s="1" a="1"/>
  <c r="U192" i="1" s="1"/>
  <c r="Q192" i="1" a="1"/>
  <c r="Q192" i="1" s="1"/>
  <c r="P192" i="1"/>
  <c r="O192" i="1"/>
  <c r="L192" i="1"/>
  <c r="I192" i="1"/>
  <c r="H192" i="1"/>
  <c r="G192" i="1"/>
  <c r="X191" i="1"/>
  <c r="T191" i="1"/>
  <c r="U191" i="1" s="1" a="1"/>
  <c r="U191" i="1" s="1"/>
  <c r="Q191" i="1" a="1"/>
  <c r="Q191" i="1" s="1"/>
  <c r="P191" i="1"/>
  <c r="O191" i="1"/>
  <c r="L191" i="1"/>
  <c r="I191" i="1"/>
  <c r="H191" i="1"/>
  <c r="G191" i="1"/>
  <c r="X190" i="1"/>
  <c r="T190" i="1"/>
  <c r="U190" i="1" s="1" a="1"/>
  <c r="U190" i="1" s="1"/>
  <c r="Q190" i="1" a="1"/>
  <c r="Q190" i="1" s="1"/>
  <c r="P190" i="1"/>
  <c r="O190" i="1"/>
  <c r="L190" i="1"/>
  <c r="I190" i="1"/>
  <c r="H190" i="1"/>
  <c r="G190" i="1"/>
  <c r="X189" i="1"/>
  <c r="T189" i="1"/>
  <c r="U189" i="1" s="1" a="1"/>
  <c r="U189" i="1" s="1"/>
  <c r="Q189" i="1" a="1"/>
  <c r="Q189" i="1" s="1"/>
  <c r="P189" i="1"/>
  <c r="O189" i="1"/>
  <c r="L189" i="1"/>
  <c r="I189" i="1"/>
  <c r="H189" i="1"/>
  <c r="G189" i="1"/>
  <c r="X188" i="1"/>
  <c r="T188" i="1"/>
  <c r="U188" i="1" s="1" a="1"/>
  <c r="U188" i="1" s="1"/>
  <c r="P188" i="1"/>
  <c r="Q188" i="1" s="1" a="1"/>
  <c r="Q188" i="1" s="1"/>
  <c r="O188" i="1"/>
  <c r="L188" i="1"/>
  <c r="I188" i="1"/>
  <c r="H188" i="1"/>
  <c r="G188" i="1"/>
  <c r="X187" i="1"/>
  <c r="U187" i="1" a="1"/>
  <c r="U187" i="1" s="1"/>
  <c r="T187" i="1"/>
  <c r="P187" i="1"/>
  <c r="Q187" i="1" s="1" a="1"/>
  <c r="Q187" i="1" s="1"/>
  <c r="O187" i="1"/>
  <c r="L187" i="1"/>
  <c r="I187" i="1"/>
  <c r="H187" i="1"/>
  <c r="G187" i="1"/>
  <c r="X186" i="1"/>
  <c r="U186" i="1" a="1"/>
  <c r="U186" i="1" s="1"/>
  <c r="T186" i="1"/>
  <c r="P186" i="1"/>
  <c r="Q186" i="1" s="1" a="1"/>
  <c r="Q186" i="1" s="1"/>
  <c r="O186" i="1"/>
  <c r="L186" i="1"/>
  <c r="I186" i="1"/>
  <c r="H186" i="1"/>
  <c r="G186" i="1"/>
  <c r="X185" i="1"/>
  <c r="U185" i="1" a="1"/>
  <c r="U185" i="1" s="1"/>
  <c r="T185" i="1"/>
  <c r="P185" i="1"/>
  <c r="Q185" i="1" s="1" a="1"/>
  <c r="Q185" i="1" s="1"/>
  <c r="O185" i="1"/>
  <c r="L185" i="1"/>
  <c r="I185" i="1"/>
  <c r="H185" i="1"/>
  <c r="G185" i="1"/>
  <c r="X184" i="1"/>
  <c r="U184" i="1" a="1"/>
  <c r="U184" i="1" s="1"/>
  <c r="T184" i="1"/>
  <c r="P184" i="1"/>
  <c r="Q184" i="1" s="1" a="1"/>
  <c r="Q184" i="1" s="1"/>
  <c r="O184" i="1"/>
  <c r="L184" i="1"/>
  <c r="I184" i="1"/>
  <c r="H184" i="1"/>
  <c r="G184" i="1"/>
  <c r="X183" i="1"/>
  <c r="U183" i="1" a="1"/>
  <c r="U183" i="1" s="1"/>
  <c r="T183" i="1"/>
  <c r="P183" i="1"/>
  <c r="Q183" i="1" s="1" a="1"/>
  <c r="Q183" i="1" s="1"/>
  <c r="O183" i="1"/>
  <c r="L183" i="1"/>
  <c r="I183" i="1"/>
  <c r="H183" i="1"/>
  <c r="G183" i="1"/>
  <c r="X182" i="1"/>
  <c r="U182" i="1" a="1"/>
  <c r="U182" i="1" s="1"/>
  <c r="T182" i="1"/>
  <c r="P182" i="1"/>
  <c r="Q182" i="1" s="1" a="1"/>
  <c r="Q182" i="1" s="1"/>
  <c r="O182" i="1"/>
  <c r="L182" i="1"/>
  <c r="I182" i="1"/>
  <c r="H182" i="1"/>
  <c r="G182" i="1"/>
  <c r="X181" i="1"/>
  <c r="U181" i="1" a="1"/>
  <c r="U181" i="1" s="1"/>
  <c r="T181" i="1"/>
  <c r="P181" i="1"/>
  <c r="Q181" i="1" s="1" a="1"/>
  <c r="Q181" i="1" s="1"/>
  <c r="O181" i="1"/>
  <c r="L181" i="1"/>
  <c r="I181" i="1"/>
  <c r="H181" i="1"/>
  <c r="G181" i="1"/>
  <c r="X180" i="1"/>
  <c r="U180" i="1" a="1"/>
  <c r="U180" i="1" s="1"/>
  <c r="T180" i="1"/>
  <c r="P180" i="1"/>
  <c r="Q180" i="1" s="1" a="1"/>
  <c r="Q180" i="1" s="1"/>
  <c r="O180" i="1"/>
  <c r="L180" i="1"/>
  <c r="I180" i="1"/>
  <c r="H180" i="1"/>
  <c r="G180" i="1"/>
  <c r="X179" i="1"/>
  <c r="U179" i="1" a="1"/>
  <c r="U179" i="1" s="1"/>
  <c r="T179" i="1"/>
  <c r="P179" i="1"/>
  <c r="Q179" i="1" s="1" a="1"/>
  <c r="Q179" i="1" s="1"/>
  <c r="O179" i="1"/>
  <c r="L179" i="1"/>
  <c r="I179" i="1"/>
  <c r="H179" i="1"/>
  <c r="G179" i="1"/>
  <c r="X178" i="1"/>
  <c r="U178" i="1" a="1"/>
  <c r="U178" i="1" s="1"/>
  <c r="T178" i="1"/>
  <c r="P178" i="1"/>
  <c r="Q178" i="1" s="1" a="1"/>
  <c r="Q178" i="1" s="1"/>
  <c r="O178" i="1"/>
  <c r="L178" i="1"/>
  <c r="I178" i="1"/>
  <c r="H178" i="1"/>
  <c r="G178" i="1"/>
  <c r="X177" i="1"/>
  <c r="U177" i="1" a="1"/>
  <c r="U177" i="1" s="1"/>
  <c r="T177" i="1"/>
  <c r="P177" i="1"/>
  <c r="Q177" i="1" s="1" a="1"/>
  <c r="Q177" i="1" s="1"/>
  <c r="O177" i="1"/>
  <c r="L177" i="1"/>
  <c r="I177" i="1"/>
  <c r="H177" i="1"/>
  <c r="G177" i="1"/>
  <c r="X176" i="1"/>
  <c r="U176" i="1" a="1"/>
  <c r="U176" i="1" s="1"/>
  <c r="T176" i="1"/>
  <c r="P176" i="1"/>
  <c r="Q176" i="1" s="1" a="1"/>
  <c r="Q176" i="1" s="1"/>
  <c r="O176" i="1"/>
  <c r="L176" i="1"/>
  <c r="I176" i="1"/>
  <c r="H176" i="1"/>
  <c r="G176" i="1"/>
  <c r="X175" i="1"/>
  <c r="U175" i="1" a="1"/>
  <c r="U175" i="1" s="1"/>
  <c r="T175" i="1"/>
  <c r="P175" i="1"/>
  <c r="Q175" i="1" s="1" a="1"/>
  <c r="Q175" i="1" s="1"/>
  <c r="O175" i="1"/>
  <c r="L175" i="1"/>
  <c r="I175" i="1"/>
  <c r="H175" i="1"/>
  <c r="G175" i="1"/>
  <c r="X174" i="1"/>
  <c r="U174" i="1" a="1"/>
  <c r="U174" i="1" s="1"/>
  <c r="T174" i="1"/>
  <c r="P174" i="1"/>
  <c r="Q174" i="1" s="1" a="1"/>
  <c r="Q174" i="1" s="1"/>
  <c r="O174" i="1"/>
  <c r="L174" i="1"/>
  <c r="I174" i="1"/>
  <c r="H174" i="1"/>
  <c r="G174" i="1"/>
  <c r="X173" i="1"/>
  <c r="U173" i="1" a="1"/>
  <c r="U173" i="1" s="1"/>
  <c r="T173" i="1"/>
  <c r="P173" i="1"/>
  <c r="Q173" i="1" s="1" a="1"/>
  <c r="Q173" i="1" s="1"/>
  <c r="O173" i="1"/>
  <c r="L173" i="1"/>
  <c r="I173" i="1"/>
  <c r="H173" i="1"/>
  <c r="G173" i="1"/>
  <c r="X172" i="1"/>
  <c r="U172" i="1" a="1"/>
  <c r="U172" i="1" s="1"/>
  <c r="T172" i="1"/>
  <c r="P172" i="1"/>
  <c r="Q172" i="1" s="1" a="1"/>
  <c r="Q172" i="1" s="1"/>
  <c r="O172" i="1"/>
  <c r="L172" i="1"/>
  <c r="I172" i="1"/>
  <c r="H172" i="1"/>
  <c r="G172" i="1"/>
  <c r="X171" i="1"/>
  <c r="U171" i="1" a="1"/>
  <c r="U171" i="1" s="1"/>
  <c r="T171" i="1"/>
  <c r="P171" i="1"/>
  <c r="Q171" i="1" s="1" a="1"/>
  <c r="Q171" i="1" s="1"/>
  <c r="O171" i="1"/>
  <c r="L171" i="1"/>
  <c r="I171" i="1"/>
  <c r="H171" i="1"/>
  <c r="G171" i="1"/>
  <c r="X170" i="1"/>
  <c r="U170" i="1" a="1"/>
  <c r="U170" i="1" s="1"/>
  <c r="T170" i="1"/>
  <c r="P170" i="1"/>
  <c r="Q170" i="1" s="1" a="1"/>
  <c r="Q170" i="1" s="1"/>
  <c r="O170" i="1"/>
  <c r="L170" i="1"/>
  <c r="I170" i="1"/>
  <c r="H170" i="1"/>
  <c r="G170" i="1"/>
  <c r="X169" i="1"/>
  <c r="U169" i="1" a="1"/>
  <c r="U169" i="1" s="1"/>
  <c r="T169" i="1"/>
  <c r="P169" i="1"/>
  <c r="Q169" i="1" s="1" a="1"/>
  <c r="Q169" i="1" s="1"/>
  <c r="O169" i="1"/>
  <c r="L169" i="1"/>
  <c r="I169" i="1"/>
  <c r="H169" i="1"/>
  <c r="G169" i="1"/>
  <c r="X168" i="1"/>
  <c r="U168" i="1" a="1"/>
  <c r="U168" i="1" s="1"/>
  <c r="T168" i="1"/>
  <c r="P168" i="1"/>
  <c r="Q168" i="1" s="1" a="1"/>
  <c r="Q168" i="1" s="1"/>
  <c r="O168" i="1"/>
  <c r="L168" i="1"/>
  <c r="I168" i="1"/>
  <c r="H168" i="1"/>
  <c r="G168" i="1"/>
  <c r="X167" i="1"/>
  <c r="U167" i="1" a="1"/>
  <c r="U167" i="1" s="1"/>
  <c r="T167" i="1"/>
  <c r="P167" i="1"/>
  <c r="Q167" i="1" s="1" a="1"/>
  <c r="Q167" i="1" s="1"/>
  <c r="O167" i="1"/>
  <c r="L167" i="1"/>
  <c r="I167" i="1"/>
  <c r="H167" i="1"/>
  <c r="G167" i="1"/>
  <c r="X166" i="1"/>
  <c r="U166" i="1" a="1"/>
  <c r="U166" i="1" s="1"/>
  <c r="T166" i="1"/>
  <c r="P166" i="1"/>
  <c r="Q166" i="1" s="1" a="1"/>
  <c r="Q166" i="1" s="1"/>
  <c r="O166" i="1"/>
  <c r="L166" i="1"/>
  <c r="I166" i="1"/>
  <c r="H166" i="1"/>
  <c r="G166" i="1"/>
  <c r="X165" i="1"/>
  <c r="U165" i="1" a="1"/>
  <c r="U165" i="1" s="1"/>
  <c r="T165" i="1"/>
  <c r="P165" i="1"/>
  <c r="Q165" i="1" s="1" a="1"/>
  <c r="Q165" i="1" s="1"/>
  <c r="O165" i="1"/>
  <c r="L165" i="1"/>
  <c r="I165" i="1"/>
  <c r="H165" i="1"/>
  <c r="G165" i="1"/>
  <c r="X164" i="1"/>
  <c r="U164" i="1" a="1"/>
  <c r="U164" i="1" s="1"/>
  <c r="T164" i="1"/>
  <c r="P164" i="1"/>
  <c r="Q164" i="1" s="1" a="1"/>
  <c r="Q164" i="1" s="1"/>
  <c r="O164" i="1"/>
  <c r="L164" i="1"/>
  <c r="I164" i="1"/>
  <c r="H164" i="1"/>
  <c r="G164" i="1"/>
  <c r="X163" i="1"/>
  <c r="U163" i="1" a="1"/>
  <c r="U163" i="1" s="1"/>
  <c r="T163" i="1"/>
  <c r="P163" i="1"/>
  <c r="Q163" i="1" s="1" a="1"/>
  <c r="Q163" i="1" s="1"/>
  <c r="O163" i="1"/>
  <c r="L163" i="1"/>
  <c r="I163" i="1"/>
  <c r="H163" i="1"/>
  <c r="G163" i="1"/>
  <c r="X162" i="1"/>
  <c r="U162" i="1" a="1"/>
  <c r="U162" i="1" s="1"/>
  <c r="T162" i="1"/>
  <c r="P162" i="1"/>
  <c r="Q162" i="1" s="1" a="1"/>
  <c r="Q162" i="1" s="1"/>
  <c r="O162" i="1"/>
  <c r="L162" i="1"/>
  <c r="I162" i="1"/>
  <c r="H162" i="1"/>
  <c r="G162" i="1"/>
  <c r="X161" i="1"/>
  <c r="U161" i="1" a="1"/>
  <c r="U161" i="1" s="1"/>
  <c r="T161" i="1"/>
  <c r="P161" i="1"/>
  <c r="Q161" i="1" s="1" a="1"/>
  <c r="Q161" i="1" s="1"/>
  <c r="O161" i="1"/>
  <c r="L161" i="1"/>
  <c r="I161" i="1"/>
  <c r="H161" i="1"/>
  <c r="G161" i="1"/>
  <c r="X160" i="1"/>
  <c r="U160" i="1" a="1"/>
  <c r="U160" i="1" s="1"/>
  <c r="T160" i="1"/>
  <c r="P160" i="1"/>
  <c r="Q160" i="1" s="1" a="1"/>
  <c r="Q160" i="1" s="1"/>
  <c r="O160" i="1"/>
  <c r="L160" i="1"/>
  <c r="I160" i="1"/>
  <c r="H160" i="1"/>
  <c r="G160" i="1"/>
  <c r="X159" i="1"/>
  <c r="U159" i="1" a="1"/>
  <c r="U159" i="1" s="1"/>
  <c r="T159" i="1"/>
  <c r="P159" i="1"/>
  <c r="Q159" i="1" s="1" a="1"/>
  <c r="Q159" i="1" s="1"/>
  <c r="O159" i="1"/>
  <c r="L159" i="1"/>
  <c r="I159" i="1"/>
  <c r="H159" i="1"/>
  <c r="G159" i="1"/>
  <c r="X158" i="1"/>
  <c r="U158" i="1" a="1"/>
  <c r="U158" i="1" s="1"/>
  <c r="T158" i="1"/>
  <c r="P158" i="1"/>
  <c r="Q158" i="1" s="1" a="1"/>
  <c r="Q158" i="1" s="1"/>
  <c r="O158" i="1"/>
  <c r="L158" i="1"/>
  <c r="I158" i="1"/>
  <c r="H158" i="1"/>
  <c r="G158" i="1"/>
  <c r="X157" i="1"/>
  <c r="U157" i="1" a="1"/>
  <c r="U157" i="1" s="1"/>
  <c r="T157" i="1"/>
  <c r="P157" i="1"/>
  <c r="Q157" i="1" s="1" a="1"/>
  <c r="Q157" i="1" s="1"/>
  <c r="O157" i="1"/>
  <c r="L157" i="1"/>
  <c r="I157" i="1"/>
  <c r="H157" i="1"/>
  <c r="G157" i="1"/>
  <c r="X156" i="1"/>
  <c r="U156" i="1" a="1"/>
  <c r="U156" i="1" s="1"/>
  <c r="T156" i="1"/>
  <c r="P156" i="1"/>
  <c r="Q156" i="1" s="1" a="1"/>
  <c r="Q156" i="1" s="1"/>
  <c r="O156" i="1"/>
  <c r="L156" i="1"/>
  <c r="I156" i="1"/>
  <c r="H156" i="1"/>
  <c r="G156" i="1"/>
  <c r="X155" i="1"/>
  <c r="U155" i="1" a="1"/>
  <c r="U155" i="1" s="1"/>
  <c r="T155" i="1"/>
  <c r="P155" i="1"/>
  <c r="Q155" i="1" s="1" a="1"/>
  <c r="Q155" i="1" s="1"/>
  <c r="O155" i="1"/>
  <c r="L155" i="1"/>
  <c r="I155" i="1"/>
  <c r="H155" i="1"/>
  <c r="G155" i="1"/>
  <c r="X154" i="1"/>
  <c r="U154" i="1" a="1"/>
  <c r="U154" i="1" s="1"/>
  <c r="T154" i="1"/>
  <c r="P154" i="1"/>
  <c r="Q154" i="1" s="1" a="1"/>
  <c r="Q154" i="1" s="1"/>
  <c r="O154" i="1"/>
  <c r="L154" i="1"/>
  <c r="I154" i="1"/>
  <c r="H154" i="1"/>
  <c r="G154" i="1"/>
  <c r="X153" i="1"/>
  <c r="U153" i="1" a="1"/>
  <c r="U153" i="1" s="1"/>
  <c r="T153" i="1"/>
  <c r="P153" i="1"/>
  <c r="Q153" i="1" s="1" a="1"/>
  <c r="Q153" i="1" s="1"/>
  <c r="O153" i="1"/>
  <c r="L153" i="1"/>
  <c r="I153" i="1"/>
  <c r="H153" i="1"/>
  <c r="G153" i="1"/>
  <c r="X152" i="1"/>
  <c r="U152" i="1" a="1"/>
  <c r="U152" i="1" s="1"/>
  <c r="T152" i="1"/>
  <c r="P152" i="1"/>
  <c r="Q152" i="1" s="1" a="1"/>
  <c r="Q152" i="1" s="1"/>
  <c r="O152" i="1"/>
  <c r="L152" i="1"/>
  <c r="I152" i="1"/>
  <c r="H152" i="1"/>
  <c r="G152" i="1"/>
  <c r="X151" i="1"/>
  <c r="U151" i="1" a="1"/>
  <c r="U151" i="1" s="1"/>
  <c r="T151" i="1"/>
  <c r="P151" i="1"/>
  <c r="Q151" i="1" s="1" a="1"/>
  <c r="Q151" i="1" s="1"/>
  <c r="O151" i="1"/>
  <c r="L151" i="1"/>
  <c r="I151" i="1"/>
  <c r="H151" i="1"/>
  <c r="G151" i="1"/>
  <c r="X150" i="1"/>
  <c r="U150" i="1" a="1"/>
  <c r="U150" i="1" s="1"/>
  <c r="T150" i="1"/>
  <c r="P150" i="1"/>
  <c r="Q150" i="1" s="1" a="1"/>
  <c r="Q150" i="1" s="1"/>
  <c r="O150" i="1"/>
  <c r="L150" i="1"/>
  <c r="I150" i="1"/>
  <c r="H150" i="1"/>
  <c r="G150" i="1"/>
  <c r="X149" i="1"/>
  <c r="T149" i="1"/>
  <c r="U149" i="1" s="1" a="1"/>
  <c r="U149" i="1" s="1"/>
  <c r="P149" i="1"/>
  <c r="Q149" i="1" s="1" a="1"/>
  <c r="Q149" i="1" s="1"/>
  <c r="O149" i="1"/>
  <c r="L149" i="1"/>
  <c r="I149" i="1"/>
  <c r="H149" i="1"/>
  <c r="G149" i="1"/>
  <c r="X148" i="1"/>
  <c r="T148" i="1"/>
  <c r="U148" i="1" s="1" a="1"/>
  <c r="U148" i="1" s="1"/>
  <c r="Q148" i="1" a="1"/>
  <c r="Q148" i="1" s="1"/>
  <c r="P148" i="1"/>
  <c r="O148" i="1"/>
  <c r="L148" i="1"/>
  <c r="I148" i="1"/>
  <c r="H148" i="1"/>
  <c r="G148" i="1"/>
  <c r="X147" i="1"/>
  <c r="T147" i="1"/>
  <c r="U147" i="1" s="1" a="1"/>
  <c r="U147" i="1" s="1"/>
  <c r="Q147" i="1" a="1"/>
  <c r="Q147" i="1" s="1"/>
  <c r="P147" i="1"/>
  <c r="O147" i="1"/>
  <c r="L147" i="1"/>
  <c r="I147" i="1"/>
  <c r="H147" i="1"/>
  <c r="G147" i="1"/>
  <c r="X146" i="1"/>
  <c r="T146" i="1"/>
  <c r="U146" i="1" s="1" a="1"/>
  <c r="U146" i="1" s="1"/>
  <c r="Q146" i="1" a="1"/>
  <c r="Q146" i="1" s="1"/>
  <c r="P146" i="1"/>
  <c r="O146" i="1"/>
  <c r="L146" i="1"/>
  <c r="I146" i="1"/>
  <c r="H146" i="1"/>
  <c r="G146" i="1"/>
  <c r="X145" i="1"/>
  <c r="T145" i="1"/>
  <c r="U145" i="1" s="1" a="1"/>
  <c r="U145" i="1" s="1"/>
  <c r="Q145" i="1" a="1"/>
  <c r="Q145" i="1" s="1"/>
  <c r="P145" i="1"/>
  <c r="O145" i="1"/>
  <c r="L145" i="1"/>
  <c r="I145" i="1"/>
  <c r="H145" i="1"/>
  <c r="G145" i="1"/>
  <c r="X144" i="1"/>
  <c r="T144" i="1"/>
  <c r="U144" i="1" s="1" a="1"/>
  <c r="U144" i="1" s="1"/>
  <c r="Q144" i="1" a="1"/>
  <c r="Q144" i="1" s="1"/>
  <c r="P144" i="1"/>
  <c r="O144" i="1"/>
  <c r="L144" i="1"/>
  <c r="I144" i="1"/>
  <c r="H144" i="1"/>
  <c r="G144" i="1"/>
  <c r="X143" i="1"/>
  <c r="T143" i="1"/>
  <c r="U143" i="1" s="1" a="1"/>
  <c r="U143" i="1" s="1"/>
  <c r="Q143" i="1" a="1"/>
  <c r="Q143" i="1" s="1"/>
  <c r="P143" i="1"/>
  <c r="O143" i="1"/>
  <c r="L143" i="1"/>
  <c r="I143" i="1"/>
  <c r="H143" i="1"/>
  <c r="G143" i="1"/>
  <c r="X142" i="1"/>
  <c r="T142" i="1"/>
  <c r="U142" i="1" s="1" a="1"/>
  <c r="U142" i="1" s="1"/>
  <c r="Q142" i="1" a="1"/>
  <c r="Q142" i="1" s="1"/>
  <c r="P142" i="1"/>
  <c r="O142" i="1"/>
  <c r="L142" i="1"/>
  <c r="I142" i="1"/>
  <c r="H142" i="1"/>
  <c r="G142" i="1"/>
  <c r="X141" i="1"/>
  <c r="T141" i="1"/>
  <c r="U141" i="1" s="1" a="1"/>
  <c r="U141" i="1" s="1"/>
  <c r="Q141" i="1" a="1"/>
  <c r="Q141" i="1" s="1"/>
  <c r="P141" i="1"/>
  <c r="O141" i="1"/>
  <c r="L141" i="1"/>
  <c r="I141" i="1"/>
  <c r="H141" i="1"/>
  <c r="G141" i="1"/>
  <c r="X140" i="1"/>
  <c r="T140" i="1"/>
  <c r="U140" i="1" s="1" a="1"/>
  <c r="U140" i="1" s="1"/>
  <c r="Q140" i="1" a="1"/>
  <c r="Q140" i="1" s="1"/>
  <c r="P140" i="1"/>
  <c r="O140" i="1"/>
  <c r="L140" i="1"/>
  <c r="I140" i="1"/>
  <c r="H140" i="1"/>
  <c r="G140" i="1"/>
  <c r="X139" i="1"/>
  <c r="T139" i="1"/>
  <c r="U139" i="1" s="1" a="1"/>
  <c r="U139" i="1" s="1"/>
  <c r="Q139" i="1" a="1"/>
  <c r="Q139" i="1" s="1"/>
  <c r="P139" i="1"/>
  <c r="O139" i="1"/>
  <c r="L139" i="1"/>
  <c r="I139" i="1"/>
  <c r="H139" i="1"/>
  <c r="G139" i="1"/>
  <c r="X138" i="1"/>
  <c r="T138" i="1"/>
  <c r="U138" i="1" s="1" a="1"/>
  <c r="U138" i="1" s="1"/>
  <c r="Q138" i="1" a="1"/>
  <c r="Q138" i="1" s="1"/>
  <c r="P138" i="1"/>
  <c r="O138" i="1"/>
  <c r="L138" i="1"/>
  <c r="I138" i="1"/>
  <c r="H138" i="1"/>
  <c r="G138" i="1"/>
  <c r="X137" i="1"/>
  <c r="T137" i="1"/>
  <c r="U137" i="1" s="1" a="1"/>
  <c r="U137" i="1" s="1"/>
  <c r="Q137" i="1" a="1"/>
  <c r="Q137" i="1" s="1"/>
  <c r="P137" i="1"/>
  <c r="O137" i="1"/>
  <c r="L137" i="1"/>
  <c r="I137" i="1"/>
  <c r="H137" i="1"/>
  <c r="G137" i="1"/>
  <c r="X136" i="1"/>
  <c r="T136" i="1"/>
  <c r="U136" i="1" s="1" a="1"/>
  <c r="U136" i="1" s="1"/>
  <c r="Q136" i="1" a="1"/>
  <c r="Q136" i="1" s="1"/>
  <c r="P136" i="1"/>
  <c r="O136" i="1"/>
  <c r="L136" i="1"/>
  <c r="I136" i="1"/>
  <c r="H136" i="1"/>
  <c r="G136" i="1"/>
  <c r="X135" i="1"/>
  <c r="T135" i="1"/>
  <c r="U135" i="1" s="1" a="1"/>
  <c r="U135" i="1" s="1"/>
  <c r="Q135" i="1" a="1"/>
  <c r="Q135" i="1" s="1"/>
  <c r="P135" i="1"/>
  <c r="O135" i="1"/>
  <c r="L135" i="1"/>
  <c r="I135" i="1"/>
  <c r="H135" i="1"/>
  <c r="G135" i="1"/>
  <c r="X134" i="1"/>
  <c r="T134" i="1"/>
  <c r="U134" i="1" s="1" a="1"/>
  <c r="U134" i="1" s="1"/>
  <c r="Q134" i="1" a="1"/>
  <c r="Q134" i="1" s="1"/>
  <c r="P134" i="1"/>
  <c r="O134" i="1"/>
  <c r="L134" i="1"/>
  <c r="I134" i="1"/>
  <c r="H134" i="1"/>
  <c r="G134" i="1"/>
  <c r="X133" i="1"/>
  <c r="T133" i="1"/>
  <c r="U133" i="1" s="1" a="1"/>
  <c r="U133" i="1" s="1"/>
  <c r="Q133" i="1" a="1"/>
  <c r="Q133" i="1" s="1"/>
  <c r="P133" i="1"/>
  <c r="O133" i="1"/>
  <c r="L133" i="1"/>
  <c r="I133" i="1"/>
  <c r="H133" i="1"/>
  <c r="G133" i="1"/>
  <c r="X132" i="1"/>
  <c r="T132" i="1"/>
  <c r="U132" i="1" s="1" a="1"/>
  <c r="U132" i="1" s="1"/>
  <c r="Q132" i="1" a="1"/>
  <c r="Q132" i="1" s="1"/>
  <c r="P132" i="1"/>
  <c r="O132" i="1"/>
  <c r="L132" i="1"/>
  <c r="I132" i="1"/>
  <c r="H132" i="1"/>
  <c r="G132" i="1"/>
  <c r="X131" i="1"/>
  <c r="T131" i="1"/>
  <c r="U131" i="1" s="1" a="1"/>
  <c r="U131" i="1" s="1"/>
  <c r="Q131" i="1" a="1"/>
  <c r="Q131" i="1" s="1"/>
  <c r="P131" i="1"/>
  <c r="O131" i="1"/>
  <c r="L131" i="1"/>
  <c r="I131" i="1"/>
  <c r="H131" i="1"/>
  <c r="G131" i="1"/>
  <c r="X130" i="1"/>
  <c r="T130" i="1"/>
  <c r="U130" i="1" s="1" a="1"/>
  <c r="U130" i="1" s="1"/>
  <c r="Q130" i="1" a="1"/>
  <c r="Q130" i="1" s="1"/>
  <c r="P130" i="1"/>
  <c r="O130" i="1"/>
  <c r="L130" i="1"/>
  <c r="I130" i="1"/>
  <c r="H130" i="1"/>
  <c r="G130" i="1"/>
  <c r="X129" i="1"/>
  <c r="T129" i="1"/>
  <c r="U129" i="1" s="1" a="1"/>
  <c r="U129" i="1" s="1"/>
  <c r="Q129" i="1" a="1"/>
  <c r="Q129" i="1" s="1"/>
  <c r="P129" i="1"/>
  <c r="O129" i="1"/>
  <c r="L129" i="1"/>
  <c r="I129" i="1"/>
  <c r="H129" i="1"/>
  <c r="G129" i="1"/>
  <c r="X128" i="1"/>
  <c r="T128" i="1"/>
  <c r="U128" i="1" s="1" a="1"/>
  <c r="U128" i="1" s="1"/>
  <c r="Q128" i="1" a="1"/>
  <c r="Q128" i="1" s="1"/>
  <c r="P128" i="1"/>
  <c r="O128" i="1"/>
  <c r="L128" i="1"/>
  <c r="I128" i="1"/>
  <c r="H128" i="1"/>
  <c r="G128" i="1"/>
  <c r="X127" i="1"/>
  <c r="T127" i="1"/>
  <c r="U127" i="1" s="1" a="1"/>
  <c r="U127" i="1" s="1"/>
  <c r="Q127" i="1" a="1"/>
  <c r="Q127" i="1" s="1"/>
  <c r="P127" i="1"/>
  <c r="O127" i="1"/>
  <c r="L127" i="1"/>
  <c r="I127" i="1"/>
  <c r="H127" i="1"/>
  <c r="G127" i="1"/>
  <c r="X126" i="1"/>
  <c r="T126" i="1"/>
  <c r="U126" i="1" s="1" a="1"/>
  <c r="U126" i="1" s="1"/>
  <c r="Q126" i="1" a="1"/>
  <c r="Q126" i="1" s="1"/>
  <c r="P126" i="1"/>
  <c r="O126" i="1"/>
  <c r="L126" i="1"/>
  <c r="I126" i="1"/>
  <c r="H126" i="1"/>
  <c r="G126" i="1"/>
  <c r="X125" i="1"/>
  <c r="T125" i="1"/>
  <c r="U125" i="1" s="1" a="1"/>
  <c r="U125" i="1" s="1"/>
  <c r="Q125" i="1" a="1"/>
  <c r="Q125" i="1" s="1"/>
  <c r="P125" i="1"/>
  <c r="O125" i="1"/>
  <c r="L125" i="1"/>
  <c r="I125" i="1"/>
  <c r="H125" i="1"/>
  <c r="G125" i="1"/>
  <c r="X124" i="1"/>
  <c r="T124" i="1"/>
  <c r="U124" i="1" s="1" a="1"/>
  <c r="U124" i="1" s="1"/>
  <c r="Q124" i="1" a="1"/>
  <c r="Q124" i="1" s="1"/>
  <c r="P124" i="1"/>
  <c r="O124" i="1"/>
  <c r="L124" i="1"/>
  <c r="I124" i="1"/>
  <c r="H124" i="1"/>
  <c r="G124" i="1"/>
  <c r="X123" i="1"/>
  <c r="T123" i="1"/>
  <c r="U123" i="1" s="1" a="1"/>
  <c r="U123" i="1" s="1"/>
  <c r="Q123" i="1" a="1"/>
  <c r="Q123" i="1" s="1"/>
  <c r="P123" i="1"/>
  <c r="O123" i="1"/>
  <c r="L123" i="1"/>
  <c r="I123" i="1"/>
  <c r="H123" i="1"/>
  <c r="G123" i="1"/>
  <c r="X122" i="1"/>
  <c r="T122" i="1"/>
  <c r="U122" i="1" s="1" a="1"/>
  <c r="U122" i="1" s="1"/>
  <c r="Q122" i="1" a="1"/>
  <c r="Q122" i="1" s="1"/>
  <c r="P122" i="1"/>
  <c r="O122" i="1"/>
  <c r="L122" i="1"/>
  <c r="I122" i="1"/>
  <c r="H122" i="1"/>
  <c r="G122" i="1"/>
  <c r="X121" i="1"/>
  <c r="T121" i="1"/>
  <c r="U121" i="1" s="1" a="1"/>
  <c r="U121" i="1" s="1"/>
  <c r="Q121" i="1" a="1"/>
  <c r="Q121" i="1" s="1"/>
  <c r="P121" i="1"/>
  <c r="O121" i="1"/>
  <c r="L121" i="1"/>
  <c r="I121" i="1"/>
  <c r="H121" i="1"/>
  <c r="G121" i="1"/>
  <c r="X120" i="1"/>
  <c r="T120" i="1"/>
  <c r="U120" i="1" s="1" a="1"/>
  <c r="U120" i="1" s="1"/>
  <c r="Q120" i="1" a="1"/>
  <c r="Q120" i="1" s="1"/>
  <c r="P120" i="1"/>
  <c r="O120" i="1"/>
  <c r="L120" i="1"/>
  <c r="I120" i="1"/>
  <c r="H120" i="1"/>
  <c r="G120" i="1"/>
  <c r="X119" i="1"/>
  <c r="T119" i="1"/>
  <c r="U119" i="1" s="1" a="1"/>
  <c r="U119" i="1" s="1"/>
  <c r="Q119" i="1" a="1"/>
  <c r="Q119" i="1" s="1"/>
  <c r="P119" i="1"/>
  <c r="O119" i="1"/>
  <c r="L119" i="1"/>
  <c r="I119" i="1"/>
  <c r="H119" i="1"/>
  <c r="G119" i="1"/>
  <c r="X118" i="1"/>
  <c r="T118" i="1"/>
  <c r="U118" i="1" s="1" a="1"/>
  <c r="U118" i="1" s="1"/>
  <c r="Q118" i="1" a="1"/>
  <c r="Q118" i="1" s="1"/>
  <c r="P118" i="1"/>
  <c r="O118" i="1"/>
  <c r="L118" i="1"/>
  <c r="I118" i="1"/>
  <c r="H118" i="1"/>
  <c r="G118" i="1"/>
  <c r="X117" i="1"/>
  <c r="T117" i="1"/>
  <c r="U117" i="1" s="1" a="1"/>
  <c r="U117" i="1" s="1"/>
  <c r="Q117" i="1" a="1"/>
  <c r="Q117" i="1" s="1"/>
  <c r="P117" i="1"/>
  <c r="O117" i="1"/>
  <c r="L117" i="1"/>
  <c r="I117" i="1"/>
  <c r="H117" i="1"/>
  <c r="G117" i="1"/>
  <c r="X116" i="1"/>
  <c r="T116" i="1"/>
  <c r="U116" i="1" s="1" a="1"/>
  <c r="U116" i="1" s="1"/>
  <c r="Q116" i="1" a="1"/>
  <c r="Q116" i="1" s="1"/>
  <c r="P116" i="1"/>
  <c r="O116" i="1"/>
  <c r="L116" i="1"/>
  <c r="I116" i="1"/>
  <c r="H116" i="1"/>
  <c r="G116" i="1"/>
  <c r="X115" i="1"/>
  <c r="T115" i="1"/>
  <c r="U115" i="1" s="1" a="1"/>
  <c r="U115" i="1" s="1"/>
  <c r="Q115" i="1" a="1"/>
  <c r="Q115" i="1" s="1"/>
  <c r="P115" i="1"/>
  <c r="O115" i="1"/>
  <c r="L115" i="1"/>
  <c r="I115" i="1"/>
  <c r="H115" i="1"/>
  <c r="G115" i="1"/>
  <c r="X114" i="1"/>
  <c r="T114" i="1"/>
  <c r="U114" i="1" s="1" a="1"/>
  <c r="U114" i="1" s="1"/>
  <c r="Q114" i="1" a="1"/>
  <c r="Q114" i="1" s="1"/>
  <c r="P114" i="1"/>
  <c r="O114" i="1"/>
  <c r="L114" i="1"/>
  <c r="I114" i="1"/>
  <c r="H114" i="1"/>
  <c r="G114" i="1"/>
  <c r="X113" i="1"/>
  <c r="T113" i="1"/>
  <c r="U113" i="1" s="1" a="1"/>
  <c r="U113" i="1" s="1"/>
  <c r="Q113" i="1" a="1"/>
  <c r="Q113" i="1" s="1"/>
  <c r="P113" i="1"/>
  <c r="O113" i="1"/>
  <c r="L113" i="1"/>
  <c r="I113" i="1"/>
  <c r="H113" i="1"/>
  <c r="G113" i="1"/>
  <c r="X112" i="1"/>
  <c r="T112" i="1"/>
  <c r="U112" i="1" s="1" a="1"/>
  <c r="U112" i="1" s="1"/>
  <c r="Q112" i="1" a="1"/>
  <c r="Q112" i="1" s="1"/>
  <c r="P112" i="1"/>
  <c r="O112" i="1"/>
  <c r="L112" i="1"/>
  <c r="I112" i="1"/>
  <c r="H112" i="1"/>
  <c r="G112" i="1"/>
  <c r="X111" i="1"/>
  <c r="T111" i="1"/>
  <c r="U111" i="1" s="1" a="1"/>
  <c r="U111" i="1" s="1"/>
  <c r="Q111" i="1" a="1"/>
  <c r="Q111" i="1" s="1"/>
  <c r="P111" i="1"/>
  <c r="O111" i="1"/>
  <c r="L111" i="1"/>
  <c r="I111" i="1"/>
  <c r="H111" i="1"/>
  <c r="G111" i="1"/>
  <c r="X110" i="1"/>
  <c r="T110" i="1"/>
  <c r="U110" i="1" s="1" a="1"/>
  <c r="U110" i="1" s="1"/>
  <c r="Q110" i="1" a="1"/>
  <c r="Q110" i="1" s="1"/>
  <c r="P110" i="1"/>
  <c r="O110" i="1"/>
  <c r="L110" i="1"/>
  <c r="I110" i="1"/>
  <c r="H110" i="1"/>
  <c r="G110" i="1"/>
  <c r="X109" i="1"/>
  <c r="T109" i="1"/>
  <c r="U109" i="1" s="1" a="1"/>
  <c r="U109" i="1" s="1"/>
  <c r="Q109" i="1" a="1"/>
  <c r="Q109" i="1" s="1"/>
  <c r="P109" i="1"/>
  <c r="O109" i="1"/>
  <c r="L109" i="1"/>
  <c r="I109" i="1"/>
  <c r="H109" i="1"/>
  <c r="G109" i="1"/>
  <c r="X108" i="1"/>
  <c r="T108" i="1"/>
  <c r="U108" i="1" s="1" a="1"/>
  <c r="U108" i="1" s="1"/>
  <c r="Q108" i="1" a="1"/>
  <c r="Q108" i="1" s="1"/>
  <c r="P108" i="1"/>
  <c r="O108" i="1"/>
  <c r="L108" i="1"/>
  <c r="I108" i="1"/>
  <c r="H108" i="1"/>
  <c r="G108" i="1"/>
  <c r="X107" i="1"/>
  <c r="T107" i="1"/>
  <c r="U107" i="1" s="1" a="1"/>
  <c r="U107" i="1" s="1"/>
  <c r="Q107" i="1" a="1"/>
  <c r="Q107" i="1" s="1"/>
  <c r="P107" i="1"/>
  <c r="O107" i="1"/>
  <c r="L107" i="1"/>
  <c r="I107" i="1"/>
  <c r="H107" i="1"/>
  <c r="G107" i="1"/>
  <c r="X106" i="1"/>
  <c r="T106" i="1"/>
  <c r="U106" i="1" s="1" a="1"/>
  <c r="U106" i="1" s="1"/>
  <c r="Q106" i="1" a="1"/>
  <c r="Q106" i="1" s="1"/>
  <c r="P106" i="1"/>
  <c r="O106" i="1"/>
  <c r="L106" i="1"/>
  <c r="I106" i="1"/>
  <c r="H106" i="1"/>
  <c r="G106" i="1"/>
  <c r="X105" i="1"/>
  <c r="T105" i="1"/>
  <c r="U105" i="1" s="1" a="1"/>
  <c r="U105" i="1" s="1"/>
  <c r="Q105" i="1" a="1"/>
  <c r="Q105" i="1" s="1"/>
  <c r="P105" i="1"/>
  <c r="O105" i="1"/>
  <c r="L105" i="1"/>
  <c r="I105" i="1"/>
  <c r="H105" i="1"/>
  <c r="G105" i="1"/>
  <c r="X104" i="1"/>
  <c r="T104" i="1"/>
  <c r="U104" i="1" s="1" a="1"/>
  <c r="U104" i="1" s="1"/>
  <c r="Q104" i="1" a="1"/>
  <c r="Q104" i="1" s="1"/>
  <c r="P104" i="1"/>
  <c r="O104" i="1"/>
  <c r="L104" i="1"/>
  <c r="I104" i="1"/>
  <c r="H104" i="1"/>
  <c r="G104" i="1"/>
  <c r="X103" i="1"/>
  <c r="T103" i="1"/>
  <c r="U103" i="1" s="1" a="1"/>
  <c r="U103" i="1" s="1"/>
  <c r="Q103" i="1" a="1"/>
  <c r="Q103" i="1" s="1"/>
  <c r="P103" i="1"/>
  <c r="O103" i="1"/>
  <c r="L103" i="1"/>
  <c r="I103" i="1"/>
  <c r="H103" i="1"/>
  <c r="G103" i="1"/>
  <c r="X102" i="1"/>
  <c r="T102" i="1"/>
  <c r="U102" i="1" s="1" a="1"/>
  <c r="U102" i="1" s="1"/>
  <c r="Q102" i="1" a="1"/>
  <c r="Q102" i="1" s="1"/>
  <c r="P102" i="1"/>
  <c r="O102" i="1"/>
  <c r="L102" i="1"/>
  <c r="I102" i="1"/>
  <c r="H102" i="1"/>
  <c r="G102" i="1"/>
  <c r="X101" i="1"/>
  <c r="T101" i="1"/>
  <c r="U101" i="1" s="1" a="1"/>
  <c r="U101" i="1" s="1"/>
  <c r="Q101" i="1" a="1"/>
  <c r="Q101" i="1" s="1"/>
  <c r="P101" i="1"/>
  <c r="O101" i="1"/>
  <c r="L101" i="1"/>
  <c r="I101" i="1"/>
  <c r="H101" i="1"/>
  <c r="G101" i="1"/>
  <c r="X100" i="1"/>
  <c r="T100" i="1"/>
  <c r="U100" i="1" s="1" a="1"/>
  <c r="U100" i="1" s="1"/>
  <c r="Q100" i="1" a="1"/>
  <c r="Q100" i="1" s="1"/>
  <c r="P100" i="1"/>
  <c r="O100" i="1"/>
  <c r="L100" i="1"/>
  <c r="I100" i="1"/>
  <c r="H100" i="1"/>
  <c r="G100" i="1"/>
  <c r="X99" i="1"/>
  <c r="T99" i="1"/>
  <c r="U99" i="1" s="1" a="1"/>
  <c r="U99" i="1" s="1"/>
  <c r="Q99" i="1" a="1"/>
  <c r="Q99" i="1" s="1"/>
  <c r="P99" i="1"/>
  <c r="O99" i="1"/>
  <c r="L99" i="1"/>
  <c r="I99" i="1"/>
  <c r="H99" i="1"/>
  <c r="G99" i="1"/>
  <c r="X98" i="1"/>
  <c r="T98" i="1"/>
  <c r="U98" i="1" s="1" a="1"/>
  <c r="U98" i="1" s="1"/>
  <c r="Q98" i="1" a="1"/>
  <c r="Q98" i="1" s="1"/>
  <c r="P98" i="1"/>
  <c r="O98" i="1"/>
  <c r="L98" i="1"/>
  <c r="I98" i="1"/>
  <c r="H98" i="1"/>
  <c r="G98" i="1"/>
  <c r="X97" i="1"/>
  <c r="T97" i="1"/>
  <c r="U97" i="1" s="1" a="1"/>
  <c r="U97" i="1" s="1"/>
  <c r="Q97" i="1" a="1"/>
  <c r="Q97" i="1" s="1"/>
  <c r="P97" i="1"/>
  <c r="O97" i="1"/>
  <c r="L97" i="1"/>
  <c r="I97" i="1"/>
  <c r="H97" i="1"/>
  <c r="G97" i="1"/>
  <c r="X96" i="1"/>
  <c r="T96" i="1"/>
  <c r="U96" i="1" s="1" a="1"/>
  <c r="U96" i="1" s="1"/>
  <c r="Q96" i="1" a="1"/>
  <c r="Q96" i="1" s="1"/>
  <c r="P96" i="1"/>
  <c r="O96" i="1"/>
  <c r="L96" i="1"/>
  <c r="I96" i="1"/>
  <c r="H96" i="1"/>
  <c r="G96" i="1"/>
  <c r="X95" i="1"/>
  <c r="T95" i="1"/>
  <c r="U95" i="1" s="1" a="1"/>
  <c r="U95" i="1" s="1"/>
  <c r="Q95" i="1" a="1"/>
  <c r="Q95" i="1" s="1"/>
  <c r="P95" i="1"/>
  <c r="O95" i="1"/>
  <c r="L95" i="1"/>
  <c r="I95" i="1"/>
  <c r="H95" i="1"/>
  <c r="G95" i="1"/>
  <c r="X94" i="1"/>
  <c r="T94" i="1"/>
  <c r="U94" i="1" s="1" a="1"/>
  <c r="U94" i="1" s="1"/>
  <c r="Q94" i="1" a="1"/>
  <c r="Q94" i="1" s="1"/>
  <c r="P94" i="1"/>
  <c r="O94" i="1"/>
  <c r="L94" i="1"/>
  <c r="I94" i="1"/>
  <c r="H94" i="1"/>
  <c r="G94" i="1"/>
  <c r="X93" i="1"/>
  <c r="T93" i="1"/>
  <c r="P93" i="1"/>
  <c r="O93" i="1"/>
  <c r="L93" i="1"/>
  <c r="I93" i="1"/>
  <c r="H93" i="1"/>
  <c r="G93" i="1"/>
  <c r="X92" i="1"/>
  <c r="T92" i="1"/>
  <c r="P92" i="1"/>
  <c r="O92" i="1"/>
  <c r="L92" i="1"/>
  <c r="I92" i="1"/>
  <c r="H92" i="1"/>
  <c r="G92" i="1"/>
  <c r="X91" i="1"/>
  <c r="T91" i="1"/>
  <c r="P91" i="1"/>
  <c r="O91" i="1"/>
  <c r="L91" i="1"/>
  <c r="I91" i="1"/>
  <c r="H91" i="1"/>
  <c r="G91" i="1"/>
  <c r="X90" i="1"/>
  <c r="T90" i="1"/>
  <c r="P90" i="1"/>
  <c r="O90" i="1"/>
  <c r="L90" i="1"/>
  <c r="I90" i="1"/>
  <c r="H90" i="1"/>
  <c r="G90" i="1"/>
  <c r="X89" i="1"/>
  <c r="T89" i="1"/>
  <c r="P89" i="1"/>
  <c r="O89" i="1"/>
  <c r="L89" i="1"/>
  <c r="I89" i="1"/>
  <c r="H89" i="1"/>
  <c r="G89" i="1"/>
  <c r="X88" i="1"/>
  <c r="T88" i="1"/>
  <c r="P88" i="1"/>
  <c r="O88" i="1"/>
  <c r="L88" i="1"/>
  <c r="I88" i="1"/>
  <c r="H88" i="1"/>
  <c r="G88" i="1"/>
  <c r="X87" i="1"/>
  <c r="T87" i="1"/>
  <c r="P87" i="1"/>
  <c r="O87" i="1"/>
  <c r="L87" i="1"/>
  <c r="I87" i="1"/>
  <c r="H87" i="1"/>
  <c r="G87" i="1"/>
  <c r="X86" i="1"/>
  <c r="T86" i="1"/>
  <c r="P86" i="1"/>
  <c r="O86" i="1"/>
  <c r="L86" i="1"/>
  <c r="I86" i="1"/>
  <c r="H86" i="1"/>
  <c r="G86" i="1"/>
  <c r="X85" i="1"/>
  <c r="T85" i="1"/>
  <c r="P85" i="1"/>
  <c r="O85" i="1"/>
  <c r="L85" i="1"/>
  <c r="I85" i="1"/>
  <c r="H85" i="1"/>
  <c r="G85" i="1"/>
  <c r="X84" i="1"/>
  <c r="T84" i="1"/>
  <c r="P84" i="1"/>
  <c r="O84" i="1"/>
  <c r="L84" i="1"/>
  <c r="I84" i="1"/>
  <c r="H84" i="1"/>
  <c r="G84" i="1"/>
  <c r="X83" i="1"/>
  <c r="T83" i="1"/>
  <c r="P83" i="1"/>
  <c r="O83" i="1"/>
  <c r="L83" i="1"/>
  <c r="I83" i="1"/>
  <c r="H83" i="1"/>
  <c r="G83" i="1"/>
  <c r="X82" i="1"/>
  <c r="T82" i="1"/>
  <c r="P82" i="1"/>
  <c r="O82" i="1"/>
  <c r="L82" i="1"/>
  <c r="I82" i="1"/>
  <c r="H82" i="1"/>
  <c r="G82" i="1"/>
  <c r="X81" i="1"/>
  <c r="T81" i="1"/>
  <c r="P81" i="1"/>
  <c r="O81" i="1"/>
  <c r="L81" i="1"/>
  <c r="I81" i="1"/>
  <c r="H81" i="1"/>
  <c r="G81" i="1"/>
  <c r="X80" i="1"/>
  <c r="T80" i="1"/>
  <c r="P80" i="1"/>
  <c r="O80" i="1"/>
  <c r="L80" i="1"/>
  <c r="I80" i="1"/>
  <c r="H80" i="1"/>
  <c r="G80" i="1"/>
  <c r="X79" i="1"/>
  <c r="T79" i="1"/>
  <c r="P79" i="1"/>
  <c r="O79" i="1"/>
  <c r="L79" i="1"/>
  <c r="I79" i="1"/>
  <c r="H79" i="1"/>
  <c r="G79" i="1"/>
  <c r="X78" i="1"/>
  <c r="T78" i="1"/>
  <c r="P78" i="1"/>
  <c r="O78" i="1"/>
  <c r="L78" i="1"/>
  <c r="I78" i="1"/>
  <c r="H78" i="1"/>
  <c r="G78" i="1"/>
  <c r="X77" i="1"/>
  <c r="T77" i="1"/>
  <c r="P77" i="1"/>
  <c r="O77" i="1"/>
  <c r="L77" i="1"/>
  <c r="I77" i="1"/>
  <c r="H77" i="1"/>
  <c r="G77" i="1"/>
  <c r="X76" i="1"/>
  <c r="T76" i="1"/>
  <c r="P76" i="1"/>
  <c r="O76" i="1"/>
  <c r="L76" i="1"/>
  <c r="I76" i="1"/>
  <c r="H76" i="1"/>
  <c r="G76" i="1"/>
  <c r="X75" i="1"/>
  <c r="T75" i="1"/>
  <c r="P75" i="1"/>
  <c r="O75" i="1"/>
  <c r="L75" i="1"/>
  <c r="I75" i="1"/>
  <c r="H75" i="1"/>
  <c r="G75" i="1"/>
  <c r="X74" i="1"/>
  <c r="T74" i="1"/>
  <c r="P74" i="1"/>
  <c r="O74" i="1"/>
  <c r="L74" i="1"/>
  <c r="I74" i="1"/>
  <c r="H74" i="1"/>
  <c r="G74" i="1"/>
  <c r="X73" i="1"/>
  <c r="T73" i="1"/>
  <c r="P73" i="1"/>
  <c r="O73" i="1"/>
  <c r="L73" i="1"/>
  <c r="I73" i="1"/>
  <c r="H73" i="1"/>
  <c r="G73" i="1"/>
  <c r="X72" i="1"/>
  <c r="T72" i="1"/>
  <c r="P72" i="1"/>
  <c r="O72" i="1"/>
  <c r="L72" i="1"/>
  <c r="I72" i="1"/>
  <c r="H72" i="1"/>
  <c r="G72" i="1"/>
  <c r="X71" i="1"/>
  <c r="T71" i="1"/>
  <c r="P71" i="1"/>
  <c r="O71" i="1"/>
  <c r="L71" i="1"/>
  <c r="I71" i="1"/>
  <c r="H71" i="1"/>
  <c r="G71" i="1"/>
  <c r="X70" i="1"/>
  <c r="T70" i="1"/>
  <c r="P70" i="1"/>
  <c r="O70" i="1"/>
  <c r="L70" i="1"/>
  <c r="I70" i="1"/>
  <c r="H70" i="1"/>
  <c r="G70" i="1"/>
  <c r="X69" i="1"/>
  <c r="T69" i="1"/>
  <c r="P69" i="1"/>
  <c r="O69" i="1"/>
  <c r="L69" i="1"/>
  <c r="I69" i="1"/>
  <c r="H69" i="1"/>
  <c r="G69" i="1"/>
  <c r="X68" i="1"/>
  <c r="T68" i="1"/>
  <c r="P68" i="1"/>
  <c r="O68" i="1"/>
  <c r="L68" i="1"/>
  <c r="I68" i="1"/>
  <c r="H68" i="1"/>
  <c r="G68" i="1"/>
  <c r="X67" i="1"/>
  <c r="T67" i="1"/>
  <c r="P67" i="1"/>
  <c r="O67" i="1"/>
  <c r="L67" i="1"/>
  <c r="I67" i="1"/>
  <c r="H67" i="1"/>
  <c r="G67" i="1"/>
  <c r="X66" i="1"/>
  <c r="T66" i="1"/>
  <c r="P66" i="1"/>
  <c r="O66" i="1"/>
  <c r="L66" i="1"/>
  <c r="I66" i="1"/>
  <c r="H66" i="1"/>
  <c r="G66" i="1"/>
  <c r="X65" i="1"/>
  <c r="T65" i="1"/>
  <c r="P65" i="1"/>
  <c r="O65" i="1"/>
  <c r="L65" i="1"/>
  <c r="I65" i="1"/>
  <c r="H65" i="1"/>
  <c r="G65" i="1"/>
  <c r="X64" i="1"/>
  <c r="T64" i="1"/>
  <c r="P64" i="1"/>
  <c r="O64" i="1"/>
  <c r="L64" i="1"/>
  <c r="I64" i="1"/>
  <c r="H64" i="1"/>
  <c r="G64" i="1"/>
  <c r="X63" i="1"/>
  <c r="T63" i="1"/>
  <c r="P63" i="1"/>
  <c r="O63" i="1"/>
  <c r="L63" i="1"/>
  <c r="I63" i="1"/>
  <c r="H63" i="1"/>
  <c r="G63" i="1"/>
  <c r="X62" i="1"/>
  <c r="T62" i="1"/>
  <c r="P62" i="1"/>
  <c r="O62" i="1"/>
  <c r="L62" i="1"/>
  <c r="I62" i="1"/>
  <c r="H62" i="1"/>
  <c r="G62" i="1"/>
  <c r="X61" i="1"/>
  <c r="T61" i="1"/>
  <c r="P61" i="1"/>
  <c r="O61" i="1"/>
  <c r="L61" i="1"/>
  <c r="I61" i="1"/>
  <c r="H61" i="1"/>
  <c r="G61" i="1"/>
  <c r="X60" i="1"/>
  <c r="T60" i="1"/>
  <c r="P60" i="1"/>
  <c r="O60" i="1"/>
  <c r="L60" i="1"/>
  <c r="I60" i="1"/>
  <c r="H60" i="1"/>
  <c r="G60" i="1"/>
  <c r="X59" i="1"/>
  <c r="T59" i="1"/>
  <c r="P59" i="1"/>
  <c r="O59" i="1"/>
  <c r="L59" i="1"/>
  <c r="I59" i="1"/>
  <c r="H59" i="1"/>
  <c r="G59" i="1"/>
  <c r="X58" i="1"/>
  <c r="T58" i="1"/>
  <c r="P58" i="1"/>
  <c r="O58" i="1"/>
  <c r="L58" i="1"/>
  <c r="I58" i="1"/>
  <c r="H58" i="1"/>
  <c r="G58" i="1"/>
  <c r="X57" i="1"/>
  <c r="T57" i="1"/>
  <c r="P57" i="1"/>
  <c r="O57" i="1"/>
  <c r="L57" i="1"/>
  <c r="I57" i="1"/>
  <c r="H57" i="1"/>
  <c r="G57" i="1"/>
  <c r="X56" i="1"/>
  <c r="T56" i="1"/>
  <c r="P56" i="1"/>
  <c r="O56" i="1"/>
  <c r="L56" i="1"/>
  <c r="I56" i="1"/>
  <c r="H56" i="1"/>
  <c r="G56" i="1"/>
  <c r="X55" i="1"/>
  <c r="T55" i="1"/>
  <c r="P55" i="1"/>
  <c r="O55" i="1"/>
  <c r="L55" i="1"/>
  <c r="I55" i="1"/>
  <c r="H55" i="1"/>
  <c r="G55" i="1"/>
  <c r="X54" i="1"/>
  <c r="T54" i="1"/>
  <c r="P54" i="1"/>
  <c r="O54" i="1"/>
  <c r="L54" i="1"/>
  <c r="I54" i="1"/>
  <c r="H54" i="1"/>
  <c r="G54" i="1"/>
  <c r="X53" i="1"/>
  <c r="T53" i="1"/>
  <c r="P53" i="1"/>
  <c r="O53" i="1"/>
  <c r="L53" i="1"/>
  <c r="I53" i="1"/>
  <c r="H53" i="1"/>
  <c r="G53" i="1"/>
  <c r="X52" i="1"/>
  <c r="T52" i="1"/>
  <c r="P52" i="1"/>
  <c r="O52" i="1"/>
  <c r="L52" i="1"/>
  <c r="I52" i="1"/>
  <c r="H52" i="1"/>
  <c r="G52" i="1"/>
  <c r="X51" i="1"/>
  <c r="T51" i="1"/>
  <c r="P51" i="1"/>
  <c r="O51" i="1"/>
  <c r="L51" i="1"/>
  <c r="I51" i="1"/>
  <c r="H51" i="1"/>
  <c r="G51" i="1"/>
  <c r="X50" i="1"/>
  <c r="T50" i="1"/>
  <c r="P50" i="1"/>
  <c r="O50" i="1"/>
  <c r="L50" i="1"/>
  <c r="I50" i="1"/>
  <c r="H50" i="1"/>
  <c r="G50" i="1"/>
  <c r="X49" i="1"/>
  <c r="T49" i="1"/>
  <c r="P49" i="1"/>
  <c r="O49" i="1"/>
  <c r="L49" i="1"/>
  <c r="I49" i="1"/>
  <c r="H49" i="1"/>
  <c r="G49" i="1"/>
  <c r="X48" i="1"/>
  <c r="T48" i="1"/>
  <c r="P48" i="1"/>
  <c r="O48" i="1"/>
  <c r="L48" i="1"/>
  <c r="I48" i="1"/>
  <c r="H48" i="1"/>
  <c r="G48" i="1"/>
  <c r="X47" i="1"/>
  <c r="T47" i="1"/>
  <c r="P47" i="1"/>
  <c r="O47" i="1"/>
  <c r="L47" i="1"/>
  <c r="I47" i="1"/>
  <c r="H47" i="1"/>
  <c r="G47" i="1"/>
  <c r="X46" i="1"/>
  <c r="T46" i="1"/>
  <c r="P46" i="1"/>
  <c r="O46" i="1"/>
  <c r="L46" i="1"/>
  <c r="I46" i="1"/>
  <c r="H46" i="1"/>
  <c r="G46" i="1"/>
  <c r="X45" i="1"/>
  <c r="T45" i="1"/>
  <c r="P45" i="1"/>
  <c r="O45" i="1"/>
  <c r="L45" i="1"/>
  <c r="I45" i="1"/>
  <c r="H45" i="1"/>
  <c r="G45" i="1"/>
  <c r="X44" i="1"/>
  <c r="T44" i="1"/>
  <c r="P44" i="1"/>
  <c r="O44" i="1"/>
  <c r="L44" i="1"/>
  <c r="I44" i="1"/>
  <c r="H44" i="1"/>
  <c r="G44" i="1"/>
  <c r="X43" i="1"/>
  <c r="T43" i="1"/>
  <c r="P43" i="1"/>
  <c r="O43" i="1"/>
  <c r="L43" i="1"/>
  <c r="I43" i="1"/>
  <c r="H43" i="1"/>
  <c r="G43" i="1"/>
  <c r="X42" i="1"/>
  <c r="T42" i="1"/>
  <c r="P42" i="1"/>
  <c r="O42" i="1"/>
  <c r="L42" i="1"/>
  <c r="I42" i="1"/>
  <c r="H42" i="1"/>
  <c r="G42" i="1"/>
  <c r="X41" i="1"/>
  <c r="T41" i="1"/>
  <c r="P41" i="1"/>
  <c r="O41" i="1"/>
  <c r="L41" i="1"/>
  <c r="I41" i="1"/>
  <c r="H41" i="1"/>
  <c r="G41" i="1"/>
  <c r="X40" i="1"/>
  <c r="T40" i="1"/>
  <c r="P40" i="1"/>
  <c r="O40" i="1"/>
  <c r="L40" i="1"/>
  <c r="I40" i="1"/>
  <c r="H40" i="1"/>
  <c r="G40" i="1"/>
  <c r="X39" i="1"/>
  <c r="T39" i="1"/>
  <c r="P39" i="1"/>
  <c r="O39" i="1"/>
  <c r="L39" i="1"/>
  <c r="I39" i="1"/>
  <c r="H39" i="1"/>
  <c r="G39" i="1"/>
  <c r="X38" i="1"/>
  <c r="T38" i="1"/>
  <c r="P38" i="1"/>
  <c r="O38" i="1"/>
  <c r="L38" i="1"/>
  <c r="I38" i="1"/>
  <c r="H38" i="1"/>
  <c r="G38" i="1"/>
  <c r="X37" i="1"/>
  <c r="T37" i="1"/>
  <c r="P37" i="1"/>
  <c r="O37" i="1"/>
  <c r="L37" i="1"/>
  <c r="I37" i="1"/>
  <c r="H37" i="1"/>
  <c r="G37" i="1"/>
  <c r="X36" i="1"/>
  <c r="T36" i="1"/>
  <c r="P36" i="1"/>
  <c r="O36" i="1"/>
  <c r="L36" i="1"/>
  <c r="I36" i="1"/>
  <c r="H36" i="1"/>
  <c r="G36" i="1"/>
  <c r="X35" i="1"/>
  <c r="T35" i="1"/>
  <c r="P35" i="1"/>
  <c r="O35" i="1"/>
  <c r="L35" i="1"/>
  <c r="I35" i="1"/>
  <c r="H35" i="1"/>
  <c r="G35" i="1"/>
  <c r="X34" i="1"/>
  <c r="T34" i="1"/>
  <c r="P34" i="1"/>
  <c r="O34" i="1"/>
  <c r="L34" i="1"/>
  <c r="I34" i="1"/>
  <c r="H34" i="1"/>
  <c r="G34" i="1"/>
  <c r="X33" i="1"/>
  <c r="T33" i="1"/>
  <c r="P33" i="1"/>
  <c r="O33" i="1"/>
  <c r="L33" i="1"/>
  <c r="I33" i="1"/>
  <c r="H33" i="1"/>
  <c r="G33" i="1"/>
  <c r="X32" i="1"/>
  <c r="T32" i="1"/>
  <c r="P32" i="1"/>
  <c r="O32" i="1"/>
  <c r="L32" i="1"/>
  <c r="I32" i="1"/>
  <c r="H32" i="1"/>
  <c r="G32" i="1"/>
  <c r="X31" i="1"/>
  <c r="T31" i="1"/>
  <c r="P31" i="1"/>
  <c r="O31" i="1"/>
  <c r="L31" i="1"/>
  <c r="I31" i="1"/>
  <c r="H31" i="1"/>
  <c r="G31" i="1"/>
  <c r="X30" i="1"/>
  <c r="T30" i="1"/>
  <c r="P30" i="1"/>
  <c r="O30" i="1"/>
  <c r="L30" i="1"/>
  <c r="I30" i="1"/>
  <c r="H30" i="1"/>
  <c r="G30" i="1"/>
  <c r="X29" i="1"/>
  <c r="T29" i="1"/>
  <c r="P29" i="1"/>
  <c r="O29" i="1"/>
  <c r="L29" i="1"/>
  <c r="I29" i="1"/>
  <c r="H29" i="1"/>
  <c r="G29" i="1"/>
  <c r="X28" i="1"/>
  <c r="T28" i="1"/>
  <c r="P28" i="1"/>
  <c r="O28" i="1"/>
  <c r="L28" i="1"/>
  <c r="I28" i="1"/>
  <c r="H28" i="1"/>
  <c r="G28" i="1"/>
  <c r="X27" i="1"/>
  <c r="T27" i="1"/>
  <c r="P27" i="1"/>
  <c r="O27" i="1"/>
  <c r="L27" i="1"/>
  <c r="I27" i="1"/>
  <c r="H27" i="1"/>
  <c r="G27" i="1"/>
  <c r="X26" i="1"/>
  <c r="T26" i="1"/>
  <c r="P26" i="1"/>
  <c r="O26" i="1"/>
  <c r="L26" i="1"/>
  <c r="I26" i="1"/>
  <c r="H26" i="1"/>
  <c r="G26" i="1"/>
  <c r="X25" i="1"/>
  <c r="T25" i="1"/>
  <c r="P25" i="1"/>
  <c r="O25" i="1"/>
  <c r="L25" i="1"/>
  <c r="I25" i="1"/>
  <c r="H25" i="1"/>
  <c r="G25" i="1"/>
  <c r="X24" i="1"/>
  <c r="T24" i="1"/>
  <c r="P24" i="1"/>
  <c r="O24" i="1"/>
  <c r="L24" i="1"/>
  <c r="H24" i="1"/>
  <c r="G24" i="1"/>
  <c r="X23" i="1"/>
  <c r="T23" i="1"/>
  <c r="P23" i="1"/>
  <c r="O23" i="1"/>
  <c r="L23" i="1"/>
  <c r="H23" i="1"/>
  <c r="G23" i="1"/>
  <c r="X22" i="1"/>
  <c r="T22" i="1"/>
  <c r="P22" i="1"/>
  <c r="O22" i="1"/>
  <c r="L22" i="1"/>
  <c r="H22" i="1"/>
  <c r="G22" i="1"/>
  <c r="X21" i="1"/>
  <c r="T21" i="1"/>
  <c r="P21" i="1"/>
  <c r="O21" i="1"/>
  <c r="L21" i="1"/>
  <c r="H21" i="1"/>
  <c r="G21" i="1"/>
  <c r="X20" i="1"/>
  <c r="T20" i="1"/>
  <c r="P20" i="1"/>
  <c r="O20" i="1"/>
  <c r="L20" i="1"/>
  <c r="H20" i="1"/>
  <c r="G20" i="1"/>
  <c r="X19" i="1"/>
  <c r="T19" i="1"/>
  <c r="P19" i="1"/>
  <c r="O19" i="1"/>
  <c r="L19" i="1"/>
  <c r="H19" i="1"/>
  <c r="G19" i="1"/>
  <c r="X18" i="1"/>
  <c r="T18" i="1"/>
  <c r="P18" i="1"/>
  <c r="O18" i="1"/>
  <c r="L18" i="1"/>
  <c r="H18" i="1"/>
  <c r="G18" i="1"/>
  <c r="X17" i="1"/>
  <c r="T17" i="1"/>
  <c r="P17" i="1"/>
  <c r="O17" i="1"/>
  <c r="L17" i="1"/>
  <c r="H17" i="1"/>
  <c r="G17" i="1"/>
  <c r="X16" i="1"/>
  <c r="T16" i="1"/>
  <c r="P16" i="1"/>
  <c r="O16" i="1"/>
  <c r="L16" i="1"/>
  <c r="H16" i="1"/>
  <c r="G16" i="1"/>
  <c r="X15" i="1"/>
  <c r="T15" i="1"/>
  <c r="P15" i="1"/>
  <c r="O15" i="1"/>
  <c r="L15" i="1"/>
  <c r="H15" i="1"/>
  <c r="G15" i="1"/>
  <c r="X14" i="1"/>
  <c r="T14" i="1"/>
  <c r="P14" i="1"/>
  <c r="O14" i="1"/>
  <c r="L14" i="1"/>
  <c r="H14" i="1"/>
  <c r="G14" i="1"/>
  <c r="X13" i="1"/>
  <c r="T13" i="1"/>
  <c r="P13" i="1"/>
  <c r="O13" i="1"/>
  <c r="L13" i="1"/>
  <c r="H13" i="1"/>
  <c r="G13" i="1"/>
  <c r="X12" i="1"/>
  <c r="T12" i="1"/>
  <c r="P12" i="1"/>
  <c r="O12" i="1"/>
  <c r="L12" i="1"/>
  <c r="H12" i="1"/>
  <c r="G12" i="1"/>
  <c r="X11" i="1"/>
  <c r="T11" i="1"/>
  <c r="P11" i="1"/>
  <c r="O11" i="1"/>
  <c r="L11" i="1"/>
  <c r="H11" i="1"/>
  <c r="G11" i="1"/>
  <c r="X10" i="1"/>
  <c r="T10" i="1"/>
  <c r="P10" i="1"/>
  <c r="O10" i="1"/>
  <c r="L10" i="1"/>
  <c r="H10" i="1"/>
  <c r="G10" i="1"/>
  <c r="X9" i="1"/>
  <c r="T9" i="1"/>
  <c r="P9" i="1"/>
  <c r="O9" i="1"/>
  <c r="L9" i="1"/>
  <c r="H9" i="1"/>
  <c r="G9" i="1"/>
  <c r="X8" i="1"/>
  <c r="T8" i="1"/>
  <c r="P8" i="1"/>
  <c r="O8" i="1"/>
  <c r="L8" i="1"/>
  <c r="H8" i="1"/>
  <c r="G8" i="1"/>
  <c r="X7" i="1"/>
  <c r="T7" i="1"/>
  <c r="P7" i="1"/>
  <c r="O7" i="1"/>
  <c r="L7" i="1"/>
  <c r="H7" i="1"/>
  <c r="X6" i="1"/>
  <c r="T6" i="1"/>
  <c r="P6" i="1"/>
  <c r="O6" i="1"/>
  <c r="L6" i="1"/>
  <c r="H6" i="1"/>
  <c r="X5" i="1"/>
  <c r="T5" i="1"/>
  <c r="P5" i="1"/>
  <c r="O5" i="1"/>
  <c r="L5" i="1"/>
  <c r="H5" i="1"/>
  <c r="G5" i="1"/>
  <c r="X4" i="1"/>
  <c r="T4" i="1"/>
  <c r="P4" i="1"/>
  <c r="O4" i="1"/>
  <c r="L4" i="1"/>
  <c r="H4" i="1"/>
  <c r="G4" i="1"/>
  <c r="X3" i="1"/>
  <c r="T3" i="1"/>
  <c r="P3" i="1"/>
  <c r="O3" i="1"/>
  <c r="L3" i="1"/>
  <c r="H3" i="1"/>
  <c r="G3" i="1"/>
  <c r="X2" i="1"/>
  <c r="T2" i="1"/>
  <c r="P2" i="1"/>
  <c r="O2" i="1"/>
  <c r="L2" i="1"/>
  <c r="H2" i="1"/>
  <c r="G2" i="1"/>
  <c r="H31" i="2" l="1"/>
  <c r="L31" i="2"/>
  <c r="M31" i="2"/>
  <c r="H32" i="2"/>
  <c r="L32" i="2"/>
  <c r="M32" i="2"/>
  <c r="H33" i="2"/>
  <c r="L33" i="2"/>
  <c r="M33" i="2"/>
  <c r="H34" i="2"/>
  <c r="L34" i="2"/>
  <c r="M34" i="2"/>
  <c r="H35" i="2"/>
  <c r="L35" i="2"/>
  <c r="M35" i="2"/>
  <c r="H36" i="2"/>
  <c r="L36" i="2"/>
  <c r="M36" i="2"/>
  <c r="H37" i="2"/>
  <c r="L37" i="2"/>
  <c r="M37" i="2"/>
  <c r="H38" i="2"/>
  <c r="L38" i="2"/>
  <c r="M38" i="2"/>
  <c r="H39" i="2"/>
  <c r="L39" i="2"/>
  <c r="M39" i="2"/>
  <c r="H40" i="2"/>
  <c r="L40" i="2"/>
  <c r="M40" i="2"/>
  <c r="H41" i="2"/>
  <c r="L41" i="2"/>
  <c r="M41" i="2"/>
  <c r="H42" i="2"/>
  <c r="L42" i="2"/>
  <c r="M42" i="2"/>
  <c r="H43" i="2"/>
  <c r="L43" i="2"/>
  <c r="M43" i="2"/>
  <c r="H44" i="2"/>
  <c r="L44" i="2"/>
  <c r="M44" i="2"/>
  <c r="H45" i="2"/>
  <c r="L45" i="2"/>
  <c r="M45" i="2"/>
  <c r="H46" i="2"/>
  <c r="L46" i="2"/>
  <c r="M46" i="2"/>
  <c r="H47" i="2"/>
  <c r="L47" i="2"/>
  <c r="M47" i="2"/>
  <c r="H48" i="2"/>
  <c r="L48" i="2"/>
  <c r="M48" i="2"/>
  <c r="H49" i="2"/>
  <c r="I49" i="2" s="1"/>
  <c r="J49" i="2"/>
  <c r="L49" i="2"/>
  <c r="M49" i="2"/>
  <c r="H50" i="2"/>
  <c r="I50" i="2" s="1"/>
  <c r="J50" i="2"/>
  <c r="L50" i="2"/>
  <c r="M50" i="2"/>
  <c r="H51" i="2"/>
  <c r="I51" i="2" s="1"/>
  <c r="J51" i="2"/>
  <c r="L51" i="2"/>
  <c r="M51" i="2"/>
  <c r="H52" i="2"/>
  <c r="I52" i="2" s="1"/>
  <c r="J52" i="2"/>
  <c r="L52" i="2"/>
  <c r="M52" i="2"/>
  <c r="H53" i="2"/>
  <c r="I53" i="2" s="1"/>
  <c r="J53" i="2"/>
  <c r="L53" i="2"/>
  <c r="M53" i="2"/>
  <c r="H54" i="2"/>
  <c r="I54" i="2" s="1"/>
  <c r="J54" i="2"/>
  <c r="L54" i="2"/>
  <c r="M54" i="2"/>
  <c r="H55" i="2"/>
  <c r="I55" i="2" s="1"/>
  <c r="J55" i="2"/>
  <c r="L55" i="2"/>
  <c r="M55" i="2"/>
  <c r="H56" i="2"/>
  <c r="I56" i="2" s="1"/>
  <c r="J56" i="2"/>
  <c r="L56" i="2"/>
  <c r="M56" i="2"/>
  <c r="H57" i="2"/>
  <c r="I57" i="2" s="1"/>
  <c r="J57" i="2"/>
  <c r="L57" i="2"/>
  <c r="M57" i="2"/>
  <c r="H58" i="2"/>
  <c r="I58" i="2" s="1"/>
  <c r="J58" i="2"/>
  <c r="L58" i="2"/>
  <c r="M58" i="2"/>
  <c r="H59" i="2"/>
  <c r="I59" i="2" s="1"/>
  <c r="J59" i="2"/>
  <c r="L59" i="2"/>
  <c r="M59" i="2"/>
  <c r="H60" i="2"/>
  <c r="I60" i="2" s="1"/>
  <c r="J60" i="2"/>
  <c r="L60" i="2"/>
  <c r="M60" i="2"/>
  <c r="H61" i="2"/>
  <c r="I61" i="2" s="1"/>
  <c r="J61" i="2"/>
  <c r="L61" i="2"/>
  <c r="M61" i="2"/>
  <c r="H62" i="2"/>
  <c r="I62" i="2" s="1"/>
  <c r="J62" i="2"/>
  <c r="L62" i="2"/>
  <c r="M62" i="2"/>
  <c r="H63" i="2"/>
  <c r="I63" i="2" s="1"/>
  <c r="J63" i="2"/>
  <c r="L63" i="2"/>
  <c r="M63" i="2"/>
  <c r="H64" i="2"/>
  <c r="I64" i="2" s="1"/>
  <c r="J64" i="2"/>
  <c r="L64" i="2"/>
  <c r="M64" i="2"/>
  <c r="H65" i="2"/>
  <c r="I65" i="2" s="1"/>
  <c r="J65" i="2"/>
  <c r="L65" i="2"/>
  <c r="M65" i="2"/>
  <c r="H66" i="2"/>
  <c r="I66" i="2" s="1"/>
  <c r="J66" i="2"/>
  <c r="L66" i="2"/>
  <c r="M66" i="2"/>
  <c r="H67" i="2"/>
  <c r="I67" i="2" s="1"/>
  <c r="J67" i="2"/>
  <c r="L67" i="2"/>
  <c r="M67" i="2"/>
  <c r="H68" i="2"/>
  <c r="L68" i="2"/>
  <c r="M68" i="2"/>
  <c r="H69" i="2"/>
  <c r="L69" i="2"/>
  <c r="M69" i="2"/>
  <c r="H70" i="2"/>
  <c r="L70" i="2"/>
  <c r="M70" i="2"/>
  <c r="H71" i="2"/>
  <c r="L71" i="2"/>
  <c r="M71" i="2"/>
  <c r="H72" i="2"/>
  <c r="L72" i="2"/>
  <c r="M72" i="2"/>
  <c r="H73" i="2"/>
  <c r="L73" i="2"/>
  <c r="M73" i="2"/>
  <c r="H74" i="2"/>
  <c r="L74" i="2"/>
  <c r="M74" i="2"/>
  <c r="H75" i="2"/>
  <c r="L75" i="2"/>
  <c r="M75" i="2"/>
  <c r="H76" i="2"/>
  <c r="L76" i="2"/>
  <c r="M76" i="2"/>
  <c r="H77" i="2"/>
  <c r="I77" i="2" s="1"/>
  <c r="K77" i="2"/>
  <c r="M77" i="2"/>
  <c r="H78" i="2"/>
  <c r="I78" i="2"/>
  <c r="J78" i="2"/>
  <c r="K78" i="2"/>
  <c r="L78" i="2"/>
  <c r="M78" i="2"/>
  <c r="H79" i="2"/>
  <c r="I79" i="2"/>
  <c r="J79" i="2"/>
  <c r="K79" i="2"/>
  <c r="L79" i="2"/>
  <c r="M79" i="2"/>
  <c r="H80" i="2"/>
  <c r="I80" i="2"/>
  <c r="J80" i="2"/>
  <c r="K80" i="2"/>
  <c r="L80" i="2"/>
  <c r="M80" i="2"/>
  <c r="H81" i="2"/>
  <c r="I81" i="2"/>
  <c r="J81" i="2"/>
  <c r="K81" i="2"/>
  <c r="L81" i="2"/>
  <c r="M81" i="2"/>
  <c r="H82" i="2"/>
  <c r="I82" i="2"/>
  <c r="J82" i="2"/>
  <c r="K82" i="2"/>
  <c r="L82" i="2"/>
  <c r="M82" i="2"/>
  <c r="H83" i="2"/>
  <c r="I83" i="2"/>
  <c r="J83" i="2"/>
  <c r="K83" i="2"/>
  <c r="L83" i="2"/>
  <c r="M83" i="2"/>
  <c r="H84" i="2"/>
  <c r="I84" i="2"/>
  <c r="J84" i="2"/>
  <c r="K84" i="2"/>
  <c r="L84" i="2"/>
  <c r="M84" i="2"/>
  <c r="H85" i="2"/>
  <c r="I85" i="2"/>
  <c r="J85" i="2"/>
  <c r="K85" i="2"/>
  <c r="L85" i="2"/>
  <c r="M85" i="2"/>
  <c r="H86" i="2"/>
  <c r="I86" i="2"/>
  <c r="J86" i="2"/>
  <c r="K86" i="2"/>
  <c r="L86" i="2"/>
  <c r="M86" i="2"/>
  <c r="H87" i="2"/>
  <c r="I87" i="2"/>
  <c r="J87" i="2"/>
  <c r="K87" i="2"/>
  <c r="L87" i="2"/>
  <c r="M87" i="2"/>
  <c r="H88" i="2"/>
  <c r="I88" i="2"/>
  <c r="J88" i="2"/>
  <c r="K88" i="2"/>
  <c r="L88" i="2"/>
  <c r="M88" i="2"/>
  <c r="H89" i="2"/>
  <c r="I89" i="2"/>
  <c r="J89" i="2"/>
  <c r="K89" i="2"/>
  <c r="L89" i="2"/>
  <c r="M89" i="2"/>
  <c r="H90" i="2"/>
  <c r="I90" i="2"/>
  <c r="J90" i="2"/>
  <c r="K90" i="2"/>
  <c r="L90" i="2"/>
  <c r="M90" i="2"/>
  <c r="H91" i="2"/>
  <c r="I91" i="2"/>
  <c r="J91" i="2"/>
  <c r="K91" i="2"/>
  <c r="L91" i="2"/>
  <c r="M91" i="2"/>
  <c r="H92" i="2"/>
  <c r="I92" i="2"/>
  <c r="J92" i="2"/>
  <c r="K92" i="2"/>
  <c r="L92" i="2"/>
  <c r="M92" i="2"/>
  <c r="H93" i="2"/>
  <c r="I93" i="2"/>
  <c r="J93" i="2"/>
  <c r="K93" i="2"/>
  <c r="L93" i="2"/>
  <c r="M93" i="2"/>
  <c r="H94" i="2"/>
  <c r="I94" i="2"/>
  <c r="J94" i="2"/>
  <c r="K94" i="2"/>
  <c r="L94" i="2"/>
  <c r="M94" i="2"/>
  <c r="H95" i="2"/>
  <c r="I95" i="2"/>
  <c r="J95" i="2"/>
  <c r="K95" i="2"/>
  <c r="L95" i="2"/>
  <c r="M95" i="2"/>
  <c r="H96" i="2"/>
  <c r="I96" i="2"/>
  <c r="J96" i="2"/>
  <c r="K96" i="2"/>
  <c r="L96" i="2"/>
  <c r="M96" i="2"/>
  <c r="H97" i="2"/>
  <c r="I97" i="2"/>
  <c r="J97" i="2"/>
  <c r="K97" i="2"/>
  <c r="L97" i="2"/>
  <c r="M97" i="2"/>
  <c r="H98" i="2"/>
  <c r="I98" i="2"/>
  <c r="J98" i="2"/>
  <c r="K98" i="2"/>
  <c r="L98" i="2"/>
  <c r="M98" i="2"/>
  <c r="H99" i="2"/>
  <c r="I99" i="2"/>
  <c r="J99" i="2"/>
  <c r="K99" i="2"/>
  <c r="L99" i="2"/>
  <c r="M99" i="2"/>
  <c r="H100" i="2"/>
  <c r="I100" i="2"/>
  <c r="J100" i="2"/>
  <c r="K100" i="2"/>
  <c r="L100" i="2"/>
  <c r="M100" i="2"/>
  <c r="H101" i="2"/>
  <c r="I101" i="2"/>
  <c r="J101" i="2"/>
  <c r="K101" i="2"/>
  <c r="L101" i="2"/>
  <c r="M101" i="2"/>
  <c r="H102" i="2"/>
  <c r="I102" i="2"/>
  <c r="J102" i="2"/>
  <c r="K102" i="2"/>
  <c r="L102" i="2"/>
  <c r="M102" i="2"/>
  <c r="H103" i="2"/>
  <c r="I103" i="2"/>
  <c r="J103" i="2"/>
  <c r="K103" i="2"/>
  <c r="L103" i="2"/>
  <c r="M103" i="2"/>
  <c r="H104" i="2"/>
  <c r="I104" i="2"/>
  <c r="J104" i="2"/>
  <c r="K104" i="2"/>
  <c r="L104" i="2"/>
  <c r="M104" i="2"/>
  <c r="H105" i="2"/>
  <c r="I105" i="2"/>
  <c r="J105" i="2"/>
  <c r="K105" i="2"/>
  <c r="L105" i="2"/>
  <c r="M105" i="2"/>
  <c r="H106" i="2"/>
  <c r="I106" i="2"/>
  <c r="J106" i="2"/>
  <c r="K106" i="2"/>
  <c r="L106" i="2"/>
  <c r="M106" i="2"/>
  <c r="H107" i="2"/>
  <c r="I107" i="2"/>
  <c r="J107" i="2"/>
  <c r="K107" i="2"/>
  <c r="L107" i="2"/>
  <c r="M107" i="2"/>
  <c r="H108" i="2"/>
  <c r="I108" i="2"/>
  <c r="J108" i="2"/>
  <c r="K108" i="2"/>
  <c r="L108" i="2"/>
  <c r="M108" i="2"/>
  <c r="H109" i="2"/>
  <c r="I109" i="2"/>
  <c r="J109" i="2"/>
  <c r="K109" i="2"/>
  <c r="L109" i="2"/>
  <c r="M109" i="2"/>
  <c r="H110" i="2"/>
  <c r="I110" i="2"/>
  <c r="J110" i="2"/>
  <c r="K110" i="2"/>
  <c r="L110" i="2"/>
  <c r="M110" i="2"/>
  <c r="H111" i="2"/>
  <c r="I111" i="2"/>
  <c r="J111" i="2"/>
  <c r="K111" i="2"/>
  <c r="L111" i="2"/>
  <c r="M111" i="2"/>
  <c r="H112" i="2"/>
  <c r="I112" i="2"/>
  <c r="J112" i="2"/>
  <c r="K112" i="2"/>
  <c r="L112" i="2"/>
  <c r="M112" i="2"/>
  <c r="H113" i="2"/>
  <c r="I113" i="2"/>
  <c r="J113" i="2"/>
  <c r="K113" i="2"/>
  <c r="L113" i="2"/>
  <c r="M113" i="2"/>
  <c r="H114" i="2"/>
  <c r="I114" i="2"/>
  <c r="J114" i="2"/>
  <c r="K114" i="2"/>
  <c r="L114" i="2"/>
  <c r="M114" i="2"/>
  <c r="H115" i="2"/>
  <c r="I115" i="2"/>
  <c r="J115" i="2"/>
  <c r="K115" i="2"/>
  <c r="L115" i="2"/>
  <c r="M115" i="2"/>
  <c r="H116" i="2"/>
  <c r="I116" i="2"/>
  <c r="J116" i="2"/>
  <c r="K116" i="2"/>
  <c r="L116" i="2"/>
  <c r="M116" i="2"/>
  <c r="H117" i="2"/>
  <c r="I117" i="2"/>
  <c r="J117" i="2"/>
  <c r="K117" i="2"/>
  <c r="L117" i="2"/>
  <c r="M117" i="2"/>
  <c r="H118" i="2"/>
  <c r="I118" i="2"/>
  <c r="J118" i="2"/>
  <c r="K118" i="2"/>
  <c r="L118" i="2"/>
  <c r="M118" i="2"/>
  <c r="H119" i="2"/>
  <c r="I119" i="2"/>
  <c r="J119" i="2"/>
  <c r="K119" i="2"/>
  <c r="L119" i="2"/>
  <c r="M119" i="2"/>
  <c r="H120" i="2"/>
  <c r="I120" i="2"/>
  <c r="J120" i="2"/>
  <c r="K120" i="2"/>
  <c r="L120" i="2"/>
  <c r="M120" i="2"/>
  <c r="H121" i="2"/>
  <c r="I121" i="2"/>
  <c r="J121" i="2"/>
  <c r="K121" i="2"/>
  <c r="L121" i="2"/>
  <c r="M121" i="2"/>
  <c r="H122" i="2"/>
  <c r="I122" i="2"/>
  <c r="J122" i="2"/>
  <c r="K122" i="2"/>
  <c r="L122" i="2"/>
  <c r="M122" i="2"/>
  <c r="H123" i="2"/>
  <c r="I123" i="2"/>
  <c r="J123" i="2"/>
  <c r="K123" i="2"/>
  <c r="L123" i="2"/>
  <c r="M123" i="2"/>
  <c r="H124" i="2"/>
  <c r="I124" i="2"/>
  <c r="J124" i="2"/>
  <c r="K124" i="2"/>
  <c r="L124" i="2"/>
  <c r="M124" i="2"/>
  <c r="H125" i="2"/>
  <c r="I125" i="2"/>
  <c r="J125" i="2"/>
  <c r="K125" i="2"/>
  <c r="L125" i="2"/>
  <c r="M125" i="2"/>
  <c r="H126" i="2"/>
  <c r="I126" i="2"/>
  <c r="J126" i="2"/>
  <c r="K126" i="2"/>
  <c r="L126" i="2"/>
  <c r="M126" i="2"/>
  <c r="H127" i="2"/>
  <c r="I127" i="2"/>
  <c r="J127" i="2"/>
  <c r="K127" i="2"/>
  <c r="L127" i="2"/>
  <c r="M127" i="2"/>
  <c r="H128" i="2"/>
  <c r="I128" i="2"/>
  <c r="J128" i="2"/>
  <c r="K128" i="2"/>
  <c r="L128" i="2"/>
  <c r="M128" i="2"/>
  <c r="H129" i="2"/>
  <c r="I129" i="2"/>
  <c r="J129" i="2"/>
  <c r="K129" i="2"/>
  <c r="L129" i="2"/>
  <c r="M129" i="2"/>
  <c r="H130" i="2"/>
  <c r="I130" i="2"/>
  <c r="J130" i="2"/>
  <c r="K130" i="2"/>
  <c r="L130" i="2"/>
  <c r="M130" i="2"/>
  <c r="H131" i="2"/>
  <c r="I131" i="2"/>
  <c r="J131" i="2"/>
  <c r="K131" i="2"/>
  <c r="L131" i="2"/>
  <c r="M131" i="2"/>
  <c r="H132" i="2"/>
  <c r="I132" i="2"/>
  <c r="J132" i="2"/>
  <c r="K132" i="2"/>
  <c r="L132" i="2"/>
  <c r="M132" i="2"/>
  <c r="H133" i="2"/>
  <c r="I133" i="2"/>
  <c r="J133" i="2"/>
  <c r="K133" i="2"/>
  <c r="L133" i="2"/>
  <c r="M133" i="2"/>
  <c r="H134" i="2"/>
  <c r="I134" i="2"/>
  <c r="J134" i="2"/>
  <c r="K134" i="2"/>
  <c r="L134" i="2"/>
  <c r="M134" i="2"/>
  <c r="H135" i="2"/>
  <c r="I135" i="2"/>
  <c r="J135" i="2"/>
  <c r="K135" i="2"/>
  <c r="L135" i="2"/>
  <c r="M135" i="2"/>
  <c r="H136" i="2"/>
  <c r="I136" i="2"/>
  <c r="J136" i="2"/>
  <c r="K136" i="2"/>
  <c r="L136" i="2"/>
  <c r="M136" i="2"/>
  <c r="H137" i="2"/>
  <c r="I137" i="2"/>
  <c r="J137" i="2"/>
  <c r="K137" i="2"/>
  <c r="L137" i="2"/>
  <c r="M137" i="2"/>
  <c r="H138" i="2"/>
  <c r="I138" i="2"/>
  <c r="J138" i="2"/>
  <c r="K138" i="2"/>
  <c r="L138" i="2"/>
  <c r="M138" i="2"/>
  <c r="H139" i="2"/>
  <c r="I139" i="2"/>
  <c r="J139" i="2"/>
  <c r="K139" i="2"/>
  <c r="L139" i="2"/>
  <c r="M139" i="2"/>
  <c r="H140" i="2"/>
  <c r="I140" i="2"/>
  <c r="J140" i="2"/>
  <c r="K140" i="2"/>
  <c r="L140" i="2"/>
  <c r="M140" i="2"/>
  <c r="H141" i="2"/>
  <c r="I141" i="2"/>
  <c r="J141" i="2"/>
  <c r="K141" i="2"/>
  <c r="L141" i="2"/>
  <c r="M141" i="2"/>
  <c r="H142" i="2"/>
  <c r="I142" i="2"/>
  <c r="J142" i="2"/>
  <c r="K142" i="2"/>
  <c r="L142" i="2"/>
  <c r="M142" i="2"/>
  <c r="H143" i="2"/>
  <c r="I143" i="2"/>
  <c r="J143" i="2"/>
  <c r="K143" i="2"/>
  <c r="L143" i="2"/>
  <c r="M143" i="2"/>
  <c r="H144" i="2"/>
  <c r="I144" i="2"/>
  <c r="J144" i="2"/>
  <c r="K144" i="2"/>
  <c r="L144" i="2"/>
  <c r="M144" i="2"/>
  <c r="H145" i="2"/>
  <c r="I145" i="2"/>
  <c r="J145" i="2"/>
  <c r="K145" i="2"/>
  <c r="L145" i="2"/>
  <c r="M145" i="2"/>
  <c r="H146" i="2"/>
  <c r="I146" i="2"/>
  <c r="J146" i="2"/>
  <c r="K146" i="2"/>
  <c r="L146" i="2"/>
  <c r="M146" i="2"/>
  <c r="H147" i="2"/>
  <c r="I147" i="2"/>
  <c r="J147" i="2"/>
  <c r="K147" i="2"/>
  <c r="L147" i="2"/>
  <c r="M147" i="2"/>
  <c r="H148" i="2"/>
  <c r="I148" i="2"/>
  <c r="J148" i="2"/>
  <c r="K148" i="2"/>
  <c r="L148" i="2"/>
  <c r="M148" i="2"/>
  <c r="H149" i="2"/>
  <c r="I149" i="2"/>
  <c r="J149" i="2"/>
  <c r="K149" i="2"/>
  <c r="L149" i="2"/>
  <c r="M149" i="2"/>
  <c r="H150" i="2"/>
  <c r="I150" i="2"/>
  <c r="J150" i="2"/>
  <c r="K150" i="2"/>
  <c r="L150" i="2"/>
  <c r="M150" i="2"/>
  <c r="H151" i="2"/>
  <c r="I151" i="2"/>
  <c r="J151" i="2"/>
  <c r="K151" i="2"/>
  <c r="L151" i="2"/>
  <c r="M151" i="2"/>
  <c r="H152" i="2"/>
  <c r="I152" i="2"/>
  <c r="J152" i="2"/>
  <c r="K152" i="2"/>
  <c r="L152" i="2"/>
  <c r="M152" i="2"/>
  <c r="H153" i="2"/>
  <c r="I153" i="2"/>
  <c r="J153" i="2"/>
  <c r="K153" i="2"/>
  <c r="L153" i="2"/>
  <c r="M153" i="2"/>
  <c r="H154" i="2"/>
  <c r="I154" i="2"/>
  <c r="J154" i="2"/>
  <c r="K154" i="2"/>
  <c r="L154" i="2"/>
  <c r="M154" i="2"/>
  <c r="H155" i="2"/>
  <c r="I155" i="2"/>
  <c r="J155" i="2"/>
  <c r="K155" i="2"/>
  <c r="L155" i="2"/>
  <c r="M155" i="2"/>
  <c r="H156" i="2"/>
  <c r="I156" i="2"/>
  <c r="J156" i="2"/>
  <c r="K156" i="2"/>
  <c r="L156" i="2"/>
  <c r="M156" i="2"/>
  <c r="H157" i="2"/>
  <c r="I157" i="2"/>
  <c r="J157" i="2"/>
  <c r="K157" i="2"/>
  <c r="L157" i="2"/>
  <c r="M157" i="2"/>
  <c r="H158" i="2"/>
  <c r="I158" i="2"/>
  <c r="J158" i="2"/>
  <c r="K158" i="2"/>
  <c r="L158" i="2"/>
  <c r="M158" i="2"/>
  <c r="H159" i="2"/>
  <c r="I159" i="2"/>
  <c r="J159" i="2"/>
  <c r="K159" i="2"/>
  <c r="L159" i="2"/>
  <c r="M159" i="2"/>
  <c r="H160" i="2"/>
  <c r="I160" i="2"/>
  <c r="J160" i="2"/>
  <c r="K160" i="2"/>
  <c r="L160" i="2"/>
  <c r="M160" i="2"/>
  <c r="H161" i="2"/>
  <c r="I161" i="2"/>
  <c r="J161" i="2"/>
  <c r="K161" i="2"/>
  <c r="L161" i="2"/>
  <c r="M161" i="2"/>
  <c r="H162" i="2"/>
  <c r="I162" i="2"/>
  <c r="J162" i="2"/>
  <c r="K162" i="2"/>
  <c r="L162" i="2"/>
  <c r="M162" i="2"/>
  <c r="H163" i="2"/>
  <c r="I163" i="2"/>
  <c r="J163" i="2"/>
  <c r="K163" i="2"/>
  <c r="L163" i="2"/>
  <c r="M163" i="2"/>
  <c r="H164" i="2"/>
  <c r="I164" i="2"/>
  <c r="J164" i="2"/>
  <c r="K164" i="2"/>
  <c r="L164" i="2"/>
  <c r="M164" i="2"/>
  <c r="H165" i="2"/>
  <c r="I165" i="2"/>
  <c r="J165" i="2"/>
  <c r="K165" i="2"/>
  <c r="L165" i="2"/>
  <c r="M165" i="2"/>
  <c r="H166" i="2"/>
  <c r="I166" i="2"/>
  <c r="J166" i="2"/>
  <c r="K166" i="2"/>
  <c r="L166" i="2"/>
  <c r="M166" i="2"/>
  <c r="H167" i="2"/>
  <c r="I167" i="2"/>
  <c r="J167" i="2"/>
  <c r="K167" i="2"/>
  <c r="L167" i="2"/>
  <c r="M167" i="2"/>
  <c r="H168" i="2"/>
  <c r="I168" i="2"/>
  <c r="J168" i="2"/>
  <c r="K168" i="2"/>
  <c r="L168" i="2"/>
  <c r="M168" i="2"/>
  <c r="H169" i="2"/>
  <c r="I169" i="2"/>
  <c r="J169" i="2"/>
  <c r="K169" i="2"/>
  <c r="L169" i="2"/>
  <c r="M169" i="2"/>
  <c r="H170" i="2"/>
  <c r="I170" i="2"/>
  <c r="J170" i="2"/>
  <c r="K170" i="2"/>
  <c r="L170" i="2"/>
  <c r="M170" i="2"/>
  <c r="H171" i="2"/>
  <c r="I171" i="2"/>
  <c r="J171" i="2"/>
  <c r="K171" i="2"/>
  <c r="L171" i="2"/>
  <c r="M171" i="2"/>
  <c r="H172" i="2"/>
  <c r="I172" i="2"/>
  <c r="J172" i="2"/>
  <c r="K172" i="2"/>
  <c r="L172" i="2"/>
  <c r="M172" i="2"/>
  <c r="H173" i="2"/>
  <c r="I173" i="2"/>
  <c r="J173" i="2"/>
  <c r="K173" i="2"/>
  <c r="L173" i="2"/>
  <c r="M173" i="2"/>
  <c r="H174" i="2"/>
  <c r="I174" i="2"/>
  <c r="J174" i="2"/>
  <c r="K174" i="2"/>
  <c r="L174" i="2"/>
  <c r="M174" i="2"/>
  <c r="H175" i="2"/>
  <c r="I175" i="2"/>
  <c r="J175" i="2"/>
  <c r="K175" i="2"/>
  <c r="L175" i="2"/>
  <c r="M175" i="2"/>
  <c r="H176" i="2"/>
  <c r="I176" i="2"/>
  <c r="J176" i="2"/>
  <c r="K176" i="2"/>
  <c r="L176" i="2"/>
  <c r="M176" i="2"/>
  <c r="H177" i="2"/>
  <c r="I177" i="2"/>
  <c r="J177" i="2"/>
  <c r="K177" i="2"/>
  <c r="L177" i="2"/>
  <c r="M177" i="2"/>
  <c r="H178" i="2"/>
  <c r="I178" i="2"/>
  <c r="J178" i="2"/>
  <c r="K178" i="2"/>
  <c r="L178" i="2"/>
  <c r="M178" i="2"/>
  <c r="H179" i="2"/>
  <c r="I179" i="2"/>
  <c r="J179" i="2"/>
  <c r="K179" i="2"/>
  <c r="L179" i="2"/>
  <c r="M179" i="2"/>
  <c r="H180" i="2"/>
  <c r="I180" i="2"/>
  <c r="J180" i="2"/>
  <c r="K180" i="2"/>
  <c r="L180" i="2"/>
  <c r="M180" i="2"/>
  <c r="H181" i="2"/>
  <c r="I181" i="2"/>
  <c r="J181" i="2"/>
  <c r="K181" i="2"/>
  <c r="L181" i="2"/>
  <c r="M181" i="2"/>
  <c r="H182" i="2"/>
  <c r="I182" i="2"/>
  <c r="J182" i="2"/>
  <c r="K182" i="2"/>
  <c r="L182" i="2"/>
  <c r="M182" i="2"/>
  <c r="H183" i="2"/>
  <c r="I183" i="2"/>
  <c r="J183" i="2"/>
  <c r="K183" i="2"/>
  <c r="L183" i="2"/>
  <c r="M183" i="2"/>
  <c r="H184" i="2"/>
  <c r="I184" i="2"/>
  <c r="J184" i="2"/>
  <c r="K184" i="2"/>
  <c r="L184" i="2"/>
  <c r="M184" i="2"/>
  <c r="H185" i="2"/>
  <c r="I185" i="2"/>
  <c r="J185" i="2"/>
  <c r="K185" i="2"/>
  <c r="L185" i="2"/>
  <c r="M185" i="2"/>
  <c r="H186" i="2"/>
  <c r="I186" i="2"/>
  <c r="J186" i="2"/>
  <c r="K186" i="2"/>
  <c r="L186" i="2"/>
  <c r="M186" i="2"/>
  <c r="H187" i="2"/>
  <c r="I187" i="2"/>
  <c r="J187" i="2"/>
  <c r="K187" i="2"/>
  <c r="L187" i="2"/>
  <c r="M187" i="2"/>
  <c r="H188" i="2"/>
  <c r="I188" i="2"/>
  <c r="J188" i="2"/>
  <c r="K188" i="2"/>
  <c r="L188" i="2"/>
  <c r="M188" i="2"/>
  <c r="H189" i="2"/>
  <c r="I189" i="2"/>
  <c r="J189" i="2"/>
  <c r="K189" i="2"/>
  <c r="L189" i="2"/>
  <c r="M189" i="2"/>
  <c r="H190" i="2"/>
  <c r="I190" i="2"/>
  <c r="J190" i="2"/>
  <c r="K190" i="2"/>
  <c r="L190" i="2"/>
  <c r="M190" i="2"/>
  <c r="H191" i="2"/>
  <c r="I191" i="2"/>
  <c r="J191" i="2"/>
  <c r="K191" i="2"/>
  <c r="L191" i="2"/>
  <c r="M191" i="2"/>
  <c r="H192" i="2"/>
  <c r="I192" i="2"/>
  <c r="J192" i="2"/>
  <c r="K192" i="2"/>
  <c r="L192" i="2"/>
  <c r="M192" i="2"/>
  <c r="H193" i="2"/>
  <c r="I193" i="2"/>
  <c r="J193" i="2"/>
  <c r="K193" i="2"/>
  <c r="L193" i="2"/>
  <c r="M193" i="2"/>
  <c r="H194" i="2"/>
  <c r="I194" i="2"/>
  <c r="J194" i="2"/>
  <c r="K194" i="2"/>
  <c r="L194" i="2"/>
  <c r="M194" i="2"/>
  <c r="H195" i="2"/>
  <c r="I195" i="2"/>
  <c r="J195" i="2"/>
  <c r="K195" i="2"/>
  <c r="L195" i="2"/>
  <c r="M195" i="2"/>
  <c r="H196" i="2"/>
  <c r="I196" i="2"/>
  <c r="J196" i="2"/>
  <c r="K196" i="2"/>
  <c r="L196" i="2"/>
  <c r="M196" i="2"/>
  <c r="H197" i="2"/>
  <c r="I197" i="2"/>
  <c r="J197" i="2"/>
  <c r="K197" i="2"/>
  <c r="L197" i="2"/>
  <c r="M197" i="2"/>
  <c r="H198" i="2"/>
  <c r="I198" i="2"/>
  <c r="J198" i="2"/>
  <c r="K198" i="2"/>
  <c r="L198" i="2"/>
  <c r="M198" i="2"/>
  <c r="H199" i="2"/>
  <c r="I199" i="2"/>
  <c r="J199" i="2"/>
  <c r="K199" i="2"/>
  <c r="L199" i="2"/>
  <c r="M199" i="2"/>
  <c r="H200" i="2"/>
  <c r="I200" i="2"/>
  <c r="J200" i="2"/>
  <c r="K200" i="2"/>
  <c r="L200" i="2"/>
  <c r="M200" i="2"/>
  <c r="H201" i="2"/>
  <c r="I201" i="2"/>
  <c r="J201" i="2"/>
  <c r="K201" i="2"/>
  <c r="L201" i="2"/>
  <c r="M201" i="2"/>
  <c r="H202" i="2"/>
  <c r="I202" i="2"/>
  <c r="J202" i="2"/>
  <c r="K202" i="2"/>
  <c r="L202" i="2"/>
  <c r="M202" i="2"/>
  <c r="H203" i="2"/>
  <c r="I203" i="2"/>
  <c r="J203" i="2"/>
  <c r="K203" i="2"/>
  <c r="L203" i="2"/>
  <c r="M203" i="2"/>
  <c r="H204" i="2"/>
  <c r="I204" i="2"/>
  <c r="J204" i="2"/>
  <c r="K204" i="2"/>
  <c r="L204" i="2"/>
  <c r="M204" i="2"/>
  <c r="H205" i="2"/>
  <c r="I205" i="2"/>
  <c r="J205" i="2"/>
  <c r="K205" i="2"/>
  <c r="L205" i="2"/>
  <c r="M205" i="2"/>
  <c r="H206" i="2"/>
  <c r="I206" i="2"/>
  <c r="J206" i="2"/>
  <c r="K206" i="2"/>
  <c r="L206" i="2"/>
  <c r="M206" i="2"/>
  <c r="H207" i="2"/>
  <c r="I207" i="2"/>
  <c r="J207" i="2"/>
  <c r="K207" i="2"/>
  <c r="L207" i="2"/>
  <c r="M207" i="2"/>
  <c r="H208" i="2"/>
  <c r="I208" i="2"/>
  <c r="J208" i="2"/>
  <c r="K208" i="2"/>
  <c r="L208" i="2"/>
  <c r="M208" i="2"/>
  <c r="H209" i="2"/>
  <c r="I209" i="2"/>
  <c r="J209" i="2"/>
  <c r="K209" i="2"/>
  <c r="L209" i="2"/>
  <c r="M209" i="2"/>
  <c r="H210" i="2"/>
  <c r="I210" i="2"/>
  <c r="J210" i="2"/>
  <c r="K210" i="2"/>
  <c r="L210" i="2"/>
  <c r="M210" i="2"/>
  <c r="H211" i="2"/>
  <c r="I211" i="2"/>
  <c r="J211" i="2"/>
  <c r="K211" i="2"/>
  <c r="L211" i="2"/>
  <c r="M211" i="2"/>
  <c r="H212" i="2"/>
  <c r="I212" i="2"/>
  <c r="J212" i="2"/>
  <c r="K212" i="2"/>
  <c r="L212" i="2"/>
  <c r="M212" i="2"/>
  <c r="H213" i="2"/>
  <c r="I213" i="2"/>
  <c r="J213" i="2"/>
  <c r="K213" i="2"/>
  <c r="L213" i="2"/>
  <c r="M213" i="2"/>
  <c r="H214" i="2"/>
  <c r="I214" i="2"/>
  <c r="J214" i="2"/>
  <c r="K214" i="2"/>
  <c r="L214" i="2"/>
  <c r="M214" i="2"/>
  <c r="H215" i="2"/>
  <c r="I215" i="2"/>
  <c r="J215" i="2"/>
  <c r="K215" i="2"/>
  <c r="L215" i="2"/>
  <c r="M215" i="2"/>
  <c r="H216" i="2"/>
  <c r="I216" i="2"/>
  <c r="J216" i="2"/>
  <c r="K216" i="2"/>
  <c r="L216" i="2"/>
  <c r="M216" i="2"/>
  <c r="H217" i="2"/>
  <c r="I217" i="2"/>
  <c r="J217" i="2"/>
  <c r="K217" i="2"/>
  <c r="L217" i="2"/>
  <c r="M217" i="2"/>
  <c r="H218" i="2"/>
  <c r="I218" i="2"/>
  <c r="J218" i="2"/>
  <c r="K218" i="2"/>
  <c r="L218" i="2"/>
  <c r="M218" i="2"/>
  <c r="H219" i="2"/>
  <c r="I219" i="2"/>
  <c r="J219" i="2"/>
  <c r="K219" i="2"/>
  <c r="L219" i="2"/>
  <c r="M219" i="2"/>
  <c r="H220" i="2"/>
  <c r="I220" i="2"/>
  <c r="J220" i="2"/>
  <c r="K220" i="2"/>
  <c r="L220" i="2"/>
  <c r="M220" i="2"/>
  <c r="H221" i="2"/>
  <c r="I221" i="2"/>
  <c r="J221" i="2"/>
  <c r="K221" i="2"/>
  <c r="L221" i="2"/>
  <c r="M221" i="2"/>
  <c r="H222" i="2"/>
  <c r="I222" i="2"/>
  <c r="J222" i="2"/>
  <c r="K222" i="2"/>
  <c r="L222" i="2"/>
  <c r="M222" i="2"/>
  <c r="H223" i="2"/>
  <c r="I223" i="2"/>
  <c r="J223" i="2"/>
  <c r="K223" i="2"/>
  <c r="L223" i="2"/>
  <c r="M223" i="2"/>
  <c r="H224" i="2"/>
  <c r="I224" i="2"/>
  <c r="J224" i="2"/>
  <c r="K224" i="2"/>
  <c r="L224" i="2"/>
  <c r="M224" i="2"/>
  <c r="H225" i="2"/>
  <c r="I225" i="2"/>
  <c r="J225" i="2"/>
  <c r="K225" i="2"/>
  <c r="L225" i="2"/>
  <c r="M225" i="2"/>
  <c r="H226" i="2"/>
  <c r="I226" i="2"/>
  <c r="J226" i="2"/>
  <c r="K226" i="2"/>
  <c r="L226" i="2"/>
  <c r="M226" i="2"/>
  <c r="H227" i="2"/>
  <c r="I227" i="2"/>
  <c r="J227" i="2"/>
  <c r="K227" i="2"/>
  <c r="L227" i="2"/>
  <c r="M227" i="2"/>
  <c r="H228" i="2"/>
  <c r="I228" i="2"/>
  <c r="J228" i="2"/>
  <c r="K228" i="2"/>
  <c r="L228" i="2"/>
  <c r="M228" i="2"/>
  <c r="H229" i="2"/>
  <c r="I229" i="2"/>
  <c r="J229" i="2"/>
  <c r="K229" i="2"/>
  <c r="L229" i="2"/>
  <c r="M229" i="2"/>
  <c r="H230" i="2"/>
  <c r="I230" i="2"/>
  <c r="J230" i="2"/>
  <c r="K230" i="2"/>
  <c r="L230" i="2"/>
  <c r="M230" i="2"/>
  <c r="H231" i="2"/>
  <c r="I231" i="2"/>
  <c r="J231" i="2"/>
  <c r="K231" i="2"/>
  <c r="L231" i="2"/>
  <c r="M231" i="2"/>
  <c r="H232" i="2"/>
  <c r="I232" i="2"/>
  <c r="J232" i="2"/>
  <c r="K232" i="2"/>
  <c r="L232" i="2"/>
  <c r="M232" i="2"/>
  <c r="H233" i="2"/>
  <c r="I233" i="2"/>
  <c r="J233" i="2"/>
  <c r="K233" i="2"/>
  <c r="L233" i="2"/>
  <c r="M233" i="2"/>
  <c r="H234" i="2"/>
  <c r="I234" i="2"/>
  <c r="J234" i="2"/>
  <c r="K234" i="2"/>
  <c r="L234" i="2"/>
  <c r="M234" i="2"/>
  <c r="H235" i="2"/>
  <c r="I235" i="2"/>
  <c r="J235" i="2"/>
  <c r="K235" i="2"/>
  <c r="L235" i="2"/>
  <c r="M235" i="2"/>
  <c r="H236" i="2"/>
  <c r="I236" i="2"/>
  <c r="J236" i="2"/>
  <c r="K236" i="2"/>
  <c r="L236" i="2"/>
  <c r="M236" i="2"/>
  <c r="H237" i="2"/>
  <c r="I237" i="2"/>
  <c r="J237" i="2"/>
  <c r="K237" i="2"/>
  <c r="L237" i="2"/>
  <c r="M237" i="2"/>
  <c r="H238" i="2"/>
  <c r="I238" i="2"/>
  <c r="J238" i="2"/>
  <c r="K238" i="2"/>
  <c r="L238" i="2"/>
  <c r="M238" i="2"/>
  <c r="H239" i="2"/>
  <c r="I239" i="2"/>
  <c r="J239" i="2"/>
  <c r="K239" i="2"/>
  <c r="L239" i="2"/>
  <c r="M239" i="2"/>
  <c r="H240" i="2"/>
  <c r="I240" i="2"/>
  <c r="J240" i="2"/>
  <c r="K240" i="2"/>
  <c r="L240" i="2"/>
  <c r="M240" i="2"/>
  <c r="H241" i="2"/>
  <c r="I241" i="2"/>
  <c r="J241" i="2"/>
  <c r="K241" i="2"/>
  <c r="L241" i="2"/>
  <c r="M241" i="2"/>
  <c r="H242" i="2"/>
  <c r="I242" i="2"/>
  <c r="J242" i="2"/>
  <c r="K242" i="2"/>
  <c r="L242" i="2"/>
  <c r="M242" i="2"/>
  <c r="H243" i="2"/>
  <c r="I243" i="2"/>
  <c r="J243" i="2"/>
  <c r="K243" i="2"/>
  <c r="L243" i="2"/>
  <c r="M243" i="2"/>
  <c r="H244" i="2"/>
  <c r="I244" i="2"/>
  <c r="J244" i="2"/>
  <c r="K244" i="2"/>
  <c r="L244" i="2"/>
  <c r="M244" i="2"/>
  <c r="H245" i="2"/>
  <c r="I245" i="2"/>
  <c r="J245" i="2"/>
  <c r="K245" i="2"/>
  <c r="L245" i="2"/>
  <c r="M245" i="2"/>
  <c r="H246" i="2"/>
  <c r="I246" i="2"/>
  <c r="J246" i="2"/>
  <c r="K246" i="2"/>
  <c r="L246" i="2"/>
  <c r="M246" i="2"/>
  <c r="H247" i="2"/>
  <c r="I247" i="2"/>
  <c r="J247" i="2"/>
  <c r="K247" i="2"/>
  <c r="L247" i="2"/>
  <c r="M247" i="2"/>
  <c r="H248" i="2"/>
  <c r="I248" i="2"/>
  <c r="J248" i="2"/>
  <c r="K248" i="2"/>
  <c r="L248" i="2"/>
  <c r="M248" i="2"/>
  <c r="H249" i="2"/>
  <c r="I249" i="2"/>
  <c r="J249" i="2"/>
  <c r="K249" i="2"/>
  <c r="L249" i="2"/>
  <c r="M249" i="2"/>
  <c r="H250" i="2"/>
  <c r="I250" i="2"/>
  <c r="J250" i="2"/>
  <c r="K250" i="2"/>
  <c r="L250" i="2"/>
  <c r="M250" i="2"/>
  <c r="H251" i="2"/>
  <c r="I251" i="2"/>
  <c r="J251" i="2"/>
  <c r="K251" i="2"/>
  <c r="L251" i="2"/>
  <c r="M251" i="2"/>
  <c r="H252" i="2"/>
  <c r="I252" i="2"/>
  <c r="J252" i="2"/>
  <c r="K252" i="2"/>
  <c r="L252" i="2"/>
  <c r="M252" i="2"/>
  <c r="H253" i="2"/>
  <c r="I253" i="2"/>
  <c r="J253" i="2"/>
  <c r="K253" i="2"/>
  <c r="L253" i="2"/>
  <c r="M253" i="2"/>
  <c r="H254" i="2"/>
  <c r="I254" i="2"/>
  <c r="J254" i="2"/>
  <c r="K254" i="2"/>
  <c r="L254" i="2"/>
  <c r="M254" i="2"/>
  <c r="H255" i="2"/>
  <c r="I255" i="2"/>
  <c r="J255" i="2"/>
  <c r="K255" i="2"/>
  <c r="L255" i="2"/>
  <c r="M255" i="2"/>
  <c r="H256" i="2"/>
  <c r="I256" i="2"/>
  <c r="J256" i="2"/>
  <c r="K256" i="2"/>
  <c r="L256" i="2"/>
  <c r="M256" i="2"/>
  <c r="H257" i="2"/>
  <c r="I257" i="2"/>
  <c r="J257" i="2"/>
  <c r="K257" i="2"/>
  <c r="L257" i="2"/>
  <c r="M257" i="2"/>
  <c r="H258" i="2"/>
  <c r="I258" i="2"/>
  <c r="J258" i="2"/>
  <c r="K258" i="2"/>
  <c r="L258" i="2"/>
  <c r="M258" i="2"/>
  <c r="H259" i="2"/>
  <c r="I259" i="2"/>
  <c r="J259" i="2"/>
  <c r="K259" i="2"/>
  <c r="L259" i="2"/>
  <c r="M259" i="2"/>
  <c r="H260" i="2"/>
  <c r="I260" i="2"/>
  <c r="J260" i="2"/>
  <c r="K260" i="2"/>
  <c r="L260" i="2"/>
  <c r="M260" i="2"/>
  <c r="H261" i="2"/>
  <c r="I261" i="2"/>
  <c r="J261" i="2"/>
  <c r="K261" i="2"/>
  <c r="L261" i="2"/>
  <c r="M261" i="2"/>
  <c r="H262" i="2"/>
  <c r="I262" i="2"/>
  <c r="J262" i="2"/>
  <c r="K262" i="2"/>
  <c r="L262" i="2"/>
  <c r="M262" i="2"/>
  <c r="H263" i="2"/>
  <c r="I263" i="2"/>
  <c r="J263" i="2"/>
  <c r="K263" i="2"/>
  <c r="L263" i="2"/>
  <c r="M263" i="2"/>
  <c r="H264" i="2"/>
  <c r="I264" i="2"/>
  <c r="J264" i="2"/>
  <c r="K264" i="2"/>
  <c r="L264" i="2"/>
  <c r="M264" i="2"/>
  <c r="H265" i="2"/>
  <c r="I265" i="2"/>
  <c r="J265" i="2"/>
  <c r="K265" i="2"/>
  <c r="L265" i="2"/>
  <c r="M265" i="2"/>
  <c r="H266" i="2"/>
  <c r="I266" i="2"/>
  <c r="J266" i="2"/>
  <c r="K266" i="2"/>
  <c r="L266" i="2"/>
  <c r="M266" i="2"/>
  <c r="H267" i="2"/>
  <c r="I267" i="2"/>
  <c r="J267" i="2"/>
  <c r="K267" i="2"/>
  <c r="L267" i="2"/>
  <c r="M267" i="2"/>
  <c r="H268" i="2"/>
  <c r="I268" i="2"/>
  <c r="J268" i="2"/>
  <c r="K268" i="2"/>
  <c r="L268" i="2"/>
  <c r="M268" i="2"/>
  <c r="H269" i="2"/>
  <c r="I269" i="2"/>
  <c r="J269" i="2"/>
  <c r="K269" i="2"/>
  <c r="L269" i="2"/>
  <c r="M269" i="2"/>
  <c r="H270" i="2"/>
  <c r="I270" i="2"/>
  <c r="J270" i="2"/>
  <c r="K270" i="2"/>
  <c r="L270" i="2"/>
  <c r="M270" i="2"/>
  <c r="H271" i="2"/>
  <c r="I271" i="2"/>
  <c r="J271" i="2"/>
  <c r="K271" i="2"/>
  <c r="L271" i="2"/>
  <c r="M271" i="2"/>
  <c r="H272" i="2"/>
  <c r="I272" i="2"/>
  <c r="J272" i="2"/>
  <c r="K272" i="2"/>
  <c r="L272" i="2"/>
  <c r="M272" i="2"/>
  <c r="H273" i="2"/>
  <c r="I273" i="2"/>
  <c r="J273" i="2"/>
  <c r="K273" i="2"/>
  <c r="L273" i="2"/>
  <c r="M273" i="2"/>
  <c r="H274" i="2"/>
  <c r="I274" i="2"/>
  <c r="J274" i="2"/>
  <c r="K274" i="2"/>
  <c r="L274" i="2"/>
  <c r="M274" i="2"/>
  <c r="H275" i="2"/>
  <c r="I275" i="2"/>
  <c r="J275" i="2"/>
  <c r="K275" i="2"/>
  <c r="L275" i="2"/>
  <c r="M275" i="2"/>
  <c r="H276" i="2"/>
  <c r="I276" i="2"/>
  <c r="J276" i="2"/>
  <c r="K276" i="2"/>
  <c r="L276" i="2"/>
  <c r="M276" i="2"/>
  <c r="H277" i="2"/>
  <c r="I277" i="2"/>
  <c r="J277" i="2"/>
  <c r="K277" i="2"/>
  <c r="L277" i="2"/>
  <c r="M277" i="2"/>
  <c r="H278" i="2"/>
  <c r="I278" i="2"/>
  <c r="J278" i="2"/>
  <c r="K278" i="2"/>
  <c r="L278" i="2"/>
  <c r="M278" i="2"/>
  <c r="H279" i="2"/>
  <c r="I279" i="2"/>
  <c r="J279" i="2"/>
  <c r="K279" i="2"/>
  <c r="L279" i="2"/>
  <c r="M279" i="2"/>
  <c r="H280" i="2"/>
  <c r="I280" i="2"/>
  <c r="J280" i="2"/>
  <c r="K280" i="2"/>
  <c r="L280" i="2"/>
  <c r="M280" i="2"/>
  <c r="H281" i="2"/>
  <c r="I281" i="2"/>
  <c r="J281" i="2"/>
  <c r="K281" i="2"/>
  <c r="L281" i="2"/>
  <c r="M281" i="2"/>
  <c r="H282" i="2"/>
  <c r="I282" i="2"/>
  <c r="J282" i="2"/>
  <c r="K282" i="2"/>
  <c r="L282" i="2"/>
  <c r="M282" i="2"/>
  <c r="H283" i="2"/>
  <c r="I283" i="2"/>
  <c r="J283" i="2"/>
  <c r="K283" i="2"/>
  <c r="L283" i="2"/>
  <c r="M283" i="2"/>
  <c r="H284" i="2"/>
  <c r="I284" i="2"/>
  <c r="J284" i="2"/>
  <c r="K284" i="2"/>
  <c r="L284" i="2"/>
  <c r="M284" i="2"/>
  <c r="H285" i="2"/>
  <c r="I285" i="2"/>
  <c r="J285" i="2"/>
  <c r="K285" i="2"/>
  <c r="L285" i="2"/>
  <c r="M285" i="2"/>
  <c r="H286" i="2"/>
  <c r="I286" i="2"/>
  <c r="J286" i="2"/>
  <c r="K286" i="2"/>
  <c r="L286" i="2"/>
  <c r="M286" i="2"/>
  <c r="H287" i="2"/>
  <c r="I287" i="2"/>
  <c r="J287" i="2"/>
  <c r="K287" i="2"/>
  <c r="L287" i="2"/>
  <c r="M287" i="2"/>
  <c r="H288" i="2"/>
  <c r="I288" i="2"/>
  <c r="J288" i="2"/>
  <c r="K288" i="2"/>
  <c r="L288" i="2"/>
  <c r="M288" i="2"/>
  <c r="H289" i="2"/>
  <c r="I289" i="2"/>
  <c r="J289" i="2"/>
  <c r="K289" i="2"/>
  <c r="L289" i="2"/>
  <c r="M289" i="2"/>
  <c r="H290" i="2"/>
  <c r="I290" i="2"/>
  <c r="J290" i="2"/>
  <c r="K290" i="2"/>
  <c r="L290" i="2"/>
  <c r="M290" i="2"/>
  <c r="H291" i="2"/>
  <c r="I291" i="2"/>
  <c r="J291" i="2"/>
  <c r="K291" i="2"/>
  <c r="L291" i="2"/>
  <c r="M291" i="2"/>
  <c r="H292" i="2"/>
  <c r="I292" i="2"/>
  <c r="J292" i="2"/>
  <c r="K292" i="2"/>
  <c r="L292" i="2"/>
  <c r="M292" i="2"/>
  <c r="H293" i="2"/>
  <c r="I293" i="2"/>
  <c r="J293" i="2"/>
  <c r="K293" i="2"/>
  <c r="L293" i="2"/>
  <c r="M293" i="2"/>
  <c r="H294" i="2"/>
  <c r="I294" i="2"/>
  <c r="J294" i="2"/>
  <c r="K294" i="2"/>
  <c r="L294" i="2"/>
  <c r="M294" i="2"/>
  <c r="H295" i="2"/>
  <c r="I295" i="2"/>
  <c r="J295" i="2"/>
  <c r="K295" i="2"/>
  <c r="L295" i="2"/>
  <c r="M295" i="2"/>
  <c r="H296" i="2"/>
  <c r="I296" i="2"/>
  <c r="J296" i="2"/>
  <c r="K296" i="2"/>
  <c r="L296" i="2"/>
  <c r="M296" i="2"/>
  <c r="H297" i="2"/>
  <c r="I297" i="2"/>
  <c r="J297" i="2"/>
  <c r="K297" i="2"/>
  <c r="L297" i="2"/>
  <c r="M297" i="2"/>
  <c r="H298" i="2"/>
  <c r="I298" i="2"/>
  <c r="J298" i="2"/>
  <c r="K298" i="2"/>
  <c r="L298" i="2"/>
  <c r="M298" i="2"/>
  <c r="H299" i="2"/>
  <c r="I299" i="2"/>
  <c r="J299" i="2"/>
  <c r="K299" i="2"/>
  <c r="L299" i="2"/>
  <c r="M299" i="2"/>
  <c r="H300" i="2"/>
  <c r="I300" i="2"/>
  <c r="J300" i="2"/>
  <c r="K300" i="2"/>
  <c r="L300" i="2"/>
  <c r="M300" i="2"/>
  <c r="H301" i="2"/>
  <c r="I301" i="2"/>
  <c r="J301" i="2"/>
  <c r="K301" i="2"/>
  <c r="L301" i="2"/>
  <c r="M301" i="2"/>
  <c r="H302" i="2"/>
  <c r="I302" i="2"/>
  <c r="J302" i="2"/>
  <c r="K302" i="2"/>
  <c r="L302" i="2"/>
  <c r="M302" i="2"/>
  <c r="H303" i="2"/>
  <c r="I303" i="2"/>
  <c r="J303" i="2"/>
  <c r="K303" i="2"/>
  <c r="L303" i="2"/>
  <c r="M303" i="2"/>
  <c r="H304" i="2"/>
  <c r="I304" i="2"/>
  <c r="J304" i="2"/>
  <c r="K304" i="2"/>
  <c r="L304" i="2"/>
  <c r="M304" i="2"/>
  <c r="H305" i="2"/>
  <c r="I305" i="2"/>
  <c r="J305" i="2"/>
  <c r="K305" i="2"/>
  <c r="L305" i="2"/>
  <c r="M305" i="2"/>
  <c r="H306" i="2"/>
  <c r="I306" i="2"/>
  <c r="J306" i="2"/>
  <c r="K306" i="2"/>
  <c r="L306" i="2"/>
  <c r="M306" i="2"/>
  <c r="H307" i="2"/>
  <c r="I307" i="2"/>
  <c r="J307" i="2"/>
  <c r="K307" i="2"/>
  <c r="L307" i="2"/>
  <c r="M307" i="2"/>
  <c r="H308" i="2"/>
  <c r="I308" i="2"/>
  <c r="J308" i="2"/>
  <c r="K308" i="2"/>
  <c r="L308" i="2"/>
  <c r="M308" i="2"/>
  <c r="H309" i="2"/>
  <c r="I309" i="2"/>
  <c r="J309" i="2"/>
  <c r="K309" i="2"/>
  <c r="L309" i="2"/>
  <c r="M309" i="2"/>
  <c r="H310" i="2"/>
  <c r="I310" i="2"/>
  <c r="J310" i="2"/>
  <c r="K310" i="2"/>
  <c r="L310" i="2"/>
  <c r="M310" i="2"/>
  <c r="H311" i="2"/>
  <c r="I311" i="2"/>
  <c r="J311" i="2"/>
  <c r="K311" i="2"/>
  <c r="L311" i="2"/>
  <c r="M311" i="2"/>
  <c r="H312" i="2"/>
  <c r="I312" i="2"/>
  <c r="J312" i="2"/>
  <c r="K312" i="2"/>
  <c r="L312" i="2"/>
  <c r="M312" i="2"/>
  <c r="H313" i="2"/>
  <c r="I313" i="2"/>
  <c r="J313" i="2"/>
  <c r="K313" i="2"/>
  <c r="L313" i="2"/>
  <c r="M313" i="2"/>
  <c r="H314" i="2"/>
  <c r="I314" i="2"/>
  <c r="J314" i="2"/>
  <c r="K314" i="2"/>
  <c r="L314" i="2"/>
  <c r="M314" i="2"/>
  <c r="H315" i="2"/>
  <c r="I315" i="2"/>
  <c r="J315" i="2"/>
  <c r="K315" i="2"/>
  <c r="L315" i="2"/>
  <c r="M315" i="2"/>
  <c r="H316" i="2"/>
  <c r="I316" i="2"/>
  <c r="J316" i="2"/>
  <c r="K316" i="2"/>
  <c r="L316" i="2"/>
  <c r="M316" i="2"/>
  <c r="H317" i="2"/>
  <c r="I317" i="2"/>
  <c r="J317" i="2"/>
  <c r="K317" i="2"/>
  <c r="L317" i="2"/>
  <c r="M317" i="2"/>
  <c r="H318" i="2"/>
  <c r="I318" i="2"/>
  <c r="J318" i="2"/>
  <c r="K318" i="2"/>
  <c r="L318" i="2"/>
  <c r="M318" i="2"/>
  <c r="H319" i="2"/>
  <c r="I319" i="2"/>
  <c r="J319" i="2"/>
  <c r="K319" i="2"/>
  <c r="L319" i="2"/>
  <c r="M319" i="2"/>
  <c r="H320" i="2"/>
  <c r="I320" i="2"/>
  <c r="J320" i="2"/>
  <c r="K320" i="2"/>
  <c r="L320" i="2"/>
  <c r="M320" i="2"/>
  <c r="H321" i="2"/>
  <c r="I321" i="2"/>
  <c r="J321" i="2"/>
  <c r="K321" i="2"/>
  <c r="L321" i="2"/>
  <c r="M321" i="2"/>
  <c r="H322" i="2"/>
  <c r="I322" i="2"/>
  <c r="J322" i="2"/>
  <c r="K322" i="2"/>
  <c r="L322" i="2"/>
  <c r="M322" i="2"/>
  <c r="H323" i="2"/>
  <c r="I323" i="2"/>
  <c r="J323" i="2"/>
  <c r="K323" i="2"/>
  <c r="L323" i="2"/>
  <c r="M323" i="2"/>
  <c r="H324" i="2"/>
  <c r="I324" i="2"/>
  <c r="J324" i="2"/>
  <c r="K324" i="2"/>
  <c r="L324" i="2"/>
  <c r="M324" i="2"/>
  <c r="H325" i="2"/>
  <c r="I325" i="2"/>
  <c r="J325" i="2"/>
  <c r="K325" i="2"/>
  <c r="L325" i="2"/>
  <c r="M325" i="2"/>
  <c r="H326" i="2"/>
  <c r="I326" i="2"/>
  <c r="J326" i="2"/>
  <c r="K326" i="2"/>
  <c r="L326" i="2"/>
  <c r="M326" i="2"/>
  <c r="H327" i="2"/>
  <c r="I327" i="2"/>
  <c r="J327" i="2"/>
  <c r="K327" i="2"/>
  <c r="L327" i="2"/>
  <c r="M327" i="2"/>
  <c r="H328" i="2"/>
  <c r="I328" i="2"/>
  <c r="J328" i="2"/>
  <c r="K328" i="2"/>
  <c r="L328" i="2"/>
  <c r="M328" i="2"/>
  <c r="H329" i="2"/>
  <c r="I329" i="2"/>
  <c r="J329" i="2"/>
  <c r="K329" i="2"/>
  <c r="L329" i="2"/>
  <c r="M329" i="2"/>
  <c r="H330" i="2"/>
  <c r="I330" i="2"/>
  <c r="J330" i="2"/>
  <c r="K330" i="2"/>
  <c r="L330" i="2"/>
  <c r="M330" i="2"/>
  <c r="H331" i="2"/>
  <c r="I331" i="2"/>
  <c r="J331" i="2"/>
  <c r="K331" i="2"/>
  <c r="L331" i="2"/>
  <c r="M331" i="2"/>
  <c r="H332" i="2"/>
  <c r="I332" i="2"/>
  <c r="J332" i="2"/>
  <c r="K332" i="2"/>
  <c r="L332" i="2"/>
  <c r="M332" i="2"/>
  <c r="H333" i="2"/>
  <c r="I333" i="2"/>
  <c r="J333" i="2"/>
  <c r="K333" i="2"/>
  <c r="L333" i="2"/>
  <c r="M333" i="2"/>
  <c r="H334" i="2"/>
  <c r="I334" i="2"/>
  <c r="J334" i="2"/>
  <c r="K334" i="2"/>
  <c r="L334" i="2"/>
  <c r="M334" i="2"/>
  <c r="H335" i="2"/>
  <c r="I335" i="2"/>
  <c r="J335" i="2"/>
  <c r="K335" i="2"/>
  <c r="L335" i="2"/>
  <c r="M335" i="2"/>
  <c r="H336" i="2"/>
  <c r="I336" i="2"/>
  <c r="J336" i="2"/>
  <c r="K336" i="2"/>
  <c r="L336" i="2"/>
  <c r="M336" i="2"/>
  <c r="H337" i="2"/>
  <c r="I337" i="2"/>
  <c r="J337" i="2"/>
  <c r="K337" i="2"/>
  <c r="L337" i="2"/>
  <c r="M337" i="2"/>
  <c r="H338" i="2"/>
  <c r="I338" i="2"/>
  <c r="J338" i="2"/>
  <c r="K338" i="2"/>
  <c r="L338" i="2"/>
  <c r="M338" i="2"/>
  <c r="H339" i="2"/>
  <c r="I339" i="2"/>
  <c r="J339" i="2"/>
  <c r="K339" i="2"/>
  <c r="L339" i="2"/>
  <c r="M339" i="2"/>
  <c r="H340" i="2"/>
  <c r="I340" i="2"/>
  <c r="J340" i="2"/>
  <c r="K340" i="2"/>
  <c r="L340" i="2"/>
  <c r="M340" i="2"/>
  <c r="H341" i="2"/>
  <c r="I341" i="2"/>
  <c r="J341" i="2"/>
  <c r="K341" i="2"/>
  <c r="L341" i="2"/>
  <c r="M341" i="2"/>
  <c r="H342" i="2"/>
  <c r="I342" i="2"/>
  <c r="J342" i="2"/>
  <c r="K342" i="2"/>
  <c r="L342" i="2"/>
  <c r="M342" i="2"/>
  <c r="H343" i="2"/>
  <c r="I343" i="2"/>
  <c r="J343" i="2"/>
  <c r="K343" i="2"/>
  <c r="L343" i="2"/>
  <c r="M343" i="2"/>
  <c r="H344" i="2"/>
  <c r="I344" i="2"/>
  <c r="J344" i="2"/>
  <c r="K344" i="2"/>
  <c r="L344" i="2"/>
  <c r="M344" i="2"/>
  <c r="H345" i="2"/>
  <c r="I345" i="2"/>
  <c r="J345" i="2"/>
  <c r="K345" i="2"/>
  <c r="L345" i="2"/>
  <c r="M345" i="2"/>
  <c r="H346" i="2"/>
  <c r="I346" i="2"/>
  <c r="J346" i="2"/>
  <c r="K346" i="2"/>
  <c r="L346" i="2"/>
  <c r="M346" i="2"/>
  <c r="H347" i="2"/>
  <c r="I347" i="2"/>
  <c r="J347" i="2"/>
  <c r="K347" i="2"/>
  <c r="L347" i="2"/>
  <c r="M347" i="2"/>
  <c r="H348" i="2"/>
  <c r="I348" i="2"/>
  <c r="J348" i="2"/>
  <c r="K348" i="2"/>
  <c r="L348" i="2"/>
  <c r="M348" i="2"/>
  <c r="H349" i="2"/>
  <c r="I349" i="2"/>
  <c r="J349" i="2"/>
  <c r="K349" i="2"/>
  <c r="L349" i="2"/>
  <c r="M349" i="2"/>
  <c r="H350" i="2"/>
  <c r="I350" i="2"/>
  <c r="J350" i="2"/>
  <c r="K350" i="2"/>
  <c r="L350" i="2"/>
  <c r="M350" i="2"/>
  <c r="H351" i="2"/>
  <c r="I351" i="2"/>
  <c r="J351" i="2"/>
  <c r="K351" i="2"/>
  <c r="L351" i="2"/>
  <c r="M351" i="2"/>
  <c r="H352" i="2"/>
  <c r="I352" i="2"/>
  <c r="J352" i="2"/>
  <c r="K352" i="2"/>
  <c r="L352" i="2"/>
  <c r="M352" i="2"/>
  <c r="H353" i="2"/>
  <c r="I353" i="2"/>
  <c r="J353" i="2"/>
  <c r="K353" i="2"/>
  <c r="L353" i="2"/>
  <c r="M353" i="2"/>
  <c r="H354" i="2"/>
  <c r="I354" i="2"/>
  <c r="J354" i="2"/>
  <c r="K354" i="2"/>
  <c r="L354" i="2"/>
  <c r="M354" i="2"/>
  <c r="H355" i="2"/>
  <c r="I355" i="2"/>
  <c r="J355" i="2"/>
  <c r="K355" i="2"/>
  <c r="L355" i="2"/>
  <c r="M355" i="2"/>
  <c r="H356" i="2"/>
  <c r="I356" i="2"/>
  <c r="J356" i="2"/>
  <c r="K356" i="2"/>
  <c r="L356" i="2"/>
  <c r="M356" i="2"/>
  <c r="H357" i="2"/>
  <c r="I357" i="2"/>
  <c r="J357" i="2"/>
  <c r="K357" i="2"/>
  <c r="L357" i="2"/>
  <c r="M357" i="2"/>
  <c r="H358" i="2"/>
  <c r="I358" i="2"/>
  <c r="J358" i="2"/>
  <c r="K358" i="2"/>
  <c r="L358" i="2"/>
  <c r="M358" i="2"/>
  <c r="H359" i="2"/>
  <c r="I359" i="2"/>
  <c r="J359" i="2"/>
  <c r="K359" i="2"/>
  <c r="L359" i="2"/>
  <c r="M359" i="2"/>
  <c r="H360" i="2"/>
  <c r="I360" i="2"/>
  <c r="J360" i="2"/>
  <c r="K360" i="2"/>
  <c r="L360" i="2"/>
  <c r="M360" i="2"/>
  <c r="H361" i="2"/>
  <c r="I361" i="2"/>
  <c r="J361" i="2"/>
  <c r="K361" i="2"/>
  <c r="L361" i="2"/>
  <c r="M361" i="2"/>
  <c r="H362" i="2"/>
  <c r="I362" i="2"/>
  <c r="J362" i="2"/>
  <c r="K362" i="2"/>
  <c r="L362" i="2"/>
  <c r="M362" i="2"/>
  <c r="H363" i="2"/>
  <c r="I363" i="2"/>
  <c r="J363" i="2"/>
  <c r="K363" i="2"/>
  <c r="L363" i="2"/>
  <c r="M363" i="2"/>
  <c r="H364" i="2"/>
  <c r="I364" i="2"/>
  <c r="J364" i="2"/>
  <c r="K364" i="2"/>
  <c r="L364" i="2"/>
  <c r="M364" i="2"/>
  <c r="H365" i="2"/>
  <c r="I365" i="2"/>
  <c r="J365" i="2"/>
  <c r="K365" i="2"/>
  <c r="L365" i="2"/>
  <c r="M365" i="2"/>
  <c r="H366" i="2"/>
  <c r="I366" i="2"/>
  <c r="J366" i="2"/>
  <c r="K366" i="2"/>
  <c r="L366" i="2"/>
  <c r="M366" i="2"/>
  <c r="H367" i="2"/>
  <c r="I367" i="2"/>
  <c r="J367" i="2"/>
  <c r="K367" i="2"/>
  <c r="L367" i="2"/>
  <c r="M367" i="2"/>
  <c r="H368" i="2"/>
  <c r="I368" i="2"/>
  <c r="J368" i="2"/>
  <c r="K368" i="2"/>
  <c r="L368" i="2"/>
  <c r="M368" i="2"/>
  <c r="H369" i="2"/>
  <c r="I369" i="2"/>
  <c r="J369" i="2"/>
  <c r="K369" i="2"/>
  <c r="L369" i="2"/>
  <c r="M369" i="2"/>
  <c r="H370" i="2"/>
  <c r="I370" i="2"/>
  <c r="J370" i="2"/>
  <c r="K370" i="2"/>
  <c r="L370" i="2"/>
  <c r="M370" i="2"/>
  <c r="H371" i="2"/>
  <c r="I371" i="2"/>
  <c r="J371" i="2"/>
  <c r="K371" i="2"/>
  <c r="L371" i="2"/>
  <c r="M371" i="2"/>
  <c r="H372" i="2"/>
  <c r="I372" i="2"/>
  <c r="J372" i="2"/>
  <c r="K372" i="2"/>
  <c r="L372" i="2"/>
  <c r="M372" i="2"/>
  <c r="H373" i="2"/>
  <c r="I373" i="2"/>
  <c r="J373" i="2"/>
  <c r="K373" i="2"/>
  <c r="L373" i="2"/>
  <c r="M373" i="2"/>
  <c r="H374" i="2"/>
  <c r="I374" i="2"/>
  <c r="J374" i="2"/>
  <c r="K374" i="2"/>
  <c r="L374" i="2"/>
  <c r="M374" i="2"/>
  <c r="H375" i="2"/>
  <c r="I375" i="2"/>
  <c r="J375" i="2"/>
  <c r="K375" i="2"/>
  <c r="L375" i="2"/>
  <c r="M375" i="2"/>
  <c r="H376" i="2"/>
  <c r="I376" i="2"/>
  <c r="J376" i="2"/>
  <c r="K376" i="2"/>
  <c r="L376" i="2"/>
  <c r="M376" i="2"/>
  <c r="H377" i="2"/>
  <c r="I377" i="2"/>
  <c r="J377" i="2"/>
  <c r="K377" i="2"/>
  <c r="L377" i="2"/>
  <c r="M377" i="2"/>
  <c r="H378" i="2"/>
  <c r="I378" i="2"/>
  <c r="J378" i="2"/>
  <c r="K378" i="2"/>
  <c r="L378" i="2"/>
  <c r="M378" i="2"/>
  <c r="H379" i="2"/>
  <c r="I379" i="2"/>
  <c r="J379" i="2"/>
  <c r="K379" i="2"/>
  <c r="L379" i="2"/>
  <c r="M379" i="2"/>
  <c r="H380" i="2"/>
  <c r="I380" i="2"/>
  <c r="J380" i="2"/>
  <c r="K380" i="2"/>
  <c r="L380" i="2"/>
  <c r="M380" i="2"/>
  <c r="H381" i="2"/>
  <c r="I381" i="2"/>
  <c r="J381" i="2"/>
  <c r="K381" i="2"/>
  <c r="L381" i="2"/>
  <c r="M381" i="2"/>
  <c r="H382" i="2"/>
  <c r="I382" i="2"/>
  <c r="J382" i="2"/>
  <c r="K382" i="2"/>
  <c r="L382" i="2"/>
  <c r="M382" i="2"/>
  <c r="H383" i="2"/>
  <c r="I383" i="2"/>
  <c r="J383" i="2"/>
  <c r="K383" i="2"/>
  <c r="L383" i="2"/>
  <c r="M383" i="2"/>
  <c r="H384" i="2"/>
  <c r="I384" i="2"/>
  <c r="J384" i="2"/>
  <c r="K384" i="2"/>
  <c r="L384" i="2"/>
  <c r="M384" i="2"/>
  <c r="H385" i="2"/>
  <c r="I385" i="2"/>
  <c r="J385" i="2"/>
  <c r="K385" i="2"/>
  <c r="L385" i="2"/>
  <c r="M385" i="2"/>
  <c r="H386" i="2"/>
  <c r="I386" i="2"/>
  <c r="J386" i="2"/>
  <c r="K386" i="2"/>
  <c r="L386" i="2"/>
  <c r="M386" i="2"/>
  <c r="H387" i="2"/>
  <c r="I387" i="2"/>
  <c r="J387" i="2"/>
  <c r="K387" i="2"/>
  <c r="L387" i="2"/>
  <c r="M387" i="2"/>
  <c r="H388" i="2"/>
  <c r="I388" i="2"/>
  <c r="J388" i="2"/>
  <c r="K388" i="2"/>
  <c r="L388" i="2"/>
  <c r="M388" i="2"/>
  <c r="H389" i="2"/>
  <c r="I389" i="2"/>
  <c r="J389" i="2"/>
  <c r="K389" i="2"/>
  <c r="L389" i="2"/>
  <c r="M389" i="2"/>
  <c r="H390" i="2"/>
  <c r="I390" i="2"/>
  <c r="J390" i="2"/>
  <c r="K390" i="2"/>
  <c r="L390" i="2"/>
  <c r="M390" i="2"/>
  <c r="H391" i="2"/>
  <c r="I391" i="2"/>
  <c r="J391" i="2"/>
  <c r="K391" i="2"/>
  <c r="L391" i="2"/>
  <c r="M391" i="2"/>
  <c r="H392" i="2"/>
  <c r="I392" i="2"/>
  <c r="J392" i="2"/>
  <c r="K392" i="2"/>
  <c r="L392" i="2"/>
  <c r="M392" i="2"/>
  <c r="H393" i="2"/>
  <c r="I393" i="2"/>
  <c r="J393" i="2"/>
  <c r="K393" i="2"/>
  <c r="L393" i="2"/>
  <c r="M393" i="2"/>
  <c r="H394" i="2"/>
  <c r="I394" i="2"/>
  <c r="J394" i="2"/>
  <c r="K394" i="2"/>
  <c r="L394" i="2"/>
  <c r="M394" i="2"/>
  <c r="H395" i="2"/>
  <c r="I395" i="2"/>
  <c r="J395" i="2"/>
  <c r="K395" i="2"/>
  <c r="L395" i="2"/>
  <c r="M395" i="2"/>
  <c r="S2" i="2"/>
  <c r="I2" i="1" s="1"/>
  <c r="T2" i="2"/>
  <c r="U2" i="2"/>
  <c r="V2" i="2"/>
  <c r="W2" i="2"/>
  <c r="Y2" i="2"/>
  <c r="Z2" i="2"/>
  <c r="AA2" i="2"/>
  <c r="S3" i="2"/>
  <c r="I3" i="1" s="1"/>
  <c r="T3" i="2"/>
  <c r="U3" i="2"/>
  <c r="V3" i="2"/>
  <c r="W3" i="2"/>
  <c r="Y3" i="2"/>
  <c r="Z3" i="2"/>
  <c r="AA3" i="2"/>
  <c r="S4" i="2"/>
  <c r="I4" i="1" s="1"/>
  <c r="T4" i="2"/>
  <c r="U4" i="2"/>
  <c r="V4" i="2"/>
  <c r="W4" i="2"/>
  <c r="Y4" i="2"/>
  <c r="Z4" i="2"/>
  <c r="AA4" i="2"/>
  <c r="S5" i="2"/>
  <c r="I5" i="1" s="1"/>
  <c r="T5" i="2"/>
  <c r="U5" i="2"/>
  <c r="V5" i="2"/>
  <c r="W5" i="2"/>
  <c r="Y5" i="2"/>
  <c r="Z5" i="2"/>
  <c r="AA5" i="2"/>
  <c r="S6" i="2"/>
  <c r="I6" i="1" s="1"/>
  <c r="T6" i="2"/>
  <c r="U6" i="2"/>
  <c r="V6" i="2"/>
  <c r="W6" i="2"/>
  <c r="Y6" i="2"/>
  <c r="Z6" i="2"/>
  <c r="AA6" i="2"/>
  <c r="S7" i="2"/>
  <c r="I7" i="1" s="1"/>
  <c r="T7" i="2"/>
  <c r="U7" i="2"/>
  <c r="V7" i="2"/>
  <c r="W7" i="2"/>
  <c r="Y7" i="2"/>
  <c r="Z7" i="2"/>
  <c r="AA7" i="2"/>
  <c r="S8" i="2"/>
  <c r="I8" i="1" s="1"/>
  <c r="T8" i="2"/>
  <c r="U8" i="2"/>
  <c r="V8" i="2"/>
  <c r="W8" i="2"/>
  <c r="Y8" i="2"/>
  <c r="Z8" i="2"/>
  <c r="AA8" i="2"/>
  <c r="S9" i="2"/>
  <c r="I9" i="1" s="1"/>
  <c r="T9" i="2"/>
  <c r="U9" i="2"/>
  <c r="V9" i="2"/>
  <c r="W9" i="2"/>
  <c r="Y9" i="2"/>
  <c r="Z9" i="2"/>
  <c r="AA9" i="2"/>
  <c r="S10" i="2"/>
  <c r="I10" i="1" s="1"/>
  <c r="T10" i="2"/>
  <c r="U10" i="2"/>
  <c r="V10" i="2"/>
  <c r="W10" i="2"/>
  <c r="Y10" i="2"/>
  <c r="Z10" i="2"/>
  <c r="AA10" i="2"/>
  <c r="S11" i="2"/>
  <c r="I11" i="1" s="1"/>
  <c r="T11" i="2"/>
  <c r="U11" i="2"/>
  <c r="V11" i="2"/>
  <c r="W11" i="2"/>
  <c r="Y11" i="2"/>
  <c r="Z11" i="2"/>
  <c r="AA11" i="2"/>
  <c r="S12" i="2"/>
  <c r="I12" i="1" s="1"/>
  <c r="T12" i="2"/>
  <c r="U12" i="2"/>
  <c r="V12" i="2"/>
  <c r="W12" i="2"/>
  <c r="Y12" i="2"/>
  <c r="Z12" i="2"/>
  <c r="AA12" i="2"/>
  <c r="S13" i="2"/>
  <c r="I13" i="1" s="1"/>
  <c r="T13" i="2"/>
  <c r="U13" i="2"/>
  <c r="V13" i="2"/>
  <c r="W13" i="2"/>
  <c r="Y13" i="2"/>
  <c r="Z13" i="2"/>
  <c r="AA13" i="2"/>
  <c r="S14" i="2"/>
  <c r="I14" i="1" s="1"/>
  <c r="T14" i="2"/>
  <c r="U14" i="2"/>
  <c r="V14" i="2"/>
  <c r="W14" i="2"/>
  <c r="Y14" i="2"/>
  <c r="Z14" i="2"/>
  <c r="AA14" i="2"/>
  <c r="S15" i="2"/>
  <c r="I15" i="1" s="1"/>
  <c r="T15" i="2"/>
  <c r="U15" i="2"/>
  <c r="V15" i="2"/>
  <c r="W15" i="2"/>
  <c r="Y15" i="2"/>
  <c r="Z15" i="2"/>
  <c r="AA15" i="2"/>
  <c r="S16" i="2"/>
  <c r="I16" i="1" s="1"/>
  <c r="T16" i="2"/>
  <c r="U16" i="2"/>
  <c r="V16" i="2"/>
  <c r="W16" i="2"/>
  <c r="Y16" i="2"/>
  <c r="Z16" i="2"/>
  <c r="AA16" i="2"/>
  <c r="S17" i="2"/>
  <c r="I17" i="1" s="1"/>
  <c r="T17" i="2"/>
  <c r="U17" i="2"/>
  <c r="V17" i="2"/>
  <c r="W17" i="2"/>
  <c r="Y17" i="2"/>
  <c r="Z17" i="2"/>
  <c r="AA17" i="2"/>
  <c r="S18" i="2"/>
  <c r="I18" i="1" s="1"/>
  <c r="T18" i="2"/>
  <c r="U18" i="2"/>
  <c r="V18" i="2"/>
  <c r="W18" i="2"/>
  <c r="Y18" i="2"/>
  <c r="Z18" i="2"/>
  <c r="AA18" i="2"/>
  <c r="S19" i="2"/>
  <c r="I19" i="1" s="1"/>
  <c r="T19" i="2"/>
  <c r="U19" i="2"/>
  <c r="V19" i="2"/>
  <c r="W19" i="2"/>
  <c r="Y19" i="2"/>
  <c r="Z19" i="2"/>
  <c r="AA19" i="2"/>
  <c r="S20" i="2"/>
  <c r="I20" i="1" s="1"/>
  <c r="T20" i="2"/>
  <c r="U20" i="2"/>
  <c r="V20" i="2"/>
  <c r="W20" i="2"/>
  <c r="Y20" i="2"/>
  <c r="Z20" i="2"/>
  <c r="AA20" i="2"/>
  <c r="S21" i="2"/>
  <c r="I21" i="1" s="1"/>
  <c r="T21" i="2"/>
  <c r="U21" i="2"/>
  <c r="V21" i="2"/>
  <c r="W21" i="2"/>
  <c r="Y21" i="2"/>
  <c r="Z21" i="2"/>
  <c r="AA21" i="2"/>
  <c r="S22" i="2"/>
  <c r="I22" i="1" s="1"/>
  <c r="T22" i="2"/>
  <c r="U22" i="2"/>
  <c r="V22" i="2"/>
  <c r="W22" i="2"/>
  <c r="Y22" i="2"/>
  <c r="Z22" i="2"/>
  <c r="AA22" i="2"/>
  <c r="S23" i="2"/>
  <c r="I23" i="1" s="1"/>
  <c r="T23" i="2"/>
  <c r="U23" i="2"/>
  <c r="V23" i="2"/>
  <c r="W23" i="2"/>
  <c r="Y23" i="2"/>
  <c r="Z23" i="2"/>
  <c r="AA23" i="2"/>
  <c r="S24" i="2"/>
  <c r="I24" i="1" s="1"/>
  <c r="T24" i="2"/>
  <c r="U24" i="2"/>
  <c r="V24" i="2"/>
  <c r="W24" i="2"/>
  <c r="Y24" i="2"/>
  <c r="Z24" i="2"/>
  <c r="AA24" i="2"/>
  <c r="S25" i="2"/>
  <c r="T25" i="2"/>
  <c r="U25" i="2"/>
  <c r="V25" i="2"/>
  <c r="W25" i="2"/>
  <c r="Y25" i="2"/>
  <c r="Z25" i="2"/>
  <c r="AA25" i="2"/>
  <c r="S26" i="2"/>
  <c r="T26" i="2"/>
  <c r="U26" i="2"/>
  <c r="V26" i="2"/>
  <c r="W26" i="2"/>
  <c r="Y26" i="2"/>
  <c r="Z26" i="2"/>
  <c r="AA26" i="2"/>
  <c r="S27" i="2"/>
  <c r="T27" i="2"/>
  <c r="U27" i="2"/>
  <c r="V27" i="2"/>
  <c r="W27" i="2"/>
  <c r="Y27" i="2"/>
  <c r="Z27" i="2"/>
  <c r="AA27" i="2"/>
  <c r="S28" i="2"/>
  <c r="T28" i="2"/>
  <c r="U28" i="2"/>
  <c r="V28" i="2"/>
  <c r="W28" i="2"/>
  <c r="Y28" i="2"/>
  <c r="Z28" i="2"/>
  <c r="AA28" i="2"/>
  <c r="S29" i="2"/>
  <c r="T29" i="2"/>
  <c r="U29" i="2"/>
  <c r="V29" i="2"/>
  <c r="W29" i="2"/>
  <c r="Y29" i="2"/>
  <c r="Z29" i="2"/>
  <c r="AA29" i="2"/>
  <c r="S30" i="2"/>
  <c r="T30" i="2"/>
  <c r="U30" i="2"/>
  <c r="V30" i="2"/>
  <c r="W30" i="2"/>
  <c r="Y30" i="2"/>
  <c r="Z30" i="2"/>
  <c r="AA30" i="2"/>
  <c r="S31" i="2"/>
  <c r="T31" i="2"/>
  <c r="U31" i="2"/>
  <c r="X31" i="2" s="1"/>
  <c r="V31" i="2"/>
  <c r="W31" i="2"/>
  <c r="Y31" i="2"/>
  <c r="Z31" i="2"/>
  <c r="AA31" i="2"/>
  <c r="S32" i="2"/>
  <c r="T32" i="2"/>
  <c r="U32" i="2"/>
  <c r="V32" i="2"/>
  <c r="W32" i="2"/>
  <c r="X32" i="2"/>
  <c r="Y32" i="2"/>
  <c r="Z32" i="2"/>
  <c r="AA32" i="2"/>
  <c r="S33" i="2"/>
  <c r="T33" i="2"/>
  <c r="U33" i="2"/>
  <c r="X33" i="2" s="1"/>
  <c r="V33" i="2"/>
  <c r="W33" i="2"/>
  <c r="Y33" i="2"/>
  <c r="Z33" i="2"/>
  <c r="AA33" i="2"/>
  <c r="S34" i="2"/>
  <c r="T34" i="2"/>
  <c r="U34" i="2"/>
  <c r="V34" i="2"/>
  <c r="W34" i="2"/>
  <c r="X34" i="2"/>
  <c r="Y34" i="2"/>
  <c r="Z34" i="2"/>
  <c r="AA34" i="2"/>
  <c r="S35" i="2"/>
  <c r="T35" i="2"/>
  <c r="U35" i="2"/>
  <c r="X35" i="2" s="1"/>
  <c r="V35" i="2"/>
  <c r="W35" i="2"/>
  <c r="Y35" i="2"/>
  <c r="Z35" i="2"/>
  <c r="AA35" i="2"/>
  <c r="S36" i="2"/>
  <c r="T36" i="2"/>
  <c r="U36" i="2"/>
  <c r="V36" i="2"/>
  <c r="W36" i="2"/>
  <c r="X36" i="2"/>
  <c r="Y36" i="2"/>
  <c r="Z36" i="2"/>
  <c r="AA36" i="2"/>
  <c r="S37" i="2"/>
  <c r="T37" i="2"/>
  <c r="U37" i="2"/>
  <c r="X37" i="2" s="1"/>
  <c r="V37" i="2"/>
  <c r="W37" i="2"/>
  <c r="Y37" i="2"/>
  <c r="Z37" i="2"/>
  <c r="AA37" i="2"/>
  <c r="S38" i="2"/>
  <c r="T38" i="2"/>
  <c r="U38" i="2"/>
  <c r="V38" i="2"/>
  <c r="W38" i="2"/>
  <c r="X38" i="2"/>
  <c r="Y38" i="2"/>
  <c r="Z38" i="2"/>
  <c r="AA38" i="2"/>
  <c r="S39" i="2"/>
  <c r="T39" i="2"/>
  <c r="U39" i="2"/>
  <c r="X39" i="2" s="1"/>
  <c r="V39" i="2"/>
  <c r="W39" i="2"/>
  <c r="Y39" i="2"/>
  <c r="Z39" i="2"/>
  <c r="AA39" i="2"/>
  <c r="S40" i="2"/>
  <c r="T40" i="2"/>
  <c r="U40" i="2"/>
  <c r="V40" i="2"/>
  <c r="W40" i="2"/>
  <c r="X40" i="2"/>
  <c r="Y40" i="2"/>
  <c r="Z40" i="2"/>
  <c r="AA40" i="2"/>
  <c r="S41" i="2"/>
  <c r="T41" i="2"/>
  <c r="U41" i="2"/>
  <c r="X41" i="2" s="1"/>
  <c r="V41" i="2"/>
  <c r="W41" i="2"/>
  <c r="Y41" i="2"/>
  <c r="Z41" i="2"/>
  <c r="AA41" i="2"/>
  <c r="S42" i="2"/>
  <c r="T42" i="2"/>
  <c r="U42" i="2"/>
  <c r="V42" i="2"/>
  <c r="W42" i="2"/>
  <c r="X42" i="2"/>
  <c r="Y42" i="2"/>
  <c r="Z42" i="2"/>
  <c r="AA42" i="2"/>
  <c r="S43" i="2"/>
  <c r="T43" i="2"/>
  <c r="U43" i="2"/>
  <c r="X43" i="2" s="1"/>
  <c r="V43" i="2"/>
  <c r="W43" i="2"/>
  <c r="Y43" i="2"/>
  <c r="Z43" i="2"/>
  <c r="AA43" i="2"/>
  <c r="S44" i="2"/>
  <c r="T44" i="2"/>
  <c r="U44" i="2"/>
  <c r="V44" i="2"/>
  <c r="W44" i="2"/>
  <c r="X44" i="2"/>
  <c r="Y44" i="2"/>
  <c r="Z44" i="2"/>
  <c r="AA44" i="2"/>
  <c r="S45" i="2"/>
  <c r="T45" i="2"/>
  <c r="U45" i="2"/>
  <c r="X45" i="2" s="1"/>
  <c r="V45" i="2"/>
  <c r="W45" i="2"/>
  <c r="Y45" i="2"/>
  <c r="Z45" i="2"/>
  <c r="AA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X26" i="2" l="1"/>
  <c r="X30" i="2"/>
  <c r="X23" i="2"/>
  <c r="X18" i="2"/>
  <c r="X29" i="2"/>
  <c r="X28" i="2"/>
  <c r="X27" i="2"/>
  <c r="X24" i="2"/>
  <c r="X21" i="2"/>
  <c r="X19" i="2"/>
  <c r="X17" i="2"/>
  <c r="X15" i="2"/>
  <c r="X13" i="2"/>
  <c r="X22" i="2"/>
  <c r="X20" i="2"/>
  <c r="X16" i="2"/>
  <c r="X14" i="2"/>
  <c r="I76" i="2"/>
  <c r="K76" i="2"/>
  <c r="I75" i="2"/>
  <c r="K75" i="2"/>
  <c r="I74" i="2"/>
  <c r="K74" i="2"/>
  <c r="I73" i="2"/>
  <c r="K73" i="2"/>
  <c r="I72" i="2"/>
  <c r="K72" i="2"/>
  <c r="I71" i="2"/>
  <c r="K71" i="2"/>
  <c r="I70" i="2"/>
  <c r="K70" i="2"/>
  <c r="I69" i="2"/>
  <c r="K69" i="2"/>
  <c r="I68" i="2"/>
  <c r="K68" i="2"/>
  <c r="L77" i="2"/>
  <c r="J77" i="2"/>
  <c r="J76" i="2"/>
  <c r="J75" i="2"/>
  <c r="J74" i="2"/>
  <c r="J73" i="2"/>
  <c r="J72" i="2"/>
  <c r="J71" i="2"/>
  <c r="J70" i="2"/>
  <c r="J69" i="2"/>
  <c r="J68" i="2"/>
  <c r="I48" i="2"/>
  <c r="K48" i="2"/>
  <c r="I47" i="2"/>
  <c r="K47" i="2"/>
  <c r="I46" i="2"/>
  <c r="K46" i="2"/>
  <c r="I45" i="2"/>
  <c r="K45" i="2"/>
  <c r="I44" i="2"/>
  <c r="K44" i="2"/>
  <c r="I43" i="2"/>
  <c r="K43" i="2"/>
  <c r="I42" i="2"/>
  <c r="K42" i="2"/>
  <c r="I41" i="2"/>
  <c r="K41" i="2"/>
  <c r="I40" i="2"/>
  <c r="K40" i="2"/>
  <c r="I39" i="2"/>
  <c r="K39" i="2"/>
  <c r="I38" i="2"/>
  <c r="K38" i="2"/>
  <c r="I37" i="2"/>
  <c r="K37" i="2"/>
  <c r="I36" i="2"/>
  <c r="K36" i="2"/>
  <c r="I35" i="2"/>
  <c r="K35" i="2"/>
  <c r="I34" i="2"/>
  <c r="K34" i="2"/>
  <c r="I33" i="2"/>
  <c r="K33" i="2"/>
  <c r="I32" i="2"/>
  <c r="K32" i="2"/>
  <c r="I31" i="2"/>
  <c r="K31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X12" i="2"/>
  <c r="X11" i="2"/>
  <c r="X25" i="2"/>
  <c r="X10" i="2"/>
  <c r="X9" i="2"/>
  <c r="X8" i="2"/>
  <c r="X7" i="2"/>
  <c r="X6" i="2"/>
  <c r="X5" i="2"/>
  <c r="X4" i="2"/>
  <c r="X3" i="2"/>
  <c r="X2" i="2"/>
  <c r="AB3" i="2"/>
  <c r="P3" i="2" s="1"/>
  <c r="AC3" i="2"/>
  <c r="AD3" i="2"/>
  <c r="AE3" i="2"/>
  <c r="AF3" i="2"/>
  <c r="AG3" i="2"/>
  <c r="AB4" i="2"/>
  <c r="P4" i="2" s="1"/>
  <c r="AC4" i="2"/>
  <c r="AD4" i="2"/>
  <c r="AE4" i="2"/>
  <c r="AF4" i="2"/>
  <c r="AG4" i="2"/>
  <c r="AB5" i="2"/>
  <c r="P5" i="2" s="1"/>
  <c r="AC5" i="2"/>
  <c r="AD5" i="2"/>
  <c r="AE5" i="2"/>
  <c r="AF5" i="2"/>
  <c r="AG5" i="2"/>
  <c r="AB6" i="2"/>
  <c r="P6" i="2" s="1"/>
  <c r="AC6" i="2"/>
  <c r="AD6" i="2"/>
  <c r="AE6" i="2"/>
  <c r="AF6" i="2"/>
  <c r="AG6" i="2"/>
  <c r="AB7" i="2"/>
  <c r="P7" i="2" s="1"/>
  <c r="AC7" i="2"/>
  <c r="AD7" i="2"/>
  <c r="AE7" i="2"/>
  <c r="AF7" i="2"/>
  <c r="AG7" i="2"/>
  <c r="AB8" i="2"/>
  <c r="AC8" i="2"/>
  <c r="AD8" i="2"/>
  <c r="AE8" i="2"/>
  <c r="AF8" i="2"/>
  <c r="AG8" i="2"/>
  <c r="AB9" i="2"/>
  <c r="AC9" i="2"/>
  <c r="AD9" i="2"/>
  <c r="AE9" i="2"/>
  <c r="AF9" i="2"/>
  <c r="AG9" i="2"/>
  <c r="AB10" i="2"/>
  <c r="AC10" i="2"/>
  <c r="AD10" i="2"/>
  <c r="AE10" i="2"/>
  <c r="AF10" i="2"/>
  <c r="AG10" i="2"/>
  <c r="AB11" i="2"/>
  <c r="AC11" i="2"/>
  <c r="AD11" i="2"/>
  <c r="AE11" i="2"/>
  <c r="AF11" i="2"/>
  <c r="AG11" i="2"/>
  <c r="AB12" i="2"/>
  <c r="AC12" i="2"/>
  <c r="AD12" i="2"/>
  <c r="AE12" i="2"/>
  <c r="AF12" i="2"/>
  <c r="AG12" i="2"/>
  <c r="AB13" i="2"/>
  <c r="AC13" i="2"/>
  <c r="AD13" i="2"/>
  <c r="AE13" i="2"/>
  <c r="AF13" i="2"/>
  <c r="AG13" i="2"/>
  <c r="AB14" i="2"/>
  <c r="AC14" i="2"/>
  <c r="AD14" i="2"/>
  <c r="AE14" i="2"/>
  <c r="AF14" i="2"/>
  <c r="AG14" i="2"/>
  <c r="AB15" i="2"/>
  <c r="AC15" i="2"/>
  <c r="AD15" i="2"/>
  <c r="AE15" i="2"/>
  <c r="AF15" i="2"/>
  <c r="AG15" i="2"/>
  <c r="AB16" i="2"/>
  <c r="AC16" i="2"/>
  <c r="AD16" i="2"/>
  <c r="AE16" i="2"/>
  <c r="AF16" i="2"/>
  <c r="AG16" i="2"/>
  <c r="AB17" i="2"/>
  <c r="AC17" i="2"/>
  <c r="AD17" i="2"/>
  <c r="AE17" i="2"/>
  <c r="AF17" i="2"/>
  <c r="AG17" i="2"/>
  <c r="AB18" i="2"/>
  <c r="AC18" i="2"/>
  <c r="AD18" i="2"/>
  <c r="AE18" i="2"/>
  <c r="AF18" i="2"/>
  <c r="AG18" i="2"/>
  <c r="AB19" i="2"/>
  <c r="AC19" i="2"/>
  <c r="AD19" i="2"/>
  <c r="AE19" i="2"/>
  <c r="AF19" i="2"/>
  <c r="AG19" i="2"/>
  <c r="AB20" i="2"/>
  <c r="AC20" i="2"/>
  <c r="AD20" i="2"/>
  <c r="AE20" i="2"/>
  <c r="AF20" i="2"/>
  <c r="AG20" i="2"/>
  <c r="AB21" i="2"/>
  <c r="AC21" i="2"/>
  <c r="AD21" i="2"/>
  <c r="AE21" i="2"/>
  <c r="AF21" i="2"/>
  <c r="AG21" i="2"/>
  <c r="AB22" i="2"/>
  <c r="AC22" i="2"/>
  <c r="AD22" i="2"/>
  <c r="AE22" i="2"/>
  <c r="AF22" i="2"/>
  <c r="AG22" i="2"/>
  <c r="AB23" i="2"/>
  <c r="AC23" i="2"/>
  <c r="AD23" i="2"/>
  <c r="AE23" i="2"/>
  <c r="AF23" i="2"/>
  <c r="AG23" i="2"/>
  <c r="AB24" i="2"/>
  <c r="AC24" i="2"/>
  <c r="AD24" i="2"/>
  <c r="AE24" i="2"/>
  <c r="AF24" i="2"/>
  <c r="AG24" i="2"/>
  <c r="AB25" i="2"/>
  <c r="AC25" i="2"/>
  <c r="AD25" i="2"/>
  <c r="AE25" i="2"/>
  <c r="AF25" i="2"/>
  <c r="AG25" i="2"/>
  <c r="AB26" i="2"/>
  <c r="AC26" i="2"/>
  <c r="AD26" i="2"/>
  <c r="AE26" i="2"/>
  <c r="AF26" i="2"/>
  <c r="AG26" i="2"/>
  <c r="AB27" i="2"/>
  <c r="AC27" i="2"/>
  <c r="AD27" i="2"/>
  <c r="AE27" i="2"/>
  <c r="AF27" i="2"/>
  <c r="AG27" i="2"/>
  <c r="AB28" i="2"/>
  <c r="AC28" i="2"/>
  <c r="AD28" i="2"/>
  <c r="AE28" i="2"/>
  <c r="AF28" i="2"/>
  <c r="AG28" i="2"/>
  <c r="AB29" i="2"/>
  <c r="AC29" i="2"/>
  <c r="AD29" i="2"/>
  <c r="AE29" i="2"/>
  <c r="AF29" i="2"/>
  <c r="AG29" i="2"/>
  <c r="AB30" i="2"/>
  <c r="AC30" i="2"/>
  <c r="AD30" i="2"/>
  <c r="AE30" i="2"/>
  <c r="AF30" i="2"/>
  <c r="AG30" i="2"/>
  <c r="AB31" i="2"/>
  <c r="AC31" i="2"/>
  <c r="AD31" i="2"/>
  <c r="AE31" i="2"/>
  <c r="AF31" i="2"/>
  <c r="AG31" i="2"/>
  <c r="AB32" i="2"/>
  <c r="AC32" i="2"/>
  <c r="AD32" i="2"/>
  <c r="AE32" i="2"/>
  <c r="AF32" i="2"/>
  <c r="AG32" i="2"/>
  <c r="AB33" i="2"/>
  <c r="AC33" i="2"/>
  <c r="AD33" i="2"/>
  <c r="AE33" i="2"/>
  <c r="AF33" i="2"/>
  <c r="AG33" i="2"/>
  <c r="AB34" i="2"/>
  <c r="AC34" i="2"/>
  <c r="AD34" i="2"/>
  <c r="AE34" i="2"/>
  <c r="AF34" i="2"/>
  <c r="AG34" i="2"/>
  <c r="AB35" i="2"/>
  <c r="AC35" i="2"/>
  <c r="AD35" i="2"/>
  <c r="AE35" i="2"/>
  <c r="AF35" i="2"/>
  <c r="AG35" i="2"/>
  <c r="AB36" i="2"/>
  <c r="AC36" i="2"/>
  <c r="AD36" i="2"/>
  <c r="AE36" i="2"/>
  <c r="AF36" i="2"/>
  <c r="AG36" i="2"/>
  <c r="AB37" i="2"/>
  <c r="AC37" i="2"/>
  <c r="AD37" i="2"/>
  <c r="AE37" i="2"/>
  <c r="AF37" i="2"/>
  <c r="AG37" i="2"/>
  <c r="AB38" i="2"/>
  <c r="AC38" i="2"/>
  <c r="AD38" i="2"/>
  <c r="AE38" i="2"/>
  <c r="AF38" i="2"/>
  <c r="AG38" i="2"/>
  <c r="AB39" i="2"/>
  <c r="AC39" i="2"/>
  <c r="AD39" i="2"/>
  <c r="AE39" i="2"/>
  <c r="AF39" i="2"/>
  <c r="AG39" i="2"/>
  <c r="AB40" i="2"/>
  <c r="AC40" i="2"/>
  <c r="AD40" i="2"/>
  <c r="AE40" i="2"/>
  <c r="AF40" i="2"/>
  <c r="AG40" i="2"/>
  <c r="AB41" i="2"/>
  <c r="AC41" i="2"/>
  <c r="AD41" i="2"/>
  <c r="AE41" i="2"/>
  <c r="AF41" i="2"/>
  <c r="AG41" i="2"/>
  <c r="AB42" i="2"/>
  <c r="AC42" i="2"/>
  <c r="AD42" i="2"/>
  <c r="AE42" i="2"/>
  <c r="AF42" i="2"/>
  <c r="AG42" i="2"/>
  <c r="AB43" i="2"/>
  <c r="AC43" i="2"/>
  <c r="AD43" i="2"/>
  <c r="AE43" i="2"/>
  <c r="AF43" i="2"/>
  <c r="AG43" i="2"/>
  <c r="AB44" i="2"/>
  <c r="AC44" i="2"/>
  <c r="AD44" i="2"/>
  <c r="AE44" i="2"/>
  <c r="AF44" i="2"/>
  <c r="AG44" i="2"/>
  <c r="AB45" i="2"/>
  <c r="AC45" i="2"/>
  <c r="AD45" i="2"/>
  <c r="AE45" i="2"/>
  <c r="AF45" i="2"/>
  <c r="AG45" i="2"/>
  <c r="AG2" i="2"/>
  <c r="AF2" i="2"/>
  <c r="AE2" i="2"/>
  <c r="AD2" i="2"/>
  <c r="AC2" i="2"/>
  <c r="AB2" i="2"/>
  <c r="P2" i="2" s="1"/>
  <c r="P8" i="2" l="1"/>
  <c r="X400" i="5"/>
  <c r="X399" i="5"/>
  <c r="X398" i="5"/>
  <c r="X397" i="5"/>
  <c r="X396" i="5"/>
  <c r="X395" i="5"/>
  <c r="X394" i="5"/>
  <c r="X393" i="5"/>
  <c r="X392" i="5"/>
  <c r="X391" i="5"/>
  <c r="X390" i="5"/>
  <c r="X389" i="5"/>
  <c r="X388" i="5"/>
  <c r="X387" i="5"/>
  <c r="X386" i="5"/>
  <c r="X385" i="5"/>
  <c r="X384" i="5"/>
  <c r="X383" i="5"/>
  <c r="X382" i="5"/>
  <c r="X381" i="5"/>
  <c r="X380" i="5"/>
  <c r="X379" i="5"/>
  <c r="X378" i="5"/>
  <c r="X377" i="5"/>
  <c r="X376" i="5"/>
  <c r="X375" i="5"/>
  <c r="X374" i="5"/>
  <c r="X373" i="5"/>
  <c r="X372" i="5"/>
  <c r="X371" i="5"/>
  <c r="X370" i="5"/>
  <c r="X369" i="5"/>
  <c r="X368" i="5"/>
  <c r="X367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335" i="5"/>
  <c r="X334" i="5"/>
  <c r="X333" i="5"/>
  <c r="X332" i="5"/>
  <c r="X331" i="5"/>
  <c r="X330" i="5"/>
  <c r="X329" i="5"/>
  <c r="X328" i="5"/>
  <c r="X327" i="5"/>
  <c r="X326" i="5"/>
  <c r="X325" i="5"/>
  <c r="X324" i="5"/>
  <c r="X323" i="5"/>
  <c r="X322" i="5"/>
  <c r="X321" i="5"/>
  <c r="X320" i="5"/>
  <c r="X319" i="5"/>
  <c r="X318" i="5"/>
  <c r="X317" i="5"/>
  <c r="X316" i="5"/>
  <c r="X315" i="5"/>
  <c r="X314" i="5"/>
  <c r="X313" i="5"/>
  <c r="X312" i="5"/>
  <c r="X311" i="5"/>
  <c r="X310" i="5"/>
  <c r="X309" i="5"/>
  <c r="X308" i="5"/>
  <c r="X307" i="5"/>
  <c r="X306" i="5"/>
  <c r="X305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T400" i="5" l="1"/>
  <c r="U400" i="5" s="1" a="1"/>
  <c r="U400" i="5" s="1"/>
  <c r="Q400" i="5" a="1"/>
  <c r="Q400" i="5" s="1"/>
  <c r="P400" i="5"/>
  <c r="O400" i="5"/>
  <c r="L400" i="5"/>
  <c r="H400" i="5"/>
  <c r="G400" i="5"/>
  <c r="T399" i="5"/>
  <c r="U399" i="5" s="1" a="1"/>
  <c r="U399" i="5" s="1"/>
  <c r="Q399" i="5" a="1"/>
  <c r="Q399" i="5" s="1"/>
  <c r="P399" i="5"/>
  <c r="O399" i="5"/>
  <c r="L399" i="5"/>
  <c r="H399" i="5"/>
  <c r="G399" i="5"/>
  <c r="T398" i="5"/>
  <c r="U398" i="5" s="1" a="1"/>
  <c r="U398" i="5" s="1"/>
  <c r="Q398" i="5" a="1"/>
  <c r="Q398" i="5" s="1"/>
  <c r="P398" i="5"/>
  <c r="O398" i="5"/>
  <c r="L398" i="5"/>
  <c r="H398" i="5"/>
  <c r="G398" i="5"/>
  <c r="T397" i="5"/>
  <c r="U397" i="5" s="1" a="1"/>
  <c r="U397" i="5" s="1"/>
  <c r="Q397" i="5" a="1"/>
  <c r="Q397" i="5" s="1"/>
  <c r="P397" i="5"/>
  <c r="O397" i="5"/>
  <c r="L397" i="5"/>
  <c r="H397" i="5"/>
  <c r="G397" i="5"/>
  <c r="T396" i="5"/>
  <c r="U396" i="5" s="1" a="1"/>
  <c r="U396" i="5" s="1"/>
  <c r="Q396" i="5" a="1"/>
  <c r="Q396" i="5" s="1"/>
  <c r="P396" i="5"/>
  <c r="O396" i="5"/>
  <c r="L396" i="5"/>
  <c r="H396" i="5"/>
  <c r="G396" i="5"/>
  <c r="T395" i="5"/>
  <c r="U395" i="5" s="1" a="1"/>
  <c r="U395" i="5" s="1"/>
  <c r="Q395" i="5" a="1"/>
  <c r="Q395" i="5" s="1"/>
  <c r="P395" i="5"/>
  <c r="O395" i="5"/>
  <c r="L395" i="5"/>
  <c r="H395" i="5"/>
  <c r="G395" i="5"/>
  <c r="T394" i="5"/>
  <c r="U394" i="5" s="1" a="1"/>
  <c r="U394" i="5" s="1"/>
  <c r="Q394" i="5" a="1"/>
  <c r="Q394" i="5" s="1"/>
  <c r="P394" i="5"/>
  <c r="O394" i="5"/>
  <c r="L394" i="5"/>
  <c r="H394" i="5"/>
  <c r="G394" i="5"/>
  <c r="T393" i="5"/>
  <c r="U393" i="5" s="1" a="1"/>
  <c r="U393" i="5" s="1"/>
  <c r="Q393" i="5" a="1"/>
  <c r="Q393" i="5" s="1"/>
  <c r="P393" i="5"/>
  <c r="O393" i="5"/>
  <c r="L393" i="5"/>
  <c r="H393" i="5"/>
  <c r="G393" i="5"/>
  <c r="T392" i="5"/>
  <c r="U392" i="5" s="1" a="1"/>
  <c r="U392" i="5" s="1"/>
  <c r="Q392" i="5" a="1"/>
  <c r="Q392" i="5" s="1"/>
  <c r="P392" i="5"/>
  <c r="O392" i="5"/>
  <c r="L392" i="5"/>
  <c r="H392" i="5"/>
  <c r="G392" i="5"/>
  <c r="T391" i="5"/>
  <c r="U391" i="5" s="1" a="1"/>
  <c r="U391" i="5" s="1"/>
  <c r="Q391" i="5" a="1"/>
  <c r="Q391" i="5" s="1"/>
  <c r="P391" i="5"/>
  <c r="O391" i="5"/>
  <c r="L391" i="5"/>
  <c r="H391" i="5"/>
  <c r="G391" i="5"/>
  <c r="T390" i="5"/>
  <c r="U390" i="5" s="1" a="1"/>
  <c r="U390" i="5" s="1"/>
  <c r="Q390" i="5" a="1"/>
  <c r="Q390" i="5" s="1"/>
  <c r="P390" i="5"/>
  <c r="O390" i="5"/>
  <c r="L390" i="5"/>
  <c r="H390" i="5"/>
  <c r="G390" i="5"/>
  <c r="T389" i="5"/>
  <c r="U389" i="5" s="1" a="1"/>
  <c r="U389" i="5" s="1"/>
  <c r="Q389" i="5" a="1"/>
  <c r="Q389" i="5" s="1"/>
  <c r="P389" i="5"/>
  <c r="O389" i="5"/>
  <c r="L389" i="5"/>
  <c r="H389" i="5"/>
  <c r="G389" i="5"/>
  <c r="T388" i="5"/>
  <c r="U388" i="5" s="1" a="1"/>
  <c r="U388" i="5" s="1"/>
  <c r="Q388" i="5" a="1"/>
  <c r="Q388" i="5" s="1"/>
  <c r="P388" i="5"/>
  <c r="O388" i="5"/>
  <c r="L388" i="5"/>
  <c r="H388" i="5"/>
  <c r="G388" i="5"/>
  <c r="T387" i="5"/>
  <c r="U387" i="5" s="1" a="1"/>
  <c r="U387" i="5" s="1"/>
  <c r="Q387" i="5" a="1"/>
  <c r="Q387" i="5" s="1"/>
  <c r="P387" i="5"/>
  <c r="O387" i="5"/>
  <c r="L387" i="5"/>
  <c r="H387" i="5"/>
  <c r="G387" i="5"/>
  <c r="T386" i="5"/>
  <c r="U386" i="5" s="1" a="1"/>
  <c r="U386" i="5" s="1"/>
  <c r="Q386" i="5" a="1"/>
  <c r="Q386" i="5" s="1"/>
  <c r="P386" i="5"/>
  <c r="O386" i="5"/>
  <c r="L386" i="5"/>
  <c r="H386" i="5"/>
  <c r="G386" i="5"/>
  <c r="T385" i="5"/>
  <c r="U385" i="5" s="1" a="1"/>
  <c r="U385" i="5" s="1"/>
  <c r="Q385" i="5" a="1"/>
  <c r="Q385" i="5" s="1"/>
  <c r="P385" i="5"/>
  <c r="O385" i="5"/>
  <c r="L385" i="5"/>
  <c r="H385" i="5"/>
  <c r="G385" i="5"/>
  <c r="T384" i="5"/>
  <c r="U384" i="5" s="1" a="1"/>
  <c r="U384" i="5" s="1"/>
  <c r="Q384" i="5" a="1"/>
  <c r="Q384" i="5" s="1"/>
  <c r="P384" i="5"/>
  <c r="O384" i="5"/>
  <c r="L384" i="5"/>
  <c r="H384" i="5"/>
  <c r="G384" i="5"/>
  <c r="T383" i="5"/>
  <c r="U383" i="5" s="1" a="1"/>
  <c r="U383" i="5" s="1"/>
  <c r="Q383" i="5" a="1"/>
  <c r="Q383" i="5" s="1"/>
  <c r="P383" i="5"/>
  <c r="O383" i="5"/>
  <c r="L383" i="5"/>
  <c r="H383" i="5"/>
  <c r="G383" i="5"/>
  <c r="T382" i="5"/>
  <c r="U382" i="5" s="1" a="1"/>
  <c r="U382" i="5" s="1"/>
  <c r="Q382" i="5" a="1"/>
  <c r="Q382" i="5" s="1"/>
  <c r="P382" i="5"/>
  <c r="O382" i="5"/>
  <c r="L382" i="5"/>
  <c r="H382" i="5"/>
  <c r="G382" i="5"/>
  <c r="T381" i="5"/>
  <c r="U381" i="5" s="1" a="1"/>
  <c r="U381" i="5" s="1"/>
  <c r="Q381" i="5" a="1"/>
  <c r="Q381" i="5" s="1"/>
  <c r="P381" i="5"/>
  <c r="O381" i="5"/>
  <c r="L381" i="5"/>
  <c r="H381" i="5"/>
  <c r="G381" i="5"/>
  <c r="T380" i="5"/>
  <c r="U380" i="5" s="1" a="1"/>
  <c r="U380" i="5" s="1"/>
  <c r="Q380" i="5" a="1"/>
  <c r="Q380" i="5" s="1"/>
  <c r="P380" i="5"/>
  <c r="O380" i="5"/>
  <c r="L380" i="5"/>
  <c r="H380" i="5"/>
  <c r="G380" i="5"/>
  <c r="T379" i="5"/>
  <c r="U379" i="5" s="1" a="1"/>
  <c r="U379" i="5" s="1"/>
  <c r="Q379" i="5" a="1"/>
  <c r="Q379" i="5" s="1"/>
  <c r="P379" i="5"/>
  <c r="O379" i="5"/>
  <c r="L379" i="5"/>
  <c r="H379" i="5"/>
  <c r="G379" i="5"/>
  <c r="T378" i="5"/>
  <c r="U378" i="5" s="1" a="1"/>
  <c r="U378" i="5" s="1"/>
  <c r="Q378" i="5" a="1"/>
  <c r="Q378" i="5" s="1"/>
  <c r="P378" i="5"/>
  <c r="O378" i="5"/>
  <c r="L378" i="5"/>
  <c r="H378" i="5"/>
  <c r="G378" i="5"/>
  <c r="T377" i="5"/>
  <c r="U377" i="5" s="1" a="1"/>
  <c r="U377" i="5" s="1"/>
  <c r="Q377" i="5" a="1"/>
  <c r="Q377" i="5" s="1"/>
  <c r="P377" i="5"/>
  <c r="O377" i="5"/>
  <c r="L377" i="5"/>
  <c r="H377" i="5"/>
  <c r="G377" i="5"/>
  <c r="T376" i="5"/>
  <c r="U376" i="5" s="1" a="1"/>
  <c r="U376" i="5" s="1"/>
  <c r="Q376" i="5" a="1"/>
  <c r="Q376" i="5" s="1"/>
  <c r="P376" i="5"/>
  <c r="O376" i="5"/>
  <c r="L376" i="5"/>
  <c r="H376" i="5"/>
  <c r="G376" i="5"/>
  <c r="T375" i="5"/>
  <c r="U375" i="5" s="1" a="1"/>
  <c r="U375" i="5" s="1"/>
  <c r="Q375" i="5" a="1"/>
  <c r="Q375" i="5" s="1"/>
  <c r="P375" i="5"/>
  <c r="O375" i="5"/>
  <c r="L375" i="5"/>
  <c r="H375" i="5"/>
  <c r="G375" i="5"/>
  <c r="T374" i="5"/>
  <c r="U374" i="5" s="1" a="1"/>
  <c r="U374" i="5" s="1"/>
  <c r="Q374" i="5" a="1"/>
  <c r="Q374" i="5" s="1"/>
  <c r="P374" i="5"/>
  <c r="O374" i="5"/>
  <c r="L374" i="5"/>
  <c r="H374" i="5"/>
  <c r="G374" i="5"/>
  <c r="T373" i="5"/>
  <c r="U373" i="5" s="1" a="1"/>
  <c r="U373" i="5" s="1"/>
  <c r="Q373" i="5" a="1"/>
  <c r="Q373" i="5" s="1"/>
  <c r="P373" i="5"/>
  <c r="O373" i="5"/>
  <c r="L373" i="5"/>
  <c r="H373" i="5"/>
  <c r="G373" i="5"/>
  <c r="T372" i="5"/>
  <c r="U372" i="5" s="1" a="1"/>
  <c r="U372" i="5" s="1"/>
  <c r="Q372" i="5" a="1"/>
  <c r="Q372" i="5" s="1"/>
  <c r="P372" i="5"/>
  <c r="O372" i="5"/>
  <c r="L372" i="5"/>
  <c r="H372" i="5"/>
  <c r="G372" i="5"/>
  <c r="T371" i="5"/>
  <c r="U371" i="5" s="1" a="1"/>
  <c r="U371" i="5" s="1"/>
  <c r="Q371" i="5" a="1"/>
  <c r="Q371" i="5" s="1"/>
  <c r="P371" i="5"/>
  <c r="O371" i="5"/>
  <c r="L371" i="5"/>
  <c r="H371" i="5"/>
  <c r="G371" i="5"/>
  <c r="T370" i="5"/>
  <c r="U370" i="5" s="1" a="1"/>
  <c r="U370" i="5" s="1"/>
  <c r="Q370" i="5" a="1"/>
  <c r="Q370" i="5" s="1"/>
  <c r="P370" i="5"/>
  <c r="O370" i="5"/>
  <c r="L370" i="5"/>
  <c r="H370" i="5"/>
  <c r="G370" i="5"/>
  <c r="T369" i="5"/>
  <c r="U369" i="5" s="1" a="1"/>
  <c r="U369" i="5" s="1"/>
  <c r="Q369" i="5" a="1"/>
  <c r="Q369" i="5" s="1"/>
  <c r="P369" i="5"/>
  <c r="O369" i="5"/>
  <c r="L369" i="5"/>
  <c r="H369" i="5"/>
  <c r="G369" i="5"/>
  <c r="T368" i="5"/>
  <c r="U368" i="5" s="1" a="1"/>
  <c r="U368" i="5" s="1"/>
  <c r="Q368" i="5" a="1"/>
  <c r="Q368" i="5" s="1"/>
  <c r="P368" i="5"/>
  <c r="O368" i="5"/>
  <c r="L368" i="5"/>
  <c r="H368" i="5"/>
  <c r="G368" i="5"/>
  <c r="T367" i="5"/>
  <c r="U367" i="5" s="1" a="1"/>
  <c r="U367" i="5" s="1"/>
  <c r="Q367" i="5" a="1"/>
  <c r="Q367" i="5" s="1"/>
  <c r="P367" i="5"/>
  <c r="O367" i="5"/>
  <c r="L367" i="5"/>
  <c r="H367" i="5"/>
  <c r="G367" i="5"/>
  <c r="T366" i="5"/>
  <c r="U366" i="5" s="1" a="1"/>
  <c r="U366" i="5" s="1"/>
  <c r="Q366" i="5" a="1"/>
  <c r="Q366" i="5" s="1"/>
  <c r="P366" i="5"/>
  <c r="O366" i="5"/>
  <c r="L366" i="5"/>
  <c r="H366" i="5"/>
  <c r="G366" i="5"/>
  <c r="T365" i="5"/>
  <c r="U365" i="5" s="1" a="1"/>
  <c r="U365" i="5" s="1"/>
  <c r="Q365" i="5" a="1"/>
  <c r="Q365" i="5" s="1"/>
  <c r="P365" i="5"/>
  <c r="O365" i="5"/>
  <c r="L365" i="5"/>
  <c r="H365" i="5"/>
  <c r="G365" i="5"/>
  <c r="T364" i="5"/>
  <c r="U364" i="5" s="1" a="1"/>
  <c r="U364" i="5" s="1"/>
  <c r="Q364" i="5" a="1"/>
  <c r="Q364" i="5" s="1"/>
  <c r="P364" i="5"/>
  <c r="O364" i="5"/>
  <c r="L364" i="5"/>
  <c r="H364" i="5"/>
  <c r="G364" i="5"/>
  <c r="T363" i="5"/>
  <c r="U363" i="5" s="1" a="1"/>
  <c r="U363" i="5" s="1"/>
  <c r="Q363" i="5" a="1"/>
  <c r="Q363" i="5" s="1"/>
  <c r="P363" i="5"/>
  <c r="O363" i="5"/>
  <c r="L363" i="5"/>
  <c r="H363" i="5"/>
  <c r="G363" i="5"/>
  <c r="T362" i="5"/>
  <c r="U362" i="5" s="1" a="1"/>
  <c r="U362" i="5" s="1"/>
  <c r="Q362" i="5" a="1"/>
  <c r="Q362" i="5" s="1"/>
  <c r="P362" i="5"/>
  <c r="O362" i="5"/>
  <c r="L362" i="5"/>
  <c r="H362" i="5"/>
  <c r="G362" i="5"/>
  <c r="T361" i="5"/>
  <c r="U361" i="5" s="1" a="1"/>
  <c r="U361" i="5" s="1"/>
  <c r="Q361" i="5" a="1"/>
  <c r="Q361" i="5" s="1"/>
  <c r="P361" i="5"/>
  <c r="O361" i="5"/>
  <c r="L361" i="5"/>
  <c r="H361" i="5"/>
  <c r="G361" i="5"/>
  <c r="T360" i="5"/>
  <c r="U360" i="5" s="1" a="1"/>
  <c r="U360" i="5" s="1"/>
  <c r="Q360" i="5" a="1"/>
  <c r="Q360" i="5" s="1"/>
  <c r="P360" i="5"/>
  <c r="O360" i="5"/>
  <c r="L360" i="5"/>
  <c r="H360" i="5"/>
  <c r="G360" i="5"/>
  <c r="T359" i="5"/>
  <c r="U359" i="5" s="1" a="1"/>
  <c r="U359" i="5" s="1"/>
  <c r="Q359" i="5" a="1"/>
  <c r="Q359" i="5" s="1"/>
  <c r="P359" i="5"/>
  <c r="O359" i="5"/>
  <c r="L359" i="5"/>
  <c r="H359" i="5"/>
  <c r="G359" i="5"/>
  <c r="T358" i="5"/>
  <c r="U358" i="5" s="1" a="1"/>
  <c r="U358" i="5" s="1"/>
  <c r="P358" i="5"/>
  <c r="Q358" i="5" s="1" a="1"/>
  <c r="Q358" i="5" s="1"/>
  <c r="O358" i="5"/>
  <c r="L358" i="5"/>
  <c r="H358" i="5"/>
  <c r="G358" i="5"/>
  <c r="U357" i="5" a="1"/>
  <c r="U357" i="5" s="1"/>
  <c r="T357" i="5"/>
  <c r="P357" i="5"/>
  <c r="Q357" i="5" s="1" a="1"/>
  <c r="Q357" i="5" s="1"/>
  <c r="O357" i="5"/>
  <c r="L357" i="5"/>
  <c r="H357" i="5"/>
  <c r="G357" i="5"/>
  <c r="U356" i="5" a="1"/>
  <c r="U356" i="5" s="1"/>
  <c r="T356" i="5"/>
  <c r="P356" i="5"/>
  <c r="Q356" i="5" s="1" a="1"/>
  <c r="Q356" i="5" s="1"/>
  <c r="O356" i="5"/>
  <c r="L356" i="5"/>
  <c r="H356" i="5"/>
  <c r="G356" i="5"/>
  <c r="U355" i="5" a="1"/>
  <c r="U355" i="5" s="1"/>
  <c r="T355" i="5"/>
  <c r="P355" i="5"/>
  <c r="Q355" i="5" s="1" a="1"/>
  <c r="Q355" i="5" s="1"/>
  <c r="O355" i="5"/>
  <c r="L355" i="5"/>
  <c r="H355" i="5"/>
  <c r="G355" i="5"/>
  <c r="U354" i="5" a="1"/>
  <c r="U354" i="5" s="1"/>
  <c r="T354" i="5"/>
  <c r="P354" i="5"/>
  <c r="Q354" i="5" s="1" a="1"/>
  <c r="Q354" i="5" s="1"/>
  <c r="O354" i="5"/>
  <c r="L354" i="5"/>
  <c r="H354" i="5"/>
  <c r="G354" i="5"/>
  <c r="U353" i="5" a="1"/>
  <c r="U353" i="5" s="1"/>
  <c r="T353" i="5"/>
  <c r="P353" i="5"/>
  <c r="Q353" i="5" s="1" a="1"/>
  <c r="Q353" i="5" s="1"/>
  <c r="O353" i="5"/>
  <c r="L353" i="5"/>
  <c r="H353" i="5"/>
  <c r="G353" i="5"/>
  <c r="U352" i="5" a="1"/>
  <c r="U352" i="5" s="1"/>
  <c r="T352" i="5"/>
  <c r="P352" i="5"/>
  <c r="Q352" i="5" s="1" a="1"/>
  <c r="Q352" i="5" s="1"/>
  <c r="O352" i="5"/>
  <c r="L352" i="5"/>
  <c r="H352" i="5"/>
  <c r="G352" i="5"/>
  <c r="U351" i="5" a="1"/>
  <c r="U351" i="5" s="1"/>
  <c r="T351" i="5"/>
  <c r="P351" i="5"/>
  <c r="Q351" i="5" s="1" a="1"/>
  <c r="Q351" i="5" s="1"/>
  <c r="O351" i="5"/>
  <c r="L351" i="5"/>
  <c r="H351" i="5"/>
  <c r="G351" i="5"/>
  <c r="U350" i="5" a="1"/>
  <c r="U350" i="5" s="1"/>
  <c r="T350" i="5"/>
  <c r="P350" i="5"/>
  <c r="Q350" i="5" s="1" a="1"/>
  <c r="Q350" i="5" s="1"/>
  <c r="O350" i="5"/>
  <c r="L350" i="5"/>
  <c r="H350" i="5"/>
  <c r="G350" i="5"/>
  <c r="U349" i="5" a="1"/>
  <c r="U349" i="5" s="1"/>
  <c r="T349" i="5"/>
  <c r="P349" i="5"/>
  <c r="Q349" i="5" s="1" a="1"/>
  <c r="Q349" i="5" s="1"/>
  <c r="O349" i="5"/>
  <c r="L349" i="5"/>
  <c r="H349" i="5"/>
  <c r="G349" i="5"/>
  <c r="U348" i="5" a="1"/>
  <c r="U348" i="5" s="1"/>
  <c r="T348" i="5"/>
  <c r="P348" i="5"/>
  <c r="Q348" i="5" s="1" a="1"/>
  <c r="Q348" i="5" s="1"/>
  <c r="O348" i="5"/>
  <c r="L348" i="5"/>
  <c r="H348" i="5"/>
  <c r="G348" i="5"/>
  <c r="U347" i="5" a="1"/>
  <c r="U347" i="5" s="1"/>
  <c r="T347" i="5"/>
  <c r="P347" i="5"/>
  <c r="Q347" i="5" s="1" a="1"/>
  <c r="Q347" i="5" s="1"/>
  <c r="O347" i="5"/>
  <c r="L347" i="5"/>
  <c r="H347" i="5"/>
  <c r="G347" i="5"/>
  <c r="U346" i="5" a="1"/>
  <c r="U346" i="5" s="1"/>
  <c r="T346" i="5"/>
  <c r="P346" i="5"/>
  <c r="Q346" i="5" s="1" a="1"/>
  <c r="Q346" i="5" s="1"/>
  <c r="O346" i="5"/>
  <c r="L346" i="5"/>
  <c r="H346" i="5"/>
  <c r="G346" i="5"/>
  <c r="U345" i="5" a="1"/>
  <c r="U345" i="5" s="1"/>
  <c r="T345" i="5"/>
  <c r="P345" i="5"/>
  <c r="Q345" i="5" s="1" a="1"/>
  <c r="Q345" i="5" s="1"/>
  <c r="O345" i="5"/>
  <c r="L345" i="5"/>
  <c r="H345" i="5"/>
  <c r="G345" i="5"/>
  <c r="U344" i="5" a="1"/>
  <c r="U344" i="5" s="1"/>
  <c r="T344" i="5"/>
  <c r="P344" i="5"/>
  <c r="Q344" i="5" s="1" a="1"/>
  <c r="Q344" i="5" s="1"/>
  <c r="O344" i="5"/>
  <c r="L344" i="5"/>
  <c r="H344" i="5"/>
  <c r="G344" i="5"/>
  <c r="U343" i="5" a="1"/>
  <c r="U343" i="5" s="1"/>
  <c r="T343" i="5"/>
  <c r="P343" i="5"/>
  <c r="Q343" i="5" s="1" a="1"/>
  <c r="Q343" i="5" s="1"/>
  <c r="O343" i="5"/>
  <c r="L343" i="5"/>
  <c r="H343" i="5"/>
  <c r="G343" i="5"/>
  <c r="U342" i="5" a="1"/>
  <c r="U342" i="5" s="1"/>
  <c r="T342" i="5"/>
  <c r="P342" i="5"/>
  <c r="Q342" i="5" s="1" a="1"/>
  <c r="Q342" i="5" s="1"/>
  <c r="O342" i="5"/>
  <c r="L342" i="5"/>
  <c r="H342" i="5"/>
  <c r="G342" i="5"/>
  <c r="U341" i="5" a="1"/>
  <c r="U341" i="5" s="1"/>
  <c r="T341" i="5"/>
  <c r="P341" i="5"/>
  <c r="Q341" i="5" s="1" a="1"/>
  <c r="Q341" i="5" s="1"/>
  <c r="O341" i="5"/>
  <c r="L341" i="5"/>
  <c r="H341" i="5"/>
  <c r="G341" i="5"/>
  <c r="U340" i="5" a="1"/>
  <c r="U340" i="5" s="1"/>
  <c r="T340" i="5"/>
  <c r="P340" i="5"/>
  <c r="Q340" i="5" s="1" a="1"/>
  <c r="Q340" i="5" s="1"/>
  <c r="O340" i="5"/>
  <c r="L340" i="5"/>
  <c r="H340" i="5"/>
  <c r="G340" i="5"/>
  <c r="U339" i="5" a="1"/>
  <c r="U339" i="5" s="1"/>
  <c r="T339" i="5"/>
  <c r="P339" i="5"/>
  <c r="Q339" i="5" s="1" a="1"/>
  <c r="Q339" i="5" s="1"/>
  <c r="O339" i="5"/>
  <c r="L339" i="5"/>
  <c r="H339" i="5"/>
  <c r="G339" i="5"/>
  <c r="U338" i="5" a="1"/>
  <c r="U338" i="5" s="1"/>
  <c r="T338" i="5"/>
  <c r="P338" i="5"/>
  <c r="Q338" i="5" s="1" a="1"/>
  <c r="Q338" i="5" s="1"/>
  <c r="O338" i="5"/>
  <c r="L338" i="5"/>
  <c r="H338" i="5"/>
  <c r="G338" i="5"/>
  <c r="U337" i="5" a="1"/>
  <c r="U337" i="5" s="1"/>
  <c r="T337" i="5"/>
  <c r="P337" i="5"/>
  <c r="Q337" i="5" s="1" a="1"/>
  <c r="Q337" i="5" s="1"/>
  <c r="O337" i="5"/>
  <c r="L337" i="5"/>
  <c r="H337" i="5"/>
  <c r="G337" i="5"/>
  <c r="U336" i="5" a="1"/>
  <c r="U336" i="5" s="1"/>
  <c r="T336" i="5"/>
  <c r="P336" i="5"/>
  <c r="Q336" i="5" s="1" a="1"/>
  <c r="Q336" i="5" s="1"/>
  <c r="O336" i="5"/>
  <c r="L336" i="5"/>
  <c r="H336" i="5"/>
  <c r="G336" i="5"/>
  <c r="U335" i="5" a="1"/>
  <c r="U335" i="5" s="1"/>
  <c r="T335" i="5"/>
  <c r="P335" i="5"/>
  <c r="Q335" i="5" s="1" a="1"/>
  <c r="Q335" i="5" s="1"/>
  <c r="O335" i="5"/>
  <c r="L335" i="5"/>
  <c r="H335" i="5"/>
  <c r="G335" i="5"/>
  <c r="U334" i="5" a="1"/>
  <c r="U334" i="5" s="1"/>
  <c r="T334" i="5"/>
  <c r="P334" i="5"/>
  <c r="Q334" i="5" s="1" a="1"/>
  <c r="Q334" i="5" s="1"/>
  <c r="O334" i="5"/>
  <c r="L334" i="5"/>
  <c r="H334" i="5"/>
  <c r="G334" i="5"/>
  <c r="U333" i="5" a="1"/>
  <c r="U333" i="5" s="1"/>
  <c r="T333" i="5"/>
  <c r="P333" i="5"/>
  <c r="Q333" i="5" s="1" a="1"/>
  <c r="Q333" i="5" s="1"/>
  <c r="O333" i="5"/>
  <c r="L333" i="5"/>
  <c r="H333" i="5"/>
  <c r="G333" i="5"/>
  <c r="U332" i="5" a="1"/>
  <c r="U332" i="5" s="1"/>
  <c r="T332" i="5"/>
  <c r="P332" i="5"/>
  <c r="Q332" i="5" s="1" a="1"/>
  <c r="Q332" i="5" s="1"/>
  <c r="O332" i="5"/>
  <c r="L332" i="5"/>
  <c r="H332" i="5"/>
  <c r="G332" i="5"/>
  <c r="U331" i="5" a="1"/>
  <c r="U331" i="5" s="1"/>
  <c r="T331" i="5"/>
  <c r="P331" i="5"/>
  <c r="Q331" i="5" s="1" a="1"/>
  <c r="Q331" i="5" s="1"/>
  <c r="O331" i="5"/>
  <c r="L331" i="5"/>
  <c r="H331" i="5"/>
  <c r="G331" i="5"/>
  <c r="U330" i="5" a="1"/>
  <c r="U330" i="5" s="1"/>
  <c r="T330" i="5"/>
  <c r="P330" i="5"/>
  <c r="Q330" i="5" s="1" a="1"/>
  <c r="Q330" i="5" s="1"/>
  <c r="O330" i="5"/>
  <c r="L330" i="5"/>
  <c r="H330" i="5"/>
  <c r="G330" i="5"/>
  <c r="U329" i="5" a="1"/>
  <c r="U329" i="5" s="1"/>
  <c r="T329" i="5"/>
  <c r="P329" i="5"/>
  <c r="Q329" i="5" s="1" a="1"/>
  <c r="Q329" i="5" s="1"/>
  <c r="O329" i="5"/>
  <c r="L329" i="5"/>
  <c r="H329" i="5"/>
  <c r="G329" i="5"/>
  <c r="U328" i="5" a="1"/>
  <c r="U328" i="5" s="1"/>
  <c r="T328" i="5"/>
  <c r="P328" i="5"/>
  <c r="Q328" i="5" s="1" a="1"/>
  <c r="Q328" i="5" s="1"/>
  <c r="O328" i="5"/>
  <c r="L328" i="5"/>
  <c r="H328" i="5"/>
  <c r="G328" i="5"/>
  <c r="U327" i="5" a="1"/>
  <c r="U327" i="5" s="1"/>
  <c r="T327" i="5"/>
  <c r="P327" i="5"/>
  <c r="Q327" i="5" s="1" a="1"/>
  <c r="Q327" i="5" s="1"/>
  <c r="O327" i="5"/>
  <c r="L327" i="5"/>
  <c r="H327" i="5"/>
  <c r="G327" i="5"/>
  <c r="U326" i="5" a="1"/>
  <c r="U326" i="5" s="1"/>
  <c r="T326" i="5"/>
  <c r="P326" i="5"/>
  <c r="Q326" i="5" s="1" a="1"/>
  <c r="Q326" i="5" s="1"/>
  <c r="O326" i="5"/>
  <c r="L326" i="5"/>
  <c r="H326" i="5"/>
  <c r="G326" i="5"/>
  <c r="U325" i="5" a="1"/>
  <c r="U325" i="5" s="1"/>
  <c r="T325" i="5"/>
  <c r="P325" i="5"/>
  <c r="Q325" i="5" s="1" a="1"/>
  <c r="Q325" i="5" s="1"/>
  <c r="O325" i="5"/>
  <c r="L325" i="5"/>
  <c r="H325" i="5"/>
  <c r="G325" i="5"/>
  <c r="U324" i="5" a="1"/>
  <c r="U324" i="5" s="1"/>
  <c r="T324" i="5"/>
  <c r="P324" i="5"/>
  <c r="Q324" i="5" s="1" a="1"/>
  <c r="Q324" i="5" s="1"/>
  <c r="O324" i="5"/>
  <c r="L324" i="5"/>
  <c r="H324" i="5"/>
  <c r="G324" i="5"/>
  <c r="U323" i="5" a="1"/>
  <c r="U323" i="5" s="1"/>
  <c r="T323" i="5"/>
  <c r="P323" i="5"/>
  <c r="Q323" i="5" s="1" a="1"/>
  <c r="Q323" i="5" s="1"/>
  <c r="O323" i="5"/>
  <c r="L323" i="5"/>
  <c r="H323" i="5"/>
  <c r="G323" i="5"/>
  <c r="U322" i="5" a="1"/>
  <c r="U322" i="5" s="1"/>
  <c r="T322" i="5"/>
  <c r="P322" i="5"/>
  <c r="Q322" i="5" s="1" a="1"/>
  <c r="Q322" i="5" s="1"/>
  <c r="O322" i="5"/>
  <c r="L322" i="5"/>
  <c r="H322" i="5"/>
  <c r="G322" i="5"/>
  <c r="U321" i="5" a="1"/>
  <c r="U321" i="5" s="1"/>
  <c r="T321" i="5"/>
  <c r="P321" i="5"/>
  <c r="Q321" i="5" s="1" a="1"/>
  <c r="Q321" i="5" s="1"/>
  <c r="O321" i="5"/>
  <c r="L321" i="5"/>
  <c r="H321" i="5"/>
  <c r="G321" i="5"/>
  <c r="U320" i="5" a="1"/>
  <c r="U320" i="5" s="1"/>
  <c r="T320" i="5"/>
  <c r="P320" i="5"/>
  <c r="Q320" i="5" s="1" a="1"/>
  <c r="Q320" i="5" s="1"/>
  <c r="O320" i="5"/>
  <c r="L320" i="5"/>
  <c r="H320" i="5"/>
  <c r="G320" i="5"/>
  <c r="U319" i="5" a="1"/>
  <c r="U319" i="5" s="1"/>
  <c r="T319" i="5"/>
  <c r="P319" i="5"/>
  <c r="Q319" i="5" s="1" a="1"/>
  <c r="Q319" i="5" s="1"/>
  <c r="O319" i="5"/>
  <c r="L319" i="5"/>
  <c r="H319" i="5"/>
  <c r="G319" i="5"/>
  <c r="U318" i="5" a="1"/>
  <c r="U318" i="5" s="1"/>
  <c r="T318" i="5"/>
  <c r="P318" i="5"/>
  <c r="Q318" i="5" s="1" a="1"/>
  <c r="Q318" i="5" s="1"/>
  <c r="O318" i="5"/>
  <c r="L318" i="5"/>
  <c r="H318" i="5"/>
  <c r="G318" i="5"/>
  <c r="U317" i="5" a="1"/>
  <c r="U317" i="5" s="1"/>
  <c r="T317" i="5"/>
  <c r="P317" i="5"/>
  <c r="Q317" i="5" s="1" a="1"/>
  <c r="Q317" i="5" s="1"/>
  <c r="O317" i="5"/>
  <c r="L317" i="5"/>
  <c r="H317" i="5"/>
  <c r="G317" i="5"/>
  <c r="U316" i="5" a="1"/>
  <c r="U316" i="5" s="1"/>
  <c r="T316" i="5"/>
  <c r="P316" i="5"/>
  <c r="Q316" i="5" s="1" a="1"/>
  <c r="Q316" i="5" s="1"/>
  <c r="O316" i="5"/>
  <c r="L316" i="5"/>
  <c r="H316" i="5"/>
  <c r="G316" i="5"/>
  <c r="U315" i="5" a="1"/>
  <c r="U315" i="5" s="1"/>
  <c r="T315" i="5"/>
  <c r="P315" i="5"/>
  <c r="Q315" i="5" s="1" a="1"/>
  <c r="Q315" i="5" s="1"/>
  <c r="O315" i="5"/>
  <c r="L315" i="5"/>
  <c r="H315" i="5"/>
  <c r="G315" i="5"/>
  <c r="U314" i="5" a="1"/>
  <c r="U314" i="5" s="1"/>
  <c r="T314" i="5"/>
  <c r="P314" i="5"/>
  <c r="Q314" i="5" s="1" a="1"/>
  <c r="Q314" i="5" s="1"/>
  <c r="O314" i="5"/>
  <c r="L314" i="5"/>
  <c r="H314" i="5"/>
  <c r="G314" i="5"/>
  <c r="U313" i="5" a="1"/>
  <c r="U313" i="5" s="1"/>
  <c r="T313" i="5"/>
  <c r="P313" i="5"/>
  <c r="Q313" i="5" s="1" a="1"/>
  <c r="Q313" i="5" s="1"/>
  <c r="O313" i="5"/>
  <c r="L313" i="5"/>
  <c r="H313" i="5"/>
  <c r="G313" i="5"/>
  <c r="U312" i="5" a="1"/>
  <c r="U312" i="5" s="1"/>
  <c r="T312" i="5"/>
  <c r="P312" i="5"/>
  <c r="Q312" i="5" s="1" a="1"/>
  <c r="Q312" i="5" s="1"/>
  <c r="O312" i="5"/>
  <c r="L312" i="5"/>
  <c r="H312" i="5"/>
  <c r="G312" i="5"/>
  <c r="U311" i="5" a="1"/>
  <c r="U311" i="5" s="1"/>
  <c r="T311" i="5"/>
  <c r="P311" i="5"/>
  <c r="Q311" i="5" s="1" a="1"/>
  <c r="Q311" i="5" s="1"/>
  <c r="O311" i="5"/>
  <c r="L311" i="5"/>
  <c r="H311" i="5"/>
  <c r="G311" i="5"/>
  <c r="U310" i="5" a="1"/>
  <c r="U310" i="5" s="1"/>
  <c r="T310" i="5"/>
  <c r="P310" i="5"/>
  <c r="Q310" i="5" s="1" a="1"/>
  <c r="Q310" i="5" s="1"/>
  <c r="O310" i="5"/>
  <c r="L310" i="5"/>
  <c r="H310" i="5"/>
  <c r="G310" i="5"/>
  <c r="U309" i="5" a="1"/>
  <c r="U309" i="5" s="1"/>
  <c r="T309" i="5"/>
  <c r="P309" i="5"/>
  <c r="Q309" i="5" s="1" a="1"/>
  <c r="Q309" i="5" s="1"/>
  <c r="O309" i="5"/>
  <c r="L309" i="5"/>
  <c r="H309" i="5"/>
  <c r="G309" i="5"/>
  <c r="U308" i="5" a="1"/>
  <c r="U308" i="5" s="1"/>
  <c r="T308" i="5"/>
  <c r="P308" i="5"/>
  <c r="Q308" i="5" s="1" a="1"/>
  <c r="Q308" i="5" s="1"/>
  <c r="O308" i="5"/>
  <c r="L308" i="5"/>
  <c r="H308" i="5"/>
  <c r="G308" i="5"/>
  <c r="U307" i="5" a="1"/>
  <c r="U307" i="5" s="1"/>
  <c r="T307" i="5"/>
  <c r="P307" i="5"/>
  <c r="Q307" i="5" s="1" a="1"/>
  <c r="Q307" i="5" s="1"/>
  <c r="O307" i="5"/>
  <c r="L307" i="5"/>
  <c r="H307" i="5"/>
  <c r="G307" i="5"/>
  <c r="U306" i="5" a="1"/>
  <c r="U306" i="5" s="1"/>
  <c r="T306" i="5"/>
  <c r="P306" i="5"/>
  <c r="Q306" i="5" s="1" a="1"/>
  <c r="Q306" i="5" s="1"/>
  <c r="O306" i="5"/>
  <c r="L306" i="5"/>
  <c r="H306" i="5"/>
  <c r="G306" i="5"/>
  <c r="U305" i="5" a="1"/>
  <c r="U305" i="5" s="1"/>
  <c r="T305" i="5"/>
  <c r="P305" i="5"/>
  <c r="Q305" i="5" s="1" a="1"/>
  <c r="Q305" i="5" s="1"/>
  <c r="O305" i="5"/>
  <c r="L305" i="5"/>
  <c r="H305" i="5"/>
  <c r="G305" i="5"/>
  <c r="U304" i="5" a="1"/>
  <c r="U304" i="5" s="1"/>
  <c r="T304" i="5"/>
  <c r="P304" i="5"/>
  <c r="Q304" i="5" s="1" a="1"/>
  <c r="Q304" i="5" s="1"/>
  <c r="O304" i="5"/>
  <c r="L304" i="5"/>
  <c r="H304" i="5"/>
  <c r="G304" i="5"/>
  <c r="U303" i="5" a="1"/>
  <c r="U303" i="5" s="1"/>
  <c r="T303" i="5"/>
  <c r="P303" i="5"/>
  <c r="Q303" i="5" s="1" a="1"/>
  <c r="Q303" i="5" s="1"/>
  <c r="O303" i="5"/>
  <c r="L303" i="5"/>
  <c r="H303" i="5"/>
  <c r="G303" i="5"/>
  <c r="U302" i="5" a="1"/>
  <c r="U302" i="5" s="1"/>
  <c r="T302" i="5"/>
  <c r="P302" i="5"/>
  <c r="Q302" i="5" s="1" a="1"/>
  <c r="Q302" i="5" s="1"/>
  <c r="O302" i="5"/>
  <c r="L302" i="5"/>
  <c r="H302" i="5"/>
  <c r="G302" i="5"/>
  <c r="U301" i="5" a="1"/>
  <c r="U301" i="5" s="1"/>
  <c r="T301" i="5"/>
  <c r="P301" i="5"/>
  <c r="Q301" i="5" s="1" a="1"/>
  <c r="Q301" i="5" s="1"/>
  <c r="O301" i="5"/>
  <c r="L301" i="5"/>
  <c r="H301" i="5"/>
  <c r="G301" i="5"/>
  <c r="U300" i="5" a="1"/>
  <c r="U300" i="5" s="1"/>
  <c r="T300" i="5"/>
  <c r="P300" i="5"/>
  <c r="Q300" i="5" s="1" a="1"/>
  <c r="Q300" i="5" s="1"/>
  <c r="O300" i="5"/>
  <c r="L300" i="5"/>
  <c r="H300" i="5"/>
  <c r="G300" i="5"/>
  <c r="U299" i="5" a="1"/>
  <c r="U299" i="5" s="1"/>
  <c r="T299" i="5"/>
  <c r="P299" i="5"/>
  <c r="Q299" i="5" s="1" a="1"/>
  <c r="Q299" i="5" s="1"/>
  <c r="O299" i="5"/>
  <c r="L299" i="5"/>
  <c r="H299" i="5"/>
  <c r="G299" i="5"/>
  <c r="U298" i="5" a="1"/>
  <c r="U298" i="5" s="1"/>
  <c r="T298" i="5"/>
  <c r="P298" i="5"/>
  <c r="Q298" i="5" s="1" a="1"/>
  <c r="Q298" i="5" s="1"/>
  <c r="O298" i="5"/>
  <c r="L298" i="5"/>
  <c r="H298" i="5"/>
  <c r="G298" i="5"/>
  <c r="U297" i="5" a="1"/>
  <c r="U297" i="5" s="1"/>
  <c r="T297" i="5"/>
  <c r="P297" i="5"/>
  <c r="Q297" i="5" s="1" a="1"/>
  <c r="Q297" i="5" s="1"/>
  <c r="O297" i="5"/>
  <c r="L297" i="5"/>
  <c r="H297" i="5"/>
  <c r="G297" i="5"/>
  <c r="U296" i="5" a="1"/>
  <c r="U296" i="5" s="1"/>
  <c r="T296" i="5"/>
  <c r="P296" i="5"/>
  <c r="Q296" i="5" s="1" a="1"/>
  <c r="Q296" i="5" s="1"/>
  <c r="O296" i="5"/>
  <c r="L296" i="5"/>
  <c r="H296" i="5"/>
  <c r="G296" i="5"/>
  <c r="U295" i="5" a="1"/>
  <c r="U295" i="5" s="1"/>
  <c r="T295" i="5"/>
  <c r="P295" i="5"/>
  <c r="Q295" i="5" s="1" a="1"/>
  <c r="Q295" i="5" s="1"/>
  <c r="O295" i="5"/>
  <c r="L295" i="5"/>
  <c r="H295" i="5"/>
  <c r="G295" i="5"/>
  <c r="U294" i="5" a="1"/>
  <c r="U294" i="5" s="1"/>
  <c r="T294" i="5"/>
  <c r="P294" i="5"/>
  <c r="Q294" i="5" s="1" a="1"/>
  <c r="Q294" i="5" s="1"/>
  <c r="O294" i="5"/>
  <c r="L294" i="5"/>
  <c r="H294" i="5"/>
  <c r="G294" i="5"/>
  <c r="T293" i="5"/>
  <c r="U293" i="5" s="1" a="1"/>
  <c r="U293" i="5" s="1"/>
  <c r="P293" i="5"/>
  <c r="Q293" i="5" s="1" a="1"/>
  <c r="Q293" i="5" s="1"/>
  <c r="O293" i="5"/>
  <c r="L293" i="5"/>
  <c r="H293" i="5"/>
  <c r="G293" i="5"/>
  <c r="T292" i="5"/>
  <c r="U292" i="5" s="1" a="1"/>
  <c r="U292" i="5" s="1"/>
  <c r="P292" i="5"/>
  <c r="Q292" i="5" s="1" a="1"/>
  <c r="Q292" i="5" s="1"/>
  <c r="O292" i="5"/>
  <c r="L292" i="5"/>
  <c r="H292" i="5"/>
  <c r="G292" i="5"/>
  <c r="T291" i="5"/>
  <c r="U291" i="5" s="1" a="1"/>
  <c r="U291" i="5" s="1"/>
  <c r="P291" i="5"/>
  <c r="Q291" i="5" s="1" a="1"/>
  <c r="Q291" i="5" s="1"/>
  <c r="O291" i="5"/>
  <c r="L291" i="5"/>
  <c r="H291" i="5"/>
  <c r="G291" i="5"/>
  <c r="T290" i="5"/>
  <c r="U290" i="5" s="1" a="1"/>
  <c r="U290" i="5" s="1"/>
  <c r="P290" i="5"/>
  <c r="Q290" i="5" s="1" a="1"/>
  <c r="Q290" i="5" s="1"/>
  <c r="O290" i="5"/>
  <c r="L290" i="5"/>
  <c r="H290" i="5"/>
  <c r="G290" i="5"/>
  <c r="T289" i="5"/>
  <c r="U289" i="5" s="1" a="1"/>
  <c r="U289" i="5" s="1"/>
  <c r="P289" i="5"/>
  <c r="Q289" i="5" s="1" a="1"/>
  <c r="Q289" i="5" s="1"/>
  <c r="O289" i="5"/>
  <c r="L289" i="5"/>
  <c r="H289" i="5"/>
  <c r="G289" i="5"/>
  <c r="T288" i="5"/>
  <c r="U288" i="5" s="1" a="1"/>
  <c r="U288" i="5" s="1"/>
  <c r="P288" i="5"/>
  <c r="Q288" i="5" s="1" a="1"/>
  <c r="Q288" i="5" s="1"/>
  <c r="O288" i="5"/>
  <c r="L288" i="5"/>
  <c r="H288" i="5"/>
  <c r="G288" i="5"/>
  <c r="T287" i="5"/>
  <c r="U287" i="5" s="1" a="1"/>
  <c r="U287" i="5" s="1"/>
  <c r="P287" i="5"/>
  <c r="Q287" i="5" s="1" a="1"/>
  <c r="Q287" i="5" s="1"/>
  <c r="O287" i="5"/>
  <c r="L287" i="5"/>
  <c r="H287" i="5"/>
  <c r="G287" i="5"/>
  <c r="T286" i="5"/>
  <c r="U286" i="5" s="1" a="1"/>
  <c r="U286" i="5" s="1"/>
  <c r="P286" i="5"/>
  <c r="Q286" i="5" s="1" a="1"/>
  <c r="Q286" i="5" s="1"/>
  <c r="O286" i="5"/>
  <c r="L286" i="5"/>
  <c r="H286" i="5"/>
  <c r="G286" i="5"/>
  <c r="T285" i="5"/>
  <c r="U285" i="5" s="1" a="1"/>
  <c r="U285" i="5" s="1"/>
  <c r="P285" i="5"/>
  <c r="Q285" i="5" s="1" a="1"/>
  <c r="Q285" i="5" s="1"/>
  <c r="O285" i="5"/>
  <c r="L285" i="5"/>
  <c r="H285" i="5"/>
  <c r="G285" i="5"/>
  <c r="T284" i="5"/>
  <c r="U284" i="5" s="1" a="1"/>
  <c r="U284" i="5" s="1"/>
  <c r="P284" i="5"/>
  <c r="Q284" i="5" s="1" a="1"/>
  <c r="Q284" i="5" s="1"/>
  <c r="O284" i="5"/>
  <c r="L284" i="5"/>
  <c r="H284" i="5"/>
  <c r="G284" i="5"/>
  <c r="T283" i="5"/>
  <c r="U283" i="5" s="1" a="1"/>
  <c r="U283" i="5" s="1"/>
  <c r="P283" i="5"/>
  <c r="Q283" i="5" s="1" a="1"/>
  <c r="Q283" i="5" s="1"/>
  <c r="O283" i="5"/>
  <c r="L283" i="5"/>
  <c r="H283" i="5"/>
  <c r="G283" i="5"/>
  <c r="T282" i="5"/>
  <c r="U282" i="5" s="1" a="1"/>
  <c r="U282" i="5" s="1"/>
  <c r="P282" i="5"/>
  <c r="Q282" i="5" s="1" a="1"/>
  <c r="Q282" i="5" s="1"/>
  <c r="O282" i="5"/>
  <c r="L282" i="5"/>
  <c r="H282" i="5"/>
  <c r="G282" i="5"/>
  <c r="T281" i="5"/>
  <c r="U281" i="5" s="1" a="1"/>
  <c r="U281" i="5" s="1"/>
  <c r="P281" i="5"/>
  <c r="Q281" i="5" s="1" a="1"/>
  <c r="Q281" i="5" s="1"/>
  <c r="O281" i="5"/>
  <c r="L281" i="5"/>
  <c r="H281" i="5"/>
  <c r="G281" i="5"/>
  <c r="T280" i="5"/>
  <c r="U280" i="5" s="1" a="1"/>
  <c r="U280" i="5" s="1"/>
  <c r="P280" i="5"/>
  <c r="Q280" i="5" s="1" a="1"/>
  <c r="Q280" i="5" s="1"/>
  <c r="O280" i="5"/>
  <c r="L280" i="5"/>
  <c r="H280" i="5"/>
  <c r="G280" i="5"/>
  <c r="T279" i="5"/>
  <c r="U279" i="5" s="1" a="1"/>
  <c r="U279" i="5" s="1"/>
  <c r="P279" i="5"/>
  <c r="Q279" i="5" s="1" a="1"/>
  <c r="Q279" i="5" s="1"/>
  <c r="O279" i="5"/>
  <c r="L279" i="5"/>
  <c r="H279" i="5"/>
  <c r="G279" i="5"/>
  <c r="T278" i="5"/>
  <c r="U278" i="5" s="1" a="1"/>
  <c r="U278" i="5" s="1"/>
  <c r="P278" i="5"/>
  <c r="Q278" i="5" s="1" a="1"/>
  <c r="Q278" i="5" s="1"/>
  <c r="O278" i="5"/>
  <c r="L278" i="5"/>
  <c r="H278" i="5"/>
  <c r="G278" i="5"/>
  <c r="T277" i="5"/>
  <c r="U277" i="5" s="1" a="1"/>
  <c r="U277" i="5" s="1"/>
  <c r="P277" i="5"/>
  <c r="Q277" i="5" s="1" a="1"/>
  <c r="Q277" i="5" s="1"/>
  <c r="O277" i="5"/>
  <c r="L277" i="5"/>
  <c r="H277" i="5"/>
  <c r="G277" i="5"/>
  <c r="T276" i="5"/>
  <c r="U276" i="5" s="1" a="1"/>
  <c r="U276" i="5" s="1"/>
  <c r="P276" i="5"/>
  <c r="Q276" i="5" s="1" a="1"/>
  <c r="Q276" i="5" s="1"/>
  <c r="O276" i="5"/>
  <c r="L276" i="5"/>
  <c r="H276" i="5"/>
  <c r="G276" i="5"/>
  <c r="T275" i="5"/>
  <c r="U275" i="5" s="1" a="1"/>
  <c r="U275" i="5" s="1"/>
  <c r="P275" i="5"/>
  <c r="Q275" i="5" s="1" a="1"/>
  <c r="Q275" i="5" s="1"/>
  <c r="O275" i="5"/>
  <c r="L275" i="5"/>
  <c r="H275" i="5"/>
  <c r="G275" i="5"/>
  <c r="T274" i="5"/>
  <c r="U274" i="5" s="1" a="1"/>
  <c r="U274" i="5" s="1"/>
  <c r="P274" i="5"/>
  <c r="Q274" i="5" s="1" a="1"/>
  <c r="Q274" i="5" s="1"/>
  <c r="O274" i="5"/>
  <c r="L274" i="5"/>
  <c r="H274" i="5"/>
  <c r="G274" i="5"/>
  <c r="T273" i="5"/>
  <c r="U273" i="5" s="1" a="1"/>
  <c r="U273" i="5" s="1"/>
  <c r="Q273" i="5" a="1"/>
  <c r="Q273" i="5" s="1"/>
  <c r="P273" i="5"/>
  <c r="O273" i="5"/>
  <c r="L273" i="5"/>
  <c r="H273" i="5"/>
  <c r="G273" i="5"/>
  <c r="T272" i="5"/>
  <c r="U272" i="5" s="1" a="1"/>
  <c r="U272" i="5" s="1"/>
  <c r="Q272" i="5" a="1"/>
  <c r="Q272" i="5" s="1"/>
  <c r="P272" i="5"/>
  <c r="O272" i="5"/>
  <c r="L272" i="5"/>
  <c r="H272" i="5"/>
  <c r="G272" i="5"/>
  <c r="T271" i="5"/>
  <c r="U271" i="5" s="1" a="1"/>
  <c r="U271" i="5" s="1"/>
  <c r="Q271" i="5" a="1"/>
  <c r="Q271" i="5" s="1"/>
  <c r="P271" i="5"/>
  <c r="O271" i="5"/>
  <c r="L271" i="5"/>
  <c r="H271" i="5"/>
  <c r="G271" i="5"/>
  <c r="T270" i="5"/>
  <c r="U270" i="5" s="1" a="1"/>
  <c r="U270" i="5" s="1"/>
  <c r="Q270" i="5" a="1"/>
  <c r="Q270" i="5" s="1"/>
  <c r="P270" i="5"/>
  <c r="O270" i="5"/>
  <c r="L270" i="5"/>
  <c r="H270" i="5"/>
  <c r="G270" i="5"/>
  <c r="T269" i="5"/>
  <c r="U269" i="5" s="1" a="1"/>
  <c r="U269" i="5" s="1"/>
  <c r="Q269" i="5" a="1"/>
  <c r="Q269" i="5" s="1"/>
  <c r="P269" i="5"/>
  <c r="O269" i="5"/>
  <c r="L269" i="5"/>
  <c r="H269" i="5"/>
  <c r="G269" i="5"/>
  <c r="T268" i="5"/>
  <c r="U268" i="5" s="1" a="1"/>
  <c r="U268" i="5" s="1"/>
  <c r="Q268" i="5" a="1"/>
  <c r="Q268" i="5" s="1"/>
  <c r="P268" i="5"/>
  <c r="O268" i="5"/>
  <c r="L268" i="5"/>
  <c r="H268" i="5"/>
  <c r="G268" i="5"/>
  <c r="T267" i="5"/>
  <c r="U267" i="5" s="1" a="1"/>
  <c r="U267" i="5" s="1"/>
  <c r="Q267" i="5" a="1"/>
  <c r="Q267" i="5" s="1"/>
  <c r="P267" i="5"/>
  <c r="O267" i="5"/>
  <c r="L267" i="5"/>
  <c r="H267" i="5"/>
  <c r="G267" i="5"/>
  <c r="T266" i="5"/>
  <c r="U266" i="5" s="1" a="1"/>
  <c r="U266" i="5" s="1"/>
  <c r="Q266" i="5" a="1"/>
  <c r="Q266" i="5" s="1"/>
  <c r="P266" i="5"/>
  <c r="O266" i="5"/>
  <c r="L266" i="5"/>
  <c r="H266" i="5"/>
  <c r="G266" i="5"/>
  <c r="T265" i="5"/>
  <c r="U265" i="5" s="1" a="1"/>
  <c r="U265" i="5" s="1"/>
  <c r="Q265" i="5" a="1"/>
  <c r="Q265" i="5" s="1"/>
  <c r="P265" i="5"/>
  <c r="O265" i="5"/>
  <c r="L265" i="5"/>
  <c r="H265" i="5"/>
  <c r="G265" i="5"/>
  <c r="T264" i="5"/>
  <c r="U264" i="5" s="1" a="1"/>
  <c r="U264" i="5" s="1"/>
  <c r="Q264" i="5" a="1"/>
  <c r="Q264" i="5" s="1"/>
  <c r="P264" i="5"/>
  <c r="O264" i="5"/>
  <c r="L264" i="5"/>
  <c r="H264" i="5"/>
  <c r="G264" i="5"/>
  <c r="T263" i="5"/>
  <c r="U263" i="5" s="1" a="1"/>
  <c r="U263" i="5" s="1"/>
  <c r="Q263" i="5" a="1"/>
  <c r="Q263" i="5" s="1"/>
  <c r="P263" i="5"/>
  <c r="O263" i="5"/>
  <c r="L263" i="5"/>
  <c r="H263" i="5"/>
  <c r="G263" i="5"/>
  <c r="T262" i="5"/>
  <c r="U262" i="5" s="1" a="1"/>
  <c r="U262" i="5" s="1"/>
  <c r="Q262" i="5" a="1"/>
  <c r="Q262" i="5" s="1"/>
  <c r="P262" i="5"/>
  <c r="O262" i="5"/>
  <c r="L262" i="5"/>
  <c r="H262" i="5"/>
  <c r="G262" i="5"/>
  <c r="T261" i="5"/>
  <c r="U261" i="5" s="1" a="1"/>
  <c r="U261" i="5" s="1"/>
  <c r="Q261" i="5" a="1"/>
  <c r="Q261" i="5" s="1"/>
  <c r="P261" i="5"/>
  <c r="O261" i="5"/>
  <c r="L261" i="5"/>
  <c r="H261" i="5"/>
  <c r="G261" i="5"/>
  <c r="T260" i="5"/>
  <c r="U260" i="5" s="1" a="1"/>
  <c r="U260" i="5" s="1"/>
  <c r="Q260" i="5" a="1"/>
  <c r="Q260" i="5" s="1"/>
  <c r="P260" i="5"/>
  <c r="O260" i="5"/>
  <c r="L260" i="5"/>
  <c r="H260" i="5"/>
  <c r="G260" i="5"/>
  <c r="T259" i="5"/>
  <c r="U259" i="5" s="1" a="1"/>
  <c r="U259" i="5" s="1"/>
  <c r="Q259" i="5" a="1"/>
  <c r="Q259" i="5" s="1"/>
  <c r="P259" i="5"/>
  <c r="O259" i="5"/>
  <c r="L259" i="5"/>
  <c r="H259" i="5"/>
  <c r="G259" i="5"/>
  <c r="T258" i="5"/>
  <c r="U258" i="5" s="1" a="1"/>
  <c r="U258" i="5" s="1"/>
  <c r="Q258" i="5" a="1"/>
  <c r="Q258" i="5" s="1"/>
  <c r="P258" i="5"/>
  <c r="O258" i="5"/>
  <c r="L258" i="5"/>
  <c r="H258" i="5"/>
  <c r="G258" i="5"/>
  <c r="T257" i="5"/>
  <c r="U257" i="5" s="1" a="1"/>
  <c r="U257" i="5" s="1"/>
  <c r="Q257" i="5" a="1"/>
  <c r="Q257" i="5" s="1"/>
  <c r="P257" i="5"/>
  <c r="O257" i="5"/>
  <c r="L257" i="5"/>
  <c r="H257" i="5"/>
  <c r="G257" i="5"/>
  <c r="T256" i="5"/>
  <c r="U256" i="5" s="1" a="1"/>
  <c r="U256" i="5" s="1"/>
  <c r="Q256" i="5" a="1"/>
  <c r="Q256" i="5" s="1"/>
  <c r="P256" i="5"/>
  <c r="O256" i="5"/>
  <c r="L256" i="5"/>
  <c r="H256" i="5"/>
  <c r="G256" i="5"/>
  <c r="T255" i="5"/>
  <c r="U255" i="5" s="1" a="1"/>
  <c r="U255" i="5" s="1"/>
  <c r="Q255" i="5" a="1"/>
  <c r="Q255" i="5" s="1"/>
  <c r="P255" i="5"/>
  <c r="O255" i="5"/>
  <c r="L255" i="5"/>
  <c r="H255" i="5"/>
  <c r="G255" i="5"/>
  <c r="T254" i="5"/>
  <c r="U254" i="5" s="1" a="1"/>
  <c r="U254" i="5" s="1"/>
  <c r="Q254" i="5" a="1"/>
  <c r="Q254" i="5" s="1"/>
  <c r="P254" i="5"/>
  <c r="O254" i="5"/>
  <c r="L254" i="5"/>
  <c r="H254" i="5"/>
  <c r="G254" i="5"/>
  <c r="T253" i="5"/>
  <c r="U253" i="5" s="1" a="1"/>
  <c r="U253" i="5" s="1"/>
  <c r="Q253" i="5" a="1"/>
  <c r="Q253" i="5" s="1"/>
  <c r="P253" i="5"/>
  <c r="O253" i="5"/>
  <c r="L253" i="5"/>
  <c r="H253" i="5"/>
  <c r="G253" i="5"/>
  <c r="T252" i="5"/>
  <c r="U252" i="5" s="1" a="1"/>
  <c r="U252" i="5" s="1"/>
  <c r="Q252" i="5" a="1"/>
  <c r="Q252" i="5" s="1"/>
  <c r="P252" i="5"/>
  <c r="O252" i="5"/>
  <c r="L252" i="5"/>
  <c r="H252" i="5"/>
  <c r="G252" i="5"/>
  <c r="T251" i="5"/>
  <c r="U251" i="5" s="1" a="1"/>
  <c r="U251" i="5" s="1"/>
  <c r="Q251" i="5" a="1"/>
  <c r="Q251" i="5" s="1"/>
  <c r="P251" i="5"/>
  <c r="O251" i="5"/>
  <c r="L251" i="5"/>
  <c r="H251" i="5"/>
  <c r="G251" i="5"/>
  <c r="T250" i="5"/>
  <c r="U250" i="5" s="1" a="1"/>
  <c r="U250" i="5" s="1"/>
  <c r="Q250" i="5" a="1"/>
  <c r="Q250" i="5" s="1"/>
  <c r="P250" i="5"/>
  <c r="O250" i="5"/>
  <c r="L250" i="5"/>
  <c r="H250" i="5"/>
  <c r="G250" i="5"/>
  <c r="T249" i="5"/>
  <c r="U249" i="5" s="1" a="1"/>
  <c r="U249" i="5" s="1"/>
  <c r="Q249" i="5" a="1"/>
  <c r="Q249" i="5" s="1"/>
  <c r="P249" i="5"/>
  <c r="O249" i="5"/>
  <c r="L249" i="5"/>
  <c r="H249" i="5"/>
  <c r="G249" i="5"/>
  <c r="T248" i="5"/>
  <c r="U248" i="5" s="1" a="1"/>
  <c r="U248" i="5" s="1"/>
  <c r="Q248" i="5" a="1"/>
  <c r="Q248" i="5" s="1"/>
  <c r="P248" i="5"/>
  <c r="O248" i="5"/>
  <c r="L248" i="5"/>
  <c r="H248" i="5"/>
  <c r="G248" i="5"/>
  <c r="T247" i="5"/>
  <c r="U247" i="5" s="1" a="1"/>
  <c r="U247" i="5" s="1"/>
  <c r="Q247" i="5" a="1"/>
  <c r="Q247" i="5" s="1"/>
  <c r="P247" i="5"/>
  <c r="O247" i="5"/>
  <c r="L247" i="5"/>
  <c r="H247" i="5"/>
  <c r="G247" i="5"/>
  <c r="T246" i="5"/>
  <c r="U246" i="5" s="1" a="1"/>
  <c r="U246" i="5" s="1"/>
  <c r="Q246" i="5" a="1"/>
  <c r="Q246" i="5" s="1"/>
  <c r="P246" i="5"/>
  <c r="O246" i="5"/>
  <c r="L246" i="5"/>
  <c r="H246" i="5"/>
  <c r="G246" i="5"/>
  <c r="T245" i="5"/>
  <c r="U245" i="5" s="1" a="1"/>
  <c r="U245" i="5" s="1"/>
  <c r="Q245" i="5" a="1"/>
  <c r="Q245" i="5" s="1"/>
  <c r="P245" i="5"/>
  <c r="O245" i="5"/>
  <c r="L245" i="5"/>
  <c r="H245" i="5"/>
  <c r="G245" i="5"/>
  <c r="T244" i="5"/>
  <c r="U244" i="5" s="1" a="1"/>
  <c r="U244" i="5" s="1"/>
  <c r="Q244" i="5" a="1"/>
  <c r="Q244" i="5" s="1"/>
  <c r="P244" i="5"/>
  <c r="O244" i="5"/>
  <c r="L244" i="5"/>
  <c r="H244" i="5"/>
  <c r="G244" i="5"/>
  <c r="T243" i="5"/>
  <c r="U243" i="5" s="1" a="1"/>
  <c r="U243" i="5" s="1"/>
  <c r="Q243" i="5" a="1"/>
  <c r="Q243" i="5" s="1"/>
  <c r="P243" i="5"/>
  <c r="O243" i="5"/>
  <c r="L243" i="5"/>
  <c r="H243" i="5"/>
  <c r="G243" i="5"/>
  <c r="T242" i="5"/>
  <c r="U242" i="5" s="1" a="1"/>
  <c r="U242" i="5" s="1"/>
  <c r="Q242" i="5" a="1"/>
  <c r="Q242" i="5" s="1"/>
  <c r="P242" i="5"/>
  <c r="O242" i="5"/>
  <c r="L242" i="5"/>
  <c r="H242" i="5"/>
  <c r="G242" i="5"/>
  <c r="T241" i="5"/>
  <c r="U241" i="5" s="1" a="1"/>
  <c r="U241" i="5" s="1"/>
  <c r="Q241" i="5" a="1"/>
  <c r="Q241" i="5" s="1"/>
  <c r="P241" i="5"/>
  <c r="O241" i="5"/>
  <c r="L241" i="5"/>
  <c r="H241" i="5"/>
  <c r="G241" i="5"/>
  <c r="T240" i="5"/>
  <c r="U240" i="5" s="1" a="1"/>
  <c r="U240" i="5" s="1"/>
  <c r="Q240" i="5" a="1"/>
  <c r="Q240" i="5" s="1"/>
  <c r="P240" i="5"/>
  <c r="O240" i="5"/>
  <c r="L240" i="5"/>
  <c r="H240" i="5"/>
  <c r="G240" i="5"/>
  <c r="T239" i="5"/>
  <c r="U239" i="5" s="1" a="1"/>
  <c r="U239" i="5" s="1"/>
  <c r="Q239" i="5" a="1"/>
  <c r="Q239" i="5" s="1"/>
  <c r="P239" i="5"/>
  <c r="O239" i="5"/>
  <c r="L239" i="5"/>
  <c r="H239" i="5"/>
  <c r="G239" i="5"/>
  <c r="T238" i="5"/>
  <c r="U238" i="5" s="1" a="1"/>
  <c r="U238" i="5" s="1"/>
  <c r="Q238" i="5" a="1"/>
  <c r="Q238" i="5" s="1"/>
  <c r="P238" i="5"/>
  <c r="O238" i="5"/>
  <c r="L238" i="5"/>
  <c r="H238" i="5"/>
  <c r="G238" i="5"/>
  <c r="T237" i="5"/>
  <c r="U237" i="5" s="1" a="1"/>
  <c r="U237" i="5" s="1"/>
  <c r="Q237" i="5" a="1"/>
  <c r="Q237" i="5" s="1"/>
  <c r="P237" i="5"/>
  <c r="O237" i="5"/>
  <c r="L237" i="5"/>
  <c r="H237" i="5"/>
  <c r="G237" i="5"/>
  <c r="T236" i="5"/>
  <c r="U236" i="5" s="1" a="1"/>
  <c r="U236" i="5" s="1"/>
  <c r="Q236" i="5" a="1"/>
  <c r="Q236" i="5" s="1"/>
  <c r="P236" i="5"/>
  <c r="O236" i="5"/>
  <c r="L236" i="5"/>
  <c r="H236" i="5"/>
  <c r="G236" i="5"/>
  <c r="T235" i="5"/>
  <c r="U235" i="5" s="1" a="1"/>
  <c r="U235" i="5" s="1"/>
  <c r="P235" i="5"/>
  <c r="Q235" i="5" s="1" a="1"/>
  <c r="Q235" i="5" s="1"/>
  <c r="O235" i="5"/>
  <c r="L235" i="5"/>
  <c r="H235" i="5"/>
  <c r="G235" i="5"/>
  <c r="U234" i="5" a="1"/>
  <c r="U234" i="5" s="1"/>
  <c r="T234" i="5"/>
  <c r="P234" i="5"/>
  <c r="Q234" i="5" s="1" a="1"/>
  <c r="Q234" i="5" s="1"/>
  <c r="O234" i="5"/>
  <c r="L234" i="5"/>
  <c r="H234" i="5"/>
  <c r="G234" i="5"/>
  <c r="U233" i="5" a="1"/>
  <c r="U233" i="5" s="1"/>
  <c r="T233" i="5"/>
  <c r="P233" i="5"/>
  <c r="Q233" i="5" s="1" a="1"/>
  <c r="Q233" i="5" s="1"/>
  <c r="O233" i="5"/>
  <c r="L233" i="5"/>
  <c r="H233" i="5"/>
  <c r="G233" i="5"/>
  <c r="U232" i="5" a="1"/>
  <c r="U232" i="5" s="1"/>
  <c r="T232" i="5"/>
  <c r="P232" i="5"/>
  <c r="Q232" i="5" s="1" a="1"/>
  <c r="Q232" i="5" s="1"/>
  <c r="O232" i="5"/>
  <c r="L232" i="5"/>
  <c r="H232" i="5"/>
  <c r="G232" i="5"/>
  <c r="U231" i="5" a="1"/>
  <c r="U231" i="5" s="1"/>
  <c r="T231" i="5"/>
  <c r="P231" i="5"/>
  <c r="Q231" i="5" s="1" a="1"/>
  <c r="Q231" i="5" s="1"/>
  <c r="O231" i="5"/>
  <c r="L231" i="5"/>
  <c r="H231" i="5"/>
  <c r="G231" i="5"/>
  <c r="U230" i="5" a="1"/>
  <c r="U230" i="5" s="1"/>
  <c r="T230" i="5"/>
  <c r="P230" i="5"/>
  <c r="Q230" i="5" s="1" a="1"/>
  <c r="Q230" i="5" s="1"/>
  <c r="O230" i="5"/>
  <c r="L230" i="5"/>
  <c r="H230" i="5"/>
  <c r="G230" i="5"/>
  <c r="U229" i="5" a="1"/>
  <c r="U229" i="5" s="1"/>
  <c r="T229" i="5"/>
  <c r="P229" i="5"/>
  <c r="Q229" i="5" s="1" a="1"/>
  <c r="Q229" i="5" s="1"/>
  <c r="O229" i="5"/>
  <c r="L229" i="5"/>
  <c r="H229" i="5"/>
  <c r="G229" i="5"/>
  <c r="U228" i="5" a="1"/>
  <c r="U228" i="5" s="1"/>
  <c r="T228" i="5"/>
  <c r="P228" i="5"/>
  <c r="Q228" i="5" s="1" a="1"/>
  <c r="Q228" i="5" s="1"/>
  <c r="O228" i="5"/>
  <c r="L228" i="5"/>
  <c r="H228" i="5"/>
  <c r="G228" i="5"/>
  <c r="U227" i="5" a="1"/>
  <c r="U227" i="5" s="1"/>
  <c r="T227" i="5"/>
  <c r="P227" i="5"/>
  <c r="Q227" i="5" s="1" a="1"/>
  <c r="Q227" i="5" s="1"/>
  <c r="O227" i="5"/>
  <c r="L227" i="5"/>
  <c r="H227" i="5"/>
  <c r="G227" i="5"/>
  <c r="U226" i="5" a="1"/>
  <c r="U226" i="5" s="1"/>
  <c r="T226" i="5"/>
  <c r="P226" i="5"/>
  <c r="Q226" i="5" s="1" a="1"/>
  <c r="Q226" i="5" s="1"/>
  <c r="O226" i="5"/>
  <c r="L226" i="5"/>
  <c r="H226" i="5"/>
  <c r="G226" i="5"/>
  <c r="U225" i="5" a="1"/>
  <c r="U225" i="5" s="1"/>
  <c r="T225" i="5"/>
  <c r="P225" i="5"/>
  <c r="Q225" i="5" s="1" a="1"/>
  <c r="Q225" i="5" s="1"/>
  <c r="O225" i="5"/>
  <c r="L225" i="5"/>
  <c r="H225" i="5"/>
  <c r="G225" i="5"/>
  <c r="U224" i="5" a="1"/>
  <c r="U224" i="5" s="1"/>
  <c r="T224" i="5"/>
  <c r="P224" i="5"/>
  <c r="Q224" i="5" s="1" a="1"/>
  <c r="Q224" i="5" s="1"/>
  <c r="O224" i="5"/>
  <c r="L224" i="5"/>
  <c r="H224" i="5"/>
  <c r="G224" i="5"/>
  <c r="U223" i="5" a="1"/>
  <c r="U223" i="5" s="1"/>
  <c r="T223" i="5"/>
  <c r="P223" i="5"/>
  <c r="Q223" i="5" s="1" a="1"/>
  <c r="Q223" i="5" s="1"/>
  <c r="O223" i="5"/>
  <c r="L223" i="5"/>
  <c r="H223" i="5"/>
  <c r="G223" i="5"/>
  <c r="U222" i="5" a="1"/>
  <c r="U222" i="5" s="1"/>
  <c r="T222" i="5"/>
  <c r="P222" i="5"/>
  <c r="Q222" i="5" s="1" a="1"/>
  <c r="Q222" i="5" s="1"/>
  <c r="O222" i="5"/>
  <c r="L222" i="5"/>
  <c r="H222" i="5"/>
  <c r="G222" i="5"/>
  <c r="U221" i="5" a="1"/>
  <c r="U221" i="5" s="1"/>
  <c r="T221" i="5"/>
  <c r="P221" i="5"/>
  <c r="Q221" i="5" s="1" a="1"/>
  <c r="Q221" i="5" s="1"/>
  <c r="O221" i="5"/>
  <c r="L221" i="5"/>
  <c r="H221" i="5"/>
  <c r="G221" i="5"/>
  <c r="U220" i="5" a="1"/>
  <c r="U220" i="5" s="1"/>
  <c r="T220" i="5"/>
  <c r="P220" i="5"/>
  <c r="Q220" i="5" s="1" a="1"/>
  <c r="Q220" i="5" s="1"/>
  <c r="O220" i="5"/>
  <c r="L220" i="5"/>
  <c r="H220" i="5"/>
  <c r="G220" i="5"/>
  <c r="U219" i="5" a="1"/>
  <c r="U219" i="5" s="1"/>
  <c r="T219" i="5"/>
  <c r="P219" i="5"/>
  <c r="Q219" i="5" s="1" a="1"/>
  <c r="Q219" i="5" s="1"/>
  <c r="O219" i="5"/>
  <c r="L219" i="5"/>
  <c r="H219" i="5"/>
  <c r="G219" i="5"/>
  <c r="U218" i="5" a="1"/>
  <c r="U218" i="5" s="1"/>
  <c r="T218" i="5"/>
  <c r="P218" i="5"/>
  <c r="Q218" i="5" s="1" a="1"/>
  <c r="Q218" i="5" s="1"/>
  <c r="O218" i="5"/>
  <c r="L218" i="5"/>
  <c r="H218" i="5"/>
  <c r="G218" i="5"/>
  <c r="T217" i="5"/>
  <c r="U217" i="5" s="1" a="1"/>
  <c r="U217" i="5" s="1"/>
  <c r="P217" i="5"/>
  <c r="Q217" i="5" s="1" a="1"/>
  <c r="Q217" i="5" s="1"/>
  <c r="L217" i="5"/>
  <c r="G217" i="5"/>
  <c r="T216" i="5"/>
  <c r="U216" i="5" s="1" a="1"/>
  <c r="U216" i="5" s="1"/>
  <c r="P216" i="5"/>
  <c r="Q216" i="5" s="1" a="1"/>
  <c r="Q216" i="5" s="1"/>
  <c r="L216" i="5"/>
  <c r="G216" i="5"/>
  <c r="U215" i="5" a="1"/>
  <c r="U215" i="5" s="1"/>
  <c r="T215" i="5"/>
  <c r="P215" i="5"/>
  <c r="Q215" i="5" s="1" a="1"/>
  <c r="Q215" i="5" s="1"/>
  <c r="L215" i="5"/>
  <c r="G215" i="5"/>
  <c r="T214" i="5"/>
  <c r="U214" i="5" s="1" a="1"/>
  <c r="U214" i="5" s="1"/>
  <c r="P214" i="5"/>
  <c r="Q214" i="5" s="1" a="1"/>
  <c r="Q214" i="5" s="1"/>
  <c r="L214" i="5"/>
  <c r="G214" i="5"/>
  <c r="T213" i="5"/>
  <c r="U213" i="5" s="1" a="1"/>
  <c r="U213" i="5" s="1"/>
  <c r="P213" i="5"/>
  <c r="Q213" i="5" s="1" a="1"/>
  <c r="Q213" i="5" s="1"/>
  <c r="L213" i="5"/>
  <c r="G213" i="5"/>
  <c r="T212" i="5"/>
  <c r="U212" i="5" s="1" a="1"/>
  <c r="U212" i="5" s="1"/>
  <c r="P212" i="5"/>
  <c r="Q212" i="5" s="1" a="1"/>
  <c r="Q212" i="5" s="1"/>
  <c r="L212" i="5"/>
  <c r="G212" i="5"/>
  <c r="U211" i="5" a="1"/>
  <c r="U211" i="5" s="1"/>
  <c r="T211" i="5"/>
  <c r="P211" i="5"/>
  <c r="Q211" i="5" s="1" a="1"/>
  <c r="Q211" i="5" s="1"/>
  <c r="L211" i="5"/>
  <c r="G211" i="5"/>
  <c r="T210" i="5"/>
  <c r="U210" i="5" s="1" a="1"/>
  <c r="U210" i="5" s="1"/>
  <c r="P210" i="5"/>
  <c r="Q210" i="5" s="1" a="1"/>
  <c r="Q210" i="5" s="1"/>
  <c r="L210" i="5"/>
  <c r="G210" i="5"/>
  <c r="T209" i="5"/>
  <c r="U209" i="5" s="1" a="1"/>
  <c r="U209" i="5" s="1"/>
  <c r="P209" i="5"/>
  <c r="Q209" i="5" s="1" a="1"/>
  <c r="Q209" i="5" s="1"/>
  <c r="L209" i="5"/>
  <c r="G209" i="5"/>
  <c r="T208" i="5"/>
  <c r="U208" i="5" s="1" a="1"/>
  <c r="U208" i="5" s="1"/>
  <c r="P208" i="5"/>
  <c r="Q208" i="5" s="1" a="1"/>
  <c r="Q208" i="5" s="1"/>
  <c r="L208" i="5"/>
  <c r="G208" i="5"/>
  <c r="U207" i="5" a="1"/>
  <c r="U207" i="5" s="1"/>
  <c r="T207" i="5"/>
  <c r="P207" i="5"/>
  <c r="Q207" i="5" s="1" a="1"/>
  <c r="Q207" i="5" s="1"/>
  <c r="L207" i="5"/>
  <c r="G207" i="5"/>
  <c r="T206" i="5"/>
  <c r="U206" i="5" s="1" a="1"/>
  <c r="U206" i="5" s="1"/>
  <c r="P206" i="5"/>
  <c r="Q206" i="5" s="1" a="1"/>
  <c r="Q206" i="5" s="1"/>
  <c r="L206" i="5"/>
  <c r="G206" i="5"/>
  <c r="T205" i="5"/>
  <c r="U205" i="5" s="1" a="1"/>
  <c r="U205" i="5" s="1"/>
  <c r="P205" i="5"/>
  <c r="Q205" i="5" s="1" a="1"/>
  <c r="Q205" i="5" s="1"/>
  <c r="L205" i="5"/>
  <c r="G205" i="5"/>
  <c r="T204" i="5"/>
  <c r="U204" i="5" s="1" a="1"/>
  <c r="U204" i="5" s="1"/>
  <c r="P204" i="5"/>
  <c r="Q204" i="5" s="1" a="1"/>
  <c r="Q204" i="5" s="1"/>
  <c r="L204" i="5"/>
  <c r="G204" i="5"/>
  <c r="U203" i="5" a="1"/>
  <c r="U203" i="5" s="1"/>
  <c r="T203" i="5"/>
  <c r="P203" i="5"/>
  <c r="Q203" i="5" s="1" a="1"/>
  <c r="Q203" i="5" s="1"/>
  <c r="L203" i="5"/>
  <c r="G203" i="5"/>
  <c r="T202" i="5"/>
  <c r="U202" i="5" s="1" a="1"/>
  <c r="U202" i="5" s="1"/>
  <c r="P202" i="5"/>
  <c r="Q202" i="5" s="1" a="1"/>
  <c r="Q202" i="5" s="1"/>
  <c r="L202" i="5"/>
  <c r="G202" i="5"/>
  <c r="T201" i="5"/>
  <c r="U201" i="5" s="1" a="1"/>
  <c r="U201" i="5" s="1"/>
  <c r="P201" i="5"/>
  <c r="Q201" i="5" s="1" a="1"/>
  <c r="Q201" i="5" s="1"/>
  <c r="L201" i="5"/>
  <c r="G201" i="5"/>
  <c r="T200" i="5"/>
  <c r="U200" i="5" s="1" a="1"/>
  <c r="U200" i="5" s="1"/>
  <c r="P200" i="5"/>
  <c r="Q200" i="5" s="1" a="1"/>
  <c r="Q200" i="5" s="1"/>
  <c r="L200" i="5"/>
  <c r="G200" i="5"/>
  <c r="U199" i="5" a="1"/>
  <c r="U199" i="5" s="1"/>
  <c r="T199" i="5"/>
  <c r="P199" i="5"/>
  <c r="Q199" i="5" s="1" a="1"/>
  <c r="Q199" i="5" s="1"/>
  <c r="L199" i="5"/>
  <c r="G199" i="5"/>
  <c r="T198" i="5"/>
  <c r="U198" i="5" s="1" a="1"/>
  <c r="U198" i="5" s="1"/>
  <c r="P198" i="5"/>
  <c r="Q198" i="5" s="1" a="1"/>
  <c r="Q198" i="5" s="1"/>
  <c r="L198" i="5"/>
  <c r="G198" i="5"/>
  <c r="T197" i="5"/>
  <c r="U197" i="5" s="1" a="1"/>
  <c r="U197" i="5" s="1"/>
  <c r="P197" i="5"/>
  <c r="Q197" i="5" s="1" a="1"/>
  <c r="Q197" i="5" s="1"/>
  <c r="L197" i="5"/>
  <c r="G197" i="5"/>
  <c r="T196" i="5"/>
  <c r="U196" i="5" s="1" a="1"/>
  <c r="U196" i="5" s="1"/>
  <c r="P196" i="5"/>
  <c r="Q196" i="5" s="1" a="1"/>
  <c r="Q196" i="5" s="1"/>
  <c r="L196" i="5"/>
  <c r="G196" i="5"/>
  <c r="U195" i="5" a="1"/>
  <c r="U195" i="5" s="1"/>
  <c r="T195" i="5"/>
  <c r="P195" i="5"/>
  <c r="Q195" i="5" s="1" a="1"/>
  <c r="Q195" i="5" s="1"/>
  <c r="L195" i="5"/>
  <c r="G195" i="5"/>
  <c r="T194" i="5"/>
  <c r="U194" i="5" s="1" a="1"/>
  <c r="U194" i="5" s="1"/>
  <c r="P194" i="5"/>
  <c r="Q194" i="5" s="1" a="1"/>
  <c r="Q194" i="5" s="1"/>
  <c r="L194" i="5"/>
  <c r="G194" i="5"/>
  <c r="T193" i="5"/>
  <c r="U193" i="5" s="1" a="1"/>
  <c r="U193" i="5" s="1"/>
  <c r="P193" i="5"/>
  <c r="Q193" i="5" s="1" a="1"/>
  <c r="Q193" i="5" s="1"/>
  <c r="L193" i="5"/>
  <c r="G193" i="5"/>
  <c r="T192" i="5"/>
  <c r="U192" i="5" s="1" a="1"/>
  <c r="U192" i="5" s="1"/>
  <c r="P192" i="5"/>
  <c r="Q192" i="5" s="1" a="1"/>
  <c r="Q192" i="5" s="1"/>
  <c r="L192" i="5"/>
  <c r="G192" i="5"/>
  <c r="U191" i="5" a="1"/>
  <c r="U191" i="5" s="1"/>
  <c r="T191" i="5"/>
  <c r="P191" i="5"/>
  <c r="Q191" i="5" s="1" a="1"/>
  <c r="Q191" i="5" s="1"/>
  <c r="L191" i="5"/>
  <c r="G191" i="5"/>
  <c r="T190" i="5"/>
  <c r="U190" i="5" s="1" a="1"/>
  <c r="U190" i="5" s="1"/>
  <c r="P190" i="5"/>
  <c r="Q190" i="5" s="1" a="1"/>
  <c r="Q190" i="5" s="1"/>
  <c r="L190" i="5"/>
  <c r="G190" i="5"/>
  <c r="T189" i="5"/>
  <c r="U189" i="5" s="1" a="1"/>
  <c r="U189" i="5" s="1"/>
  <c r="P189" i="5"/>
  <c r="Q189" i="5" s="1" a="1"/>
  <c r="Q189" i="5" s="1"/>
  <c r="L189" i="5"/>
  <c r="G189" i="5"/>
  <c r="T188" i="5"/>
  <c r="U188" i="5" s="1" a="1"/>
  <c r="U188" i="5" s="1"/>
  <c r="P188" i="5"/>
  <c r="Q188" i="5" s="1" a="1"/>
  <c r="Q188" i="5" s="1"/>
  <c r="L188" i="5"/>
  <c r="G188" i="5"/>
  <c r="U187" i="5" a="1"/>
  <c r="U187" i="5" s="1"/>
  <c r="T187" i="5"/>
  <c r="P187" i="5"/>
  <c r="Q187" i="5" s="1" a="1"/>
  <c r="Q187" i="5" s="1"/>
  <c r="L187" i="5"/>
  <c r="G187" i="5"/>
  <c r="T186" i="5"/>
  <c r="U186" i="5" s="1" a="1"/>
  <c r="U186" i="5" s="1"/>
  <c r="P186" i="5"/>
  <c r="Q186" i="5" s="1" a="1"/>
  <c r="Q186" i="5" s="1"/>
  <c r="L186" i="5"/>
  <c r="G186" i="5"/>
  <c r="T185" i="5"/>
  <c r="U185" i="5" s="1" a="1"/>
  <c r="U185" i="5" s="1"/>
  <c r="P185" i="5"/>
  <c r="Q185" i="5" s="1" a="1"/>
  <c r="Q185" i="5" s="1"/>
  <c r="L185" i="5"/>
  <c r="G185" i="5"/>
  <c r="T184" i="5"/>
  <c r="U184" i="5" s="1" a="1"/>
  <c r="U184" i="5" s="1"/>
  <c r="P184" i="5"/>
  <c r="Q184" i="5" s="1" a="1"/>
  <c r="Q184" i="5" s="1"/>
  <c r="L184" i="5"/>
  <c r="G184" i="5"/>
  <c r="U183" i="5" a="1"/>
  <c r="U183" i="5" s="1"/>
  <c r="T183" i="5"/>
  <c r="P183" i="5"/>
  <c r="Q183" i="5" s="1" a="1"/>
  <c r="Q183" i="5" s="1"/>
  <c r="L183" i="5"/>
  <c r="G183" i="5"/>
  <c r="T182" i="5"/>
  <c r="U182" i="5" s="1" a="1"/>
  <c r="U182" i="5" s="1"/>
  <c r="P182" i="5"/>
  <c r="Q182" i="5" s="1" a="1"/>
  <c r="Q182" i="5" s="1"/>
  <c r="L182" i="5"/>
  <c r="G182" i="5"/>
  <c r="T181" i="5"/>
  <c r="U181" i="5" s="1" a="1"/>
  <c r="U181" i="5" s="1"/>
  <c r="P181" i="5"/>
  <c r="Q181" i="5" s="1" a="1"/>
  <c r="Q181" i="5" s="1"/>
  <c r="L181" i="5"/>
  <c r="G181" i="5"/>
  <c r="T180" i="5"/>
  <c r="U180" i="5" s="1" a="1"/>
  <c r="U180" i="5" s="1"/>
  <c r="P180" i="5"/>
  <c r="Q180" i="5" s="1" a="1"/>
  <c r="Q180" i="5" s="1"/>
  <c r="L180" i="5"/>
  <c r="G180" i="5"/>
  <c r="T179" i="5"/>
  <c r="U179" i="5" s="1" a="1"/>
  <c r="U179" i="5" s="1"/>
  <c r="P179" i="5"/>
  <c r="Q179" i="5" s="1" a="1"/>
  <c r="Q179" i="5" s="1"/>
  <c r="L179" i="5"/>
  <c r="G179" i="5"/>
  <c r="T178" i="5"/>
  <c r="U178" i="5" s="1" a="1"/>
  <c r="U178" i="5" s="1"/>
  <c r="P178" i="5"/>
  <c r="Q178" i="5" s="1" a="1"/>
  <c r="Q178" i="5" s="1"/>
  <c r="L178" i="5"/>
  <c r="G178" i="5"/>
  <c r="T177" i="5"/>
  <c r="U177" i="5" s="1" a="1"/>
  <c r="U177" i="5" s="1"/>
  <c r="P177" i="5"/>
  <c r="Q177" i="5" s="1" a="1"/>
  <c r="Q177" i="5" s="1"/>
  <c r="L177" i="5"/>
  <c r="G177" i="5"/>
  <c r="T176" i="5"/>
  <c r="U176" i="5" s="1" a="1"/>
  <c r="U176" i="5" s="1"/>
  <c r="P176" i="5"/>
  <c r="Q176" i="5" s="1" a="1"/>
  <c r="Q176" i="5" s="1"/>
  <c r="L176" i="5"/>
  <c r="G176" i="5"/>
  <c r="T175" i="5"/>
  <c r="U175" i="5" s="1" a="1"/>
  <c r="U175" i="5" s="1"/>
  <c r="P175" i="5"/>
  <c r="Q175" i="5" s="1" a="1"/>
  <c r="Q175" i="5" s="1"/>
  <c r="L175" i="5"/>
  <c r="G175" i="5"/>
  <c r="T174" i="5"/>
  <c r="U174" i="5" s="1" a="1"/>
  <c r="U174" i="5" s="1"/>
  <c r="P174" i="5"/>
  <c r="Q174" i="5" s="1" a="1"/>
  <c r="Q174" i="5" s="1"/>
  <c r="L174" i="5"/>
  <c r="G174" i="5"/>
  <c r="T173" i="5"/>
  <c r="U173" i="5" s="1" a="1"/>
  <c r="U173" i="5" s="1"/>
  <c r="P173" i="5"/>
  <c r="Q173" i="5" s="1" a="1"/>
  <c r="Q173" i="5" s="1"/>
  <c r="L173" i="5"/>
  <c r="G173" i="5"/>
  <c r="T172" i="5"/>
  <c r="U172" i="5" s="1" a="1"/>
  <c r="U172" i="5" s="1"/>
  <c r="P172" i="5"/>
  <c r="Q172" i="5" s="1" a="1"/>
  <c r="Q172" i="5" s="1"/>
  <c r="L172" i="5"/>
  <c r="G172" i="5"/>
  <c r="T171" i="5"/>
  <c r="U171" i="5" s="1" a="1"/>
  <c r="U171" i="5" s="1"/>
  <c r="P171" i="5"/>
  <c r="Q171" i="5" s="1" a="1"/>
  <c r="Q171" i="5" s="1"/>
  <c r="L171" i="5"/>
  <c r="G171" i="5"/>
  <c r="T170" i="5"/>
  <c r="U170" i="5" s="1" a="1"/>
  <c r="U170" i="5" s="1"/>
  <c r="P170" i="5"/>
  <c r="Q170" i="5" s="1" a="1"/>
  <c r="Q170" i="5" s="1"/>
  <c r="L170" i="5"/>
  <c r="G170" i="5"/>
  <c r="T169" i="5"/>
  <c r="U169" i="5" s="1" a="1"/>
  <c r="U169" i="5" s="1"/>
  <c r="P169" i="5"/>
  <c r="Q169" i="5" s="1" a="1"/>
  <c r="Q169" i="5" s="1"/>
  <c r="L169" i="5"/>
  <c r="G169" i="5"/>
  <c r="T168" i="5"/>
  <c r="U168" i="5" s="1" a="1"/>
  <c r="U168" i="5" s="1"/>
  <c r="P168" i="5"/>
  <c r="Q168" i="5" s="1" a="1"/>
  <c r="Q168" i="5" s="1"/>
  <c r="L168" i="5"/>
  <c r="G168" i="5"/>
  <c r="T167" i="5"/>
  <c r="U167" i="5" s="1" a="1"/>
  <c r="U167" i="5" s="1"/>
  <c r="P167" i="5"/>
  <c r="Q167" i="5" s="1" a="1"/>
  <c r="Q167" i="5" s="1"/>
  <c r="L167" i="5"/>
  <c r="G167" i="5"/>
  <c r="T166" i="5"/>
  <c r="U166" i="5" s="1" a="1"/>
  <c r="U166" i="5" s="1"/>
  <c r="P166" i="5"/>
  <c r="Q166" i="5" s="1" a="1"/>
  <c r="Q166" i="5" s="1"/>
  <c r="L166" i="5"/>
  <c r="G166" i="5"/>
  <c r="T165" i="5"/>
  <c r="U165" i="5" s="1" a="1"/>
  <c r="U165" i="5" s="1"/>
  <c r="P165" i="5"/>
  <c r="Q165" i="5" s="1" a="1"/>
  <c r="Q165" i="5" s="1"/>
  <c r="L165" i="5"/>
  <c r="G165" i="5"/>
  <c r="T164" i="5"/>
  <c r="U164" i="5" s="1" a="1"/>
  <c r="U164" i="5" s="1"/>
  <c r="P164" i="5"/>
  <c r="Q164" i="5" s="1" a="1"/>
  <c r="Q164" i="5" s="1"/>
  <c r="L164" i="5"/>
  <c r="G164" i="5"/>
  <c r="T163" i="5"/>
  <c r="U163" i="5" s="1" a="1"/>
  <c r="U163" i="5" s="1"/>
  <c r="P163" i="5"/>
  <c r="Q163" i="5" s="1" a="1"/>
  <c r="Q163" i="5" s="1"/>
  <c r="L163" i="5"/>
  <c r="G163" i="5"/>
  <c r="T162" i="5"/>
  <c r="U162" i="5" s="1" a="1"/>
  <c r="U162" i="5" s="1"/>
  <c r="P162" i="5"/>
  <c r="Q162" i="5" s="1" a="1"/>
  <c r="Q162" i="5" s="1"/>
  <c r="L162" i="5"/>
  <c r="G162" i="5"/>
  <c r="T161" i="5"/>
  <c r="U161" i="5" s="1" a="1"/>
  <c r="U161" i="5" s="1"/>
  <c r="P161" i="5"/>
  <c r="Q161" i="5" s="1" a="1"/>
  <c r="Q161" i="5" s="1"/>
  <c r="L161" i="5"/>
  <c r="G161" i="5"/>
  <c r="T160" i="5"/>
  <c r="U160" i="5" s="1" a="1"/>
  <c r="U160" i="5" s="1"/>
  <c r="P160" i="5"/>
  <c r="Q160" i="5" s="1" a="1"/>
  <c r="Q160" i="5" s="1"/>
  <c r="L160" i="5"/>
  <c r="G160" i="5"/>
  <c r="T159" i="5"/>
  <c r="U159" i="5" s="1" a="1"/>
  <c r="U159" i="5" s="1"/>
  <c r="P159" i="5"/>
  <c r="Q159" i="5" s="1" a="1"/>
  <c r="Q159" i="5" s="1"/>
  <c r="L159" i="5"/>
  <c r="G159" i="5"/>
  <c r="T158" i="5"/>
  <c r="U158" i="5" s="1" a="1"/>
  <c r="U158" i="5" s="1"/>
  <c r="P158" i="5"/>
  <c r="Q158" i="5" s="1" a="1"/>
  <c r="Q158" i="5" s="1"/>
  <c r="L158" i="5"/>
  <c r="G158" i="5"/>
  <c r="T157" i="5"/>
  <c r="U157" i="5" s="1" a="1"/>
  <c r="U157" i="5" s="1"/>
  <c r="P157" i="5"/>
  <c r="Q157" i="5" s="1" a="1"/>
  <c r="Q157" i="5" s="1"/>
  <c r="L157" i="5"/>
  <c r="G157" i="5"/>
  <c r="T156" i="5"/>
  <c r="U156" i="5" s="1" a="1"/>
  <c r="U156" i="5" s="1"/>
  <c r="P156" i="5"/>
  <c r="Q156" i="5" s="1" a="1"/>
  <c r="Q156" i="5" s="1"/>
  <c r="L156" i="5"/>
  <c r="G156" i="5"/>
  <c r="T155" i="5"/>
  <c r="U155" i="5" s="1" a="1"/>
  <c r="U155" i="5" s="1"/>
  <c r="P155" i="5"/>
  <c r="Q155" i="5" s="1" a="1"/>
  <c r="Q155" i="5" s="1"/>
  <c r="L155" i="5"/>
  <c r="G155" i="5"/>
  <c r="T154" i="5"/>
  <c r="U154" i="5" s="1" a="1"/>
  <c r="U154" i="5" s="1"/>
  <c r="P154" i="5"/>
  <c r="Q154" i="5" s="1" a="1"/>
  <c r="Q154" i="5" s="1"/>
  <c r="L154" i="5"/>
  <c r="G154" i="5"/>
  <c r="T153" i="5"/>
  <c r="U153" i="5" s="1" a="1"/>
  <c r="U153" i="5" s="1"/>
  <c r="P153" i="5"/>
  <c r="Q153" i="5" s="1" a="1"/>
  <c r="Q153" i="5" s="1"/>
  <c r="L153" i="5"/>
  <c r="G153" i="5"/>
  <c r="T152" i="5"/>
  <c r="U152" i="5" s="1" a="1"/>
  <c r="U152" i="5" s="1"/>
  <c r="P152" i="5"/>
  <c r="Q152" i="5" s="1" a="1"/>
  <c r="Q152" i="5" s="1"/>
  <c r="L152" i="5"/>
  <c r="G152" i="5"/>
  <c r="T151" i="5"/>
  <c r="U151" i="5" s="1" a="1"/>
  <c r="U151" i="5" s="1"/>
  <c r="P151" i="5"/>
  <c r="Q151" i="5" s="1" a="1"/>
  <c r="Q151" i="5" s="1"/>
  <c r="L151" i="5"/>
  <c r="G151" i="5"/>
  <c r="T150" i="5"/>
  <c r="U150" i="5" s="1" a="1"/>
  <c r="U150" i="5" s="1"/>
  <c r="P150" i="5"/>
  <c r="Q150" i="5" s="1" a="1"/>
  <c r="Q150" i="5" s="1"/>
  <c r="L150" i="5"/>
  <c r="G150" i="5"/>
  <c r="T149" i="5"/>
  <c r="U149" i="5" s="1" a="1"/>
  <c r="U149" i="5" s="1"/>
  <c r="P149" i="5"/>
  <c r="Q149" i="5" s="1" a="1"/>
  <c r="Q149" i="5" s="1"/>
  <c r="L149" i="5"/>
  <c r="G149" i="5"/>
  <c r="T148" i="5"/>
  <c r="U148" i="5" s="1" a="1"/>
  <c r="U148" i="5" s="1"/>
  <c r="P148" i="5"/>
  <c r="Q148" i="5" s="1" a="1"/>
  <c r="Q148" i="5" s="1"/>
  <c r="L148" i="5"/>
  <c r="G148" i="5"/>
  <c r="T147" i="5"/>
  <c r="U147" i="5" s="1" a="1"/>
  <c r="U147" i="5" s="1"/>
  <c r="P147" i="5"/>
  <c r="Q147" i="5" s="1" a="1"/>
  <c r="Q147" i="5" s="1"/>
  <c r="L147" i="5"/>
  <c r="G147" i="5"/>
  <c r="T146" i="5"/>
  <c r="U146" i="5" s="1" a="1"/>
  <c r="U146" i="5" s="1"/>
  <c r="P146" i="5"/>
  <c r="Q146" i="5" s="1" a="1"/>
  <c r="Q146" i="5" s="1"/>
  <c r="L146" i="5"/>
  <c r="G146" i="5"/>
  <c r="T145" i="5"/>
  <c r="U145" i="5" s="1" a="1"/>
  <c r="U145" i="5" s="1"/>
  <c r="P145" i="5"/>
  <c r="Q145" i="5" s="1" a="1"/>
  <c r="Q145" i="5" s="1"/>
  <c r="L145" i="5"/>
  <c r="G145" i="5"/>
  <c r="T144" i="5"/>
  <c r="U144" i="5" s="1" a="1"/>
  <c r="U144" i="5" s="1"/>
  <c r="P144" i="5"/>
  <c r="Q144" i="5" s="1" a="1"/>
  <c r="Q144" i="5" s="1"/>
  <c r="L144" i="5"/>
  <c r="G144" i="5"/>
  <c r="T143" i="5"/>
  <c r="U143" i="5" s="1" a="1"/>
  <c r="U143" i="5" s="1"/>
  <c r="P143" i="5"/>
  <c r="Q143" i="5" s="1" a="1"/>
  <c r="Q143" i="5" s="1"/>
  <c r="L143" i="5"/>
  <c r="G143" i="5"/>
  <c r="T142" i="5"/>
  <c r="U142" i="5" s="1" a="1"/>
  <c r="U142" i="5" s="1"/>
  <c r="P142" i="5"/>
  <c r="Q142" i="5" s="1" a="1"/>
  <c r="Q142" i="5" s="1"/>
  <c r="L142" i="5"/>
  <c r="G142" i="5"/>
  <c r="T141" i="5"/>
  <c r="U141" i="5" s="1" a="1"/>
  <c r="U141" i="5" s="1"/>
  <c r="P141" i="5"/>
  <c r="Q141" i="5" s="1" a="1"/>
  <c r="Q141" i="5" s="1"/>
  <c r="L141" i="5"/>
  <c r="G141" i="5"/>
  <c r="T140" i="5"/>
  <c r="U140" i="5" s="1" a="1"/>
  <c r="U140" i="5" s="1"/>
  <c r="P140" i="5"/>
  <c r="Q140" i="5" s="1" a="1"/>
  <c r="Q140" i="5" s="1"/>
  <c r="L140" i="5"/>
  <c r="G140" i="5"/>
  <c r="T139" i="5"/>
  <c r="U139" i="5" s="1" a="1"/>
  <c r="U139" i="5" s="1"/>
  <c r="P139" i="5"/>
  <c r="Q139" i="5" s="1" a="1"/>
  <c r="Q139" i="5" s="1"/>
  <c r="L139" i="5"/>
  <c r="G139" i="5"/>
  <c r="T138" i="5"/>
  <c r="U138" i="5" s="1" a="1"/>
  <c r="U138" i="5" s="1"/>
  <c r="P138" i="5"/>
  <c r="Q138" i="5" s="1" a="1"/>
  <c r="Q138" i="5" s="1"/>
  <c r="L138" i="5"/>
  <c r="G138" i="5"/>
  <c r="T137" i="5"/>
  <c r="U137" i="5" s="1" a="1"/>
  <c r="U137" i="5" s="1"/>
  <c r="P137" i="5"/>
  <c r="Q137" i="5" s="1" a="1"/>
  <c r="Q137" i="5" s="1"/>
  <c r="L137" i="5"/>
  <c r="G137" i="5"/>
  <c r="T136" i="5"/>
  <c r="U136" i="5" s="1" a="1"/>
  <c r="U136" i="5" s="1"/>
  <c r="P136" i="5"/>
  <c r="Q136" i="5" s="1" a="1"/>
  <c r="Q136" i="5" s="1"/>
  <c r="L136" i="5"/>
  <c r="G136" i="5"/>
  <c r="T135" i="5"/>
  <c r="U135" i="5" s="1" a="1"/>
  <c r="U135" i="5" s="1"/>
  <c r="P135" i="5"/>
  <c r="Q135" i="5" s="1" a="1"/>
  <c r="Q135" i="5" s="1"/>
  <c r="L135" i="5"/>
  <c r="G135" i="5"/>
  <c r="T134" i="5"/>
  <c r="U134" i="5" s="1" a="1"/>
  <c r="U134" i="5" s="1"/>
  <c r="P134" i="5"/>
  <c r="Q134" i="5" s="1" a="1"/>
  <c r="Q134" i="5" s="1"/>
  <c r="L134" i="5"/>
  <c r="G134" i="5"/>
  <c r="T133" i="5"/>
  <c r="U133" i="5" s="1" a="1"/>
  <c r="U133" i="5" s="1"/>
  <c r="P133" i="5"/>
  <c r="Q133" i="5" s="1" a="1"/>
  <c r="Q133" i="5" s="1"/>
  <c r="L133" i="5"/>
  <c r="G133" i="5"/>
  <c r="T132" i="5"/>
  <c r="U132" i="5" s="1" a="1"/>
  <c r="U132" i="5" s="1"/>
  <c r="P132" i="5"/>
  <c r="Q132" i="5" s="1" a="1"/>
  <c r="Q132" i="5" s="1"/>
  <c r="L132" i="5"/>
  <c r="G132" i="5"/>
  <c r="T131" i="5"/>
  <c r="U131" i="5" s="1" a="1"/>
  <c r="U131" i="5" s="1"/>
  <c r="P131" i="5"/>
  <c r="Q131" i="5" s="1" a="1"/>
  <c r="Q131" i="5" s="1"/>
  <c r="L131" i="5"/>
  <c r="G131" i="5"/>
  <c r="T130" i="5"/>
  <c r="U130" i="5" s="1" a="1"/>
  <c r="U130" i="5" s="1"/>
  <c r="P130" i="5"/>
  <c r="Q130" i="5" s="1" a="1"/>
  <c r="Q130" i="5" s="1"/>
  <c r="L130" i="5"/>
  <c r="G130" i="5"/>
  <c r="T129" i="5"/>
  <c r="U129" i="5" s="1" a="1"/>
  <c r="U129" i="5" s="1"/>
  <c r="P129" i="5"/>
  <c r="Q129" i="5" s="1" a="1"/>
  <c r="Q129" i="5" s="1"/>
  <c r="L129" i="5"/>
  <c r="G129" i="5"/>
  <c r="T128" i="5"/>
  <c r="U128" i="5" s="1" a="1"/>
  <c r="U128" i="5" s="1"/>
  <c r="P128" i="5"/>
  <c r="Q128" i="5" s="1" a="1"/>
  <c r="Q128" i="5" s="1"/>
  <c r="L128" i="5"/>
  <c r="G128" i="5"/>
  <c r="T127" i="5"/>
  <c r="U127" i="5" s="1" a="1"/>
  <c r="U127" i="5" s="1"/>
  <c r="P127" i="5"/>
  <c r="Q127" i="5" s="1" a="1"/>
  <c r="Q127" i="5" s="1"/>
  <c r="L127" i="5"/>
  <c r="G127" i="5"/>
  <c r="T126" i="5"/>
  <c r="U126" i="5" s="1" a="1"/>
  <c r="U126" i="5" s="1"/>
  <c r="P126" i="5"/>
  <c r="Q126" i="5" s="1" a="1"/>
  <c r="Q126" i="5" s="1"/>
  <c r="L126" i="5"/>
  <c r="G126" i="5"/>
  <c r="T125" i="5"/>
  <c r="U125" i="5" s="1" a="1"/>
  <c r="U125" i="5" s="1"/>
  <c r="P125" i="5"/>
  <c r="Q125" i="5" s="1" a="1"/>
  <c r="Q125" i="5" s="1"/>
  <c r="L125" i="5"/>
  <c r="G125" i="5"/>
  <c r="T124" i="5"/>
  <c r="U124" i="5" s="1" a="1"/>
  <c r="U124" i="5" s="1"/>
  <c r="P124" i="5"/>
  <c r="Q124" i="5" s="1" a="1"/>
  <c r="Q124" i="5" s="1"/>
  <c r="L124" i="5"/>
  <c r="G124" i="5"/>
  <c r="T123" i="5"/>
  <c r="U123" i="5" s="1" a="1"/>
  <c r="U123" i="5" s="1"/>
  <c r="P123" i="5"/>
  <c r="Q123" i="5" s="1" a="1"/>
  <c r="Q123" i="5" s="1"/>
  <c r="L123" i="5"/>
  <c r="G123" i="5"/>
  <c r="T122" i="5"/>
  <c r="U122" i="5" s="1" a="1"/>
  <c r="U122" i="5" s="1"/>
  <c r="P122" i="5"/>
  <c r="Q122" i="5" s="1" a="1"/>
  <c r="Q122" i="5" s="1"/>
  <c r="L122" i="5"/>
  <c r="G122" i="5"/>
  <c r="T121" i="5"/>
  <c r="U121" i="5" s="1" a="1"/>
  <c r="U121" i="5" s="1"/>
  <c r="P121" i="5"/>
  <c r="Q121" i="5" s="1" a="1"/>
  <c r="Q121" i="5" s="1"/>
  <c r="L121" i="5"/>
  <c r="G121" i="5"/>
  <c r="T120" i="5"/>
  <c r="U120" i="5" s="1" a="1"/>
  <c r="U120" i="5" s="1"/>
  <c r="P120" i="5"/>
  <c r="Q120" i="5" s="1" a="1"/>
  <c r="Q120" i="5" s="1"/>
  <c r="L120" i="5"/>
  <c r="G120" i="5"/>
  <c r="T119" i="5"/>
  <c r="U119" i="5" s="1" a="1"/>
  <c r="U119" i="5" s="1"/>
  <c r="P119" i="5"/>
  <c r="Q119" i="5" s="1" a="1"/>
  <c r="Q119" i="5" s="1"/>
  <c r="L119" i="5"/>
  <c r="G119" i="5"/>
  <c r="T118" i="5"/>
  <c r="U118" i="5" s="1" a="1"/>
  <c r="U118" i="5" s="1"/>
  <c r="P118" i="5"/>
  <c r="Q118" i="5" s="1" a="1"/>
  <c r="Q118" i="5" s="1"/>
  <c r="L118" i="5"/>
  <c r="G118" i="5"/>
  <c r="T117" i="5"/>
  <c r="U117" i="5" s="1" a="1"/>
  <c r="U117" i="5" s="1"/>
  <c r="P117" i="5"/>
  <c r="Q117" i="5" s="1" a="1"/>
  <c r="Q117" i="5" s="1"/>
  <c r="L117" i="5"/>
  <c r="G117" i="5"/>
  <c r="T116" i="5"/>
  <c r="U116" i="5" s="1" a="1"/>
  <c r="U116" i="5" s="1"/>
  <c r="P116" i="5"/>
  <c r="Q116" i="5" s="1" a="1"/>
  <c r="Q116" i="5" s="1"/>
  <c r="L116" i="5"/>
  <c r="G116" i="5"/>
  <c r="T115" i="5"/>
  <c r="U115" i="5" s="1" a="1"/>
  <c r="U115" i="5" s="1"/>
  <c r="P115" i="5"/>
  <c r="Q115" i="5" s="1" a="1"/>
  <c r="Q115" i="5" s="1"/>
  <c r="L115" i="5"/>
  <c r="G115" i="5"/>
  <c r="T114" i="5"/>
  <c r="U114" i="5" s="1" a="1"/>
  <c r="U114" i="5" s="1"/>
  <c r="P114" i="5"/>
  <c r="Q114" i="5" s="1" a="1"/>
  <c r="Q114" i="5" s="1"/>
  <c r="L114" i="5"/>
  <c r="G114" i="5"/>
  <c r="U113" i="5" a="1"/>
  <c r="U113" i="5" s="1"/>
  <c r="T113" i="5"/>
  <c r="P113" i="5"/>
  <c r="Q113" i="5" s="1" a="1"/>
  <c r="Q113" i="5" s="1"/>
  <c r="L113" i="5"/>
  <c r="G113" i="5"/>
  <c r="T112" i="5"/>
  <c r="U112" i="5" s="1" a="1"/>
  <c r="U112" i="5" s="1"/>
  <c r="P112" i="5"/>
  <c r="Q112" i="5" s="1" a="1"/>
  <c r="Q112" i="5" s="1"/>
  <c r="L112" i="5"/>
  <c r="G112" i="5"/>
  <c r="T111" i="5"/>
  <c r="U111" i="5" s="1" a="1"/>
  <c r="U111" i="5" s="1"/>
  <c r="P111" i="5"/>
  <c r="Q111" i="5" s="1" a="1"/>
  <c r="Q111" i="5" s="1"/>
  <c r="L111" i="5"/>
  <c r="G111" i="5"/>
  <c r="T110" i="5"/>
  <c r="U110" i="5" s="1" a="1"/>
  <c r="U110" i="5" s="1"/>
  <c r="P110" i="5"/>
  <c r="Q110" i="5" s="1" a="1"/>
  <c r="Q110" i="5" s="1"/>
  <c r="L110" i="5"/>
  <c r="G110" i="5"/>
  <c r="U109" i="5" a="1"/>
  <c r="U109" i="5" s="1"/>
  <c r="T109" i="5"/>
  <c r="P109" i="5"/>
  <c r="Q109" i="5" s="1" a="1"/>
  <c r="Q109" i="5" s="1"/>
  <c r="L109" i="5"/>
  <c r="G109" i="5"/>
  <c r="T108" i="5"/>
  <c r="U108" i="5" s="1" a="1"/>
  <c r="U108" i="5" s="1"/>
  <c r="P108" i="5"/>
  <c r="Q108" i="5" s="1" a="1"/>
  <c r="Q108" i="5" s="1"/>
  <c r="L108" i="5"/>
  <c r="G108" i="5"/>
  <c r="T107" i="5"/>
  <c r="U107" i="5" s="1" a="1"/>
  <c r="U107" i="5" s="1"/>
  <c r="P107" i="5"/>
  <c r="Q107" i="5" s="1" a="1"/>
  <c r="Q107" i="5" s="1"/>
  <c r="L107" i="5"/>
  <c r="G107" i="5"/>
  <c r="T106" i="5"/>
  <c r="U106" i="5" s="1" a="1"/>
  <c r="U106" i="5" s="1"/>
  <c r="P106" i="5"/>
  <c r="Q106" i="5" s="1" a="1"/>
  <c r="Q106" i="5" s="1"/>
  <c r="L106" i="5"/>
  <c r="G106" i="5"/>
  <c r="U105" i="5" a="1"/>
  <c r="U105" i="5" s="1"/>
  <c r="T105" i="5"/>
  <c r="P105" i="5"/>
  <c r="Q105" i="5" s="1" a="1"/>
  <c r="Q105" i="5" s="1"/>
  <c r="L105" i="5"/>
  <c r="G105" i="5"/>
  <c r="T104" i="5"/>
  <c r="U104" i="5" s="1" a="1"/>
  <c r="U104" i="5" s="1"/>
  <c r="P104" i="5"/>
  <c r="Q104" i="5" s="1" a="1"/>
  <c r="Q104" i="5" s="1"/>
  <c r="L104" i="5"/>
  <c r="G104" i="5"/>
  <c r="T103" i="5"/>
  <c r="U103" i="5" s="1" a="1"/>
  <c r="U103" i="5" s="1"/>
  <c r="P103" i="5"/>
  <c r="Q103" i="5" s="1" a="1"/>
  <c r="Q103" i="5" s="1"/>
  <c r="L103" i="5"/>
  <c r="G103" i="5"/>
  <c r="T102" i="5"/>
  <c r="U102" i="5" s="1" a="1"/>
  <c r="U102" i="5" s="1"/>
  <c r="P102" i="5"/>
  <c r="Q102" i="5" s="1" a="1"/>
  <c r="Q102" i="5" s="1"/>
  <c r="L102" i="5"/>
  <c r="G102" i="5"/>
  <c r="U101" i="5" a="1"/>
  <c r="U101" i="5" s="1"/>
  <c r="T101" i="5"/>
  <c r="P101" i="5"/>
  <c r="Q101" i="5" s="1" a="1"/>
  <c r="Q101" i="5" s="1"/>
  <c r="L101" i="5"/>
  <c r="G101" i="5"/>
  <c r="T100" i="5"/>
  <c r="U100" i="5" s="1" a="1"/>
  <c r="U100" i="5" s="1"/>
  <c r="P100" i="5"/>
  <c r="Q100" i="5" s="1" a="1"/>
  <c r="Q100" i="5" s="1"/>
  <c r="L100" i="5"/>
  <c r="G100" i="5"/>
  <c r="T99" i="5"/>
  <c r="U99" i="5" s="1" a="1"/>
  <c r="U99" i="5" s="1"/>
  <c r="P99" i="5"/>
  <c r="Q99" i="5" s="1" a="1"/>
  <c r="Q99" i="5" s="1"/>
  <c r="L99" i="5"/>
  <c r="G99" i="5"/>
  <c r="T98" i="5"/>
  <c r="U98" i="5" s="1" a="1"/>
  <c r="U98" i="5" s="1"/>
  <c r="P98" i="5"/>
  <c r="Q98" i="5" s="1" a="1"/>
  <c r="Q98" i="5" s="1"/>
  <c r="L98" i="5"/>
  <c r="G98" i="5"/>
  <c r="U97" i="5" a="1"/>
  <c r="U97" i="5" s="1"/>
  <c r="T97" i="5"/>
  <c r="P97" i="5"/>
  <c r="Q97" i="5" s="1" a="1"/>
  <c r="Q97" i="5" s="1"/>
  <c r="L97" i="5"/>
  <c r="G97" i="5"/>
  <c r="T96" i="5"/>
  <c r="U96" i="5" s="1" a="1"/>
  <c r="U96" i="5" s="1"/>
  <c r="P96" i="5"/>
  <c r="Q96" i="5" s="1" a="1"/>
  <c r="Q96" i="5" s="1"/>
  <c r="L96" i="5"/>
  <c r="G96" i="5"/>
  <c r="T95" i="5"/>
  <c r="U95" i="5" s="1" a="1"/>
  <c r="U95" i="5" s="1"/>
  <c r="P95" i="5"/>
  <c r="Q95" i="5" s="1" a="1"/>
  <c r="Q95" i="5" s="1"/>
  <c r="L95" i="5"/>
  <c r="G95" i="5"/>
  <c r="T94" i="5"/>
  <c r="U94" i="5" s="1" a="1"/>
  <c r="U94" i="5" s="1"/>
  <c r="P94" i="5"/>
  <c r="Q94" i="5" s="1" a="1"/>
  <c r="Q94" i="5" s="1"/>
  <c r="L94" i="5"/>
  <c r="G94" i="5"/>
  <c r="T93" i="5"/>
  <c r="P93" i="5"/>
  <c r="L93" i="5"/>
  <c r="G93" i="5"/>
  <c r="T92" i="5"/>
  <c r="P92" i="5"/>
  <c r="L92" i="5"/>
  <c r="G92" i="5"/>
  <c r="T91" i="5"/>
  <c r="P91" i="5"/>
  <c r="L91" i="5"/>
  <c r="G91" i="5"/>
  <c r="T90" i="5"/>
  <c r="P90" i="5"/>
  <c r="L90" i="5"/>
  <c r="G90" i="5"/>
  <c r="T89" i="5"/>
  <c r="P89" i="5"/>
  <c r="L89" i="5"/>
  <c r="G89" i="5"/>
  <c r="T88" i="5"/>
  <c r="P88" i="5"/>
  <c r="L88" i="5"/>
  <c r="G88" i="5"/>
  <c r="T87" i="5"/>
  <c r="P87" i="5"/>
  <c r="L87" i="5"/>
  <c r="G87" i="5"/>
  <c r="T86" i="5"/>
  <c r="P86" i="5"/>
  <c r="L86" i="5"/>
  <c r="G86" i="5"/>
  <c r="T85" i="5"/>
  <c r="P85" i="5"/>
  <c r="L85" i="5"/>
  <c r="G85" i="5"/>
  <c r="T84" i="5"/>
  <c r="P84" i="5"/>
  <c r="L84" i="5"/>
  <c r="G84" i="5"/>
  <c r="T83" i="5"/>
  <c r="P83" i="5"/>
  <c r="L83" i="5"/>
  <c r="G83" i="5"/>
  <c r="T82" i="5"/>
  <c r="P82" i="5"/>
  <c r="L82" i="5"/>
  <c r="G82" i="5"/>
  <c r="T81" i="5"/>
  <c r="P81" i="5"/>
  <c r="L81" i="5"/>
  <c r="G81" i="5"/>
  <c r="T80" i="5"/>
  <c r="P80" i="5"/>
  <c r="L80" i="5"/>
  <c r="G80" i="5"/>
  <c r="T79" i="5"/>
  <c r="P79" i="5"/>
  <c r="L79" i="5"/>
  <c r="G79" i="5"/>
  <c r="T78" i="5"/>
  <c r="P78" i="5"/>
  <c r="L78" i="5"/>
  <c r="G78" i="5"/>
  <c r="T77" i="5"/>
  <c r="P77" i="5"/>
  <c r="L77" i="5"/>
  <c r="G77" i="5"/>
  <c r="T76" i="5"/>
  <c r="P76" i="5"/>
  <c r="L76" i="5"/>
  <c r="G76" i="5"/>
  <c r="T75" i="5"/>
  <c r="P75" i="5"/>
  <c r="L75" i="5"/>
  <c r="G75" i="5"/>
  <c r="T74" i="5"/>
  <c r="P74" i="5"/>
  <c r="L74" i="5"/>
  <c r="G74" i="5"/>
  <c r="T73" i="5"/>
  <c r="P73" i="5"/>
  <c r="L73" i="5"/>
  <c r="G73" i="5"/>
  <c r="T72" i="5"/>
  <c r="P72" i="5"/>
  <c r="L72" i="5"/>
  <c r="G72" i="5"/>
  <c r="T71" i="5"/>
  <c r="P71" i="5"/>
  <c r="L71" i="5"/>
  <c r="G71" i="5"/>
  <c r="T70" i="5"/>
  <c r="P70" i="5"/>
  <c r="L70" i="5"/>
  <c r="G70" i="5"/>
  <c r="T69" i="5"/>
  <c r="P69" i="5"/>
  <c r="L69" i="5"/>
  <c r="G69" i="5"/>
  <c r="T68" i="5"/>
  <c r="P68" i="5"/>
  <c r="L68" i="5"/>
  <c r="G68" i="5"/>
  <c r="T67" i="5"/>
  <c r="P67" i="5"/>
  <c r="L67" i="5"/>
  <c r="G67" i="5"/>
  <c r="T66" i="5"/>
  <c r="P66" i="5"/>
  <c r="L66" i="5"/>
  <c r="G66" i="5"/>
  <c r="T65" i="5"/>
  <c r="P65" i="5"/>
  <c r="L65" i="5"/>
  <c r="G65" i="5"/>
  <c r="T64" i="5"/>
  <c r="P64" i="5"/>
  <c r="L64" i="5"/>
  <c r="G64" i="5"/>
  <c r="T63" i="5"/>
  <c r="P63" i="5"/>
  <c r="L63" i="5"/>
  <c r="G63" i="5"/>
  <c r="T62" i="5"/>
  <c r="P62" i="5"/>
  <c r="L62" i="5"/>
  <c r="G62" i="5"/>
  <c r="T61" i="5"/>
  <c r="P61" i="5"/>
  <c r="L61" i="5"/>
  <c r="G61" i="5"/>
  <c r="T60" i="5"/>
  <c r="P60" i="5"/>
  <c r="L60" i="5"/>
  <c r="G60" i="5"/>
  <c r="T59" i="5"/>
  <c r="P59" i="5"/>
  <c r="L59" i="5"/>
  <c r="G59" i="5"/>
  <c r="T58" i="5"/>
  <c r="P58" i="5"/>
  <c r="L58" i="5"/>
  <c r="G58" i="5"/>
  <c r="T57" i="5"/>
  <c r="P57" i="5"/>
  <c r="L57" i="5"/>
  <c r="G57" i="5"/>
  <c r="T56" i="5"/>
  <c r="P56" i="5"/>
  <c r="L56" i="5"/>
  <c r="G56" i="5"/>
  <c r="T55" i="5"/>
  <c r="P55" i="5"/>
  <c r="L55" i="5"/>
  <c r="G55" i="5"/>
  <c r="T54" i="5"/>
  <c r="P54" i="5"/>
  <c r="L54" i="5"/>
  <c r="G54" i="5"/>
  <c r="T53" i="5"/>
  <c r="P53" i="5"/>
  <c r="L53" i="5"/>
  <c r="G53" i="5"/>
  <c r="T52" i="5"/>
  <c r="P52" i="5"/>
  <c r="L52" i="5"/>
  <c r="G52" i="5"/>
  <c r="T51" i="5"/>
  <c r="P51" i="5"/>
  <c r="L51" i="5"/>
  <c r="G51" i="5"/>
  <c r="T50" i="5"/>
  <c r="P50" i="5"/>
  <c r="L50" i="5"/>
  <c r="G50" i="5"/>
  <c r="T49" i="5"/>
  <c r="P49" i="5"/>
  <c r="L49" i="5"/>
  <c r="G49" i="5"/>
  <c r="T48" i="5"/>
  <c r="P48" i="5"/>
  <c r="L48" i="5"/>
  <c r="G48" i="5"/>
  <c r="T47" i="5"/>
  <c r="P47" i="5"/>
  <c r="L47" i="5"/>
  <c r="G47" i="5"/>
  <c r="T46" i="5"/>
  <c r="P46" i="5"/>
  <c r="L46" i="5"/>
  <c r="G46" i="5"/>
  <c r="T45" i="5"/>
  <c r="P45" i="5"/>
  <c r="L45" i="5"/>
  <c r="G45" i="5"/>
  <c r="T44" i="5"/>
  <c r="P44" i="5"/>
  <c r="L44" i="5"/>
  <c r="G44" i="5"/>
  <c r="T43" i="5"/>
  <c r="P43" i="5"/>
  <c r="L43" i="5"/>
  <c r="G43" i="5"/>
  <c r="T42" i="5"/>
  <c r="P42" i="5"/>
  <c r="L42" i="5"/>
  <c r="G42" i="5"/>
  <c r="T41" i="5"/>
  <c r="P41" i="5"/>
  <c r="L41" i="5"/>
  <c r="G41" i="5"/>
  <c r="T40" i="5"/>
  <c r="P40" i="5"/>
  <c r="L40" i="5"/>
  <c r="G40" i="5"/>
  <c r="T39" i="5"/>
  <c r="P39" i="5"/>
  <c r="L39" i="5"/>
  <c r="G39" i="5"/>
  <c r="T38" i="5"/>
  <c r="P38" i="5"/>
  <c r="L38" i="5"/>
  <c r="G38" i="5"/>
  <c r="T37" i="5"/>
  <c r="P37" i="5"/>
  <c r="L37" i="5"/>
  <c r="G37" i="5"/>
  <c r="T36" i="5"/>
  <c r="P36" i="5"/>
  <c r="L36" i="5"/>
  <c r="G36" i="5"/>
  <c r="T35" i="5"/>
  <c r="P35" i="5"/>
  <c r="L35" i="5"/>
  <c r="G35" i="5"/>
  <c r="T34" i="5"/>
  <c r="P34" i="5"/>
  <c r="L34" i="5"/>
  <c r="G34" i="5"/>
  <c r="T33" i="5"/>
  <c r="P33" i="5"/>
  <c r="L33" i="5"/>
  <c r="G33" i="5"/>
  <c r="T32" i="5"/>
  <c r="P32" i="5"/>
  <c r="L32" i="5"/>
  <c r="G32" i="5"/>
  <c r="T31" i="5"/>
  <c r="P31" i="5"/>
  <c r="L31" i="5"/>
  <c r="G31" i="5"/>
  <c r="T30" i="5"/>
  <c r="P30" i="5"/>
  <c r="L30" i="5"/>
  <c r="G30" i="5"/>
  <c r="T29" i="5"/>
  <c r="P29" i="5"/>
  <c r="L29" i="5"/>
  <c r="G29" i="5"/>
  <c r="T28" i="5"/>
  <c r="P28" i="5"/>
  <c r="L28" i="5"/>
  <c r="G28" i="5"/>
  <c r="T27" i="5"/>
  <c r="P27" i="5"/>
  <c r="L27" i="5"/>
  <c r="G27" i="5"/>
  <c r="T26" i="5"/>
  <c r="P26" i="5"/>
  <c r="L26" i="5"/>
  <c r="G26" i="5"/>
  <c r="T25" i="5"/>
  <c r="P25" i="5"/>
  <c r="L25" i="5"/>
  <c r="G25" i="5"/>
  <c r="T24" i="5"/>
  <c r="P24" i="5"/>
  <c r="L24" i="5"/>
  <c r="G24" i="5"/>
  <c r="T23" i="5"/>
  <c r="P23" i="5"/>
  <c r="L23" i="5"/>
  <c r="G23" i="5"/>
  <c r="T22" i="5"/>
  <c r="P22" i="5"/>
  <c r="L22" i="5"/>
  <c r="G22" i="5"/>
  <c r="T21" i="5"/>
  <c r="P21" i="5"/>
  <c r="L21" i="5"/>
  <c r="G21" i="5"/>
  <c r="T20" i="5"/>
  <c r="P20" i="5"/>
  <c r="L20" i="5"/>
  <c r="G20" i="5"/>
  <c r="T19" i="5"/>
  <c r="P19" i="5"/>
  <c r="L19" i="5"/>
  <c r="G19" i="5"/>
  <c r="T18" i="5"/>
  <c r="P18" i="5"/>
  <c r="L18" i="5"/>
  <c r="G18" i="5"/>
  <c r="T17" i="5"/>
  <c r="P17" i="5"/>
  <c r="L17" i="5"/>
  <c r="G17" i="5"/>
  <c r="T16" i="5"/>
  <c r="P16" i="5"/>
  <c r="L16" i="5"/>
  <c r="G16" i="5"/>
  <c r="T15" i="5"/>
  <c r="P15" i="5"/>
  <c r="L15" i="5"/>
  <c r="G15" i="5"/>
  <c r="T14" i="5"/>
  <c r="P14" i="5"/>
  <c r="L14" i="5"/>
  <c r="G14" i="5"/>
  <c r="T13" i="5"/>
  <c r="P13" i="5"/>
  <c r="L13" i="5"/>
  <c r="G13" i="5"/>
  <c r="T12" i="5"/>
  <c r="P12" i="5"/>
  <c r="L12" i="5"/>
  <c r="G12" i="5"/>
  <c r="T11" i="5"/>
  <c r="P11" i="5"/>
  <c r="L11" i="5"/>
  <c r="G11" i="5"/>
  <c r="T10" i="5"/>
  <c r="P10" i="5"/>
  <c r="L10" i="5"/>
  <c r="G10" i="5"/>
  <c r="T9" i="5"/>
  <c r="P9" i="5"/>
  <c r="L9" i="5"/>
  <c r="G9" i="5"/>
  <c r="T8" i="5"/>
  <c r="P8" i="5"/>
  <c r="L8" i="5"/>
  <c r="G8" i="5"/>
  <c r="T7" i="5"/>
  <c r="P7" i="5"/>
  <c r="L7" i="5"/>
  <c r="G7" i="5"/>
  <c r="T6" i="5"/>
  <c r="P6" i="5"/>
  <c r="L6" i="5"/>
  <c r="G6" i="5"/>
  <c r="T5" i="5"/>
  <c r="P5" i="5"/>
  <c r="L5" i="5"/>
  <c r="G5" i="5"/>
  <c r="T4" i="5"/>
  <c r="P4" i="5"/>
  <c r="L4" i="5"/>
  <c r="G4" i="5"/>
  <c r="T3" i="5"/>
  <c r="P3" i="5"/>
  <c r="L3" i="5"/>
  <c r="G3" i="5"/>
  <c r="T2" i="5"/>
  <c r="P2" i="5"/>
  <c r="L2" i="5"/>
  <c r="G2" i="5"/>
  <c r="S218" i="2" l="1"/>
  <c r="I218" i="5" s="1"/>
  <c r="S219" i="2"/>
  <c r="I219" i="5" s="1"/>
  <c r="S220" i="2"/>
  <c r="I220" i="5" s="1"/>
  <c r="S221" i="2"/>
  <c r="I221" i="5" s="1"/>
  <c r="S222" i="2"/>
  <c r="I222" i="5" s="1"/>
  <c r="S223" i="2"/>
  <c r="I223" i="5" s="1"/>
  <c r="S224" i="2"/>
  <c r="I224" i="5" s="1"/>
  <c r="S225" i="2"/>
  <c r="I225" i="5" s="1"/>
  <c r="S226" i="2"/>
  <c r="I226" i="5" s="1"/>
  <c r="S227" i="2"/>
  <c r="I227" i="5" s="1"/>
  <c r="S228" i="2"/>
  <c r="I228" i="5" s="1"/>
  <c r="S229" i="2"/>
  <c r="I229" i="5" s="1"/>
  <c r="S230" i="2"/>
  <c r="I230" i="5" s="1"/>
  <c r="S231" i="2"/>
  <c r="I231" i="5" s="1"/>
  <c r="S232" i="2"/>
  <c r="I232" i="5" s="1"/>
  <c r="S233" i="2"/>
  <c r="I233" i="5" s="1"/>
  <c r="S234" i="2"/>
  <c r="I234" i="5" s="1"/>
  <c r="S235" i="2"/>
  <c r="I235" i="5" s="1"/>
  <c r="S236" i="2"/>
  <c r="I236" i="5" s="1"/>
  <c r="S237" i="2"/>
  <c r="I237" i="5" s="1"/>
  <c r="S238" i="2"/>
  <c r="I238" i="5" s="1"/>
  <c r="S239" i="2"/>
  <c r="I239" i="5" s="1"/>
  <c r="S240" i="2"/>
  <c r="I240" i="5" s="1"/>
  <c r="S241" i="2"/>
  <c r="I241" i="5" s="1"/>
  <c r="S242" i="2"/>
  <c r="I242" i="5" s="1"/>
  <c r="S243" i="2"/>
  <c r="I243" i="5" s="1"/>
  <c r="S244" i="2"/>
  <c r="I244" i="5" s="1"/>
  <c r="S245" i="2"/>
  <c r="I245" i="5" s="1"/>
  <c r="S246" i="2"/>
  <c r="I246" i="5" s="1"/>
  <c r="S247" i="2"/>
  <c r="I247" i="5" s="1"/>
  <c r="S248" i="2"/>
  <c r="I248" i="5" s="1"/>
  <c r="S249" i="2"/>
  <c r="I249" i="5" s="1"/>
  <c r="S250" i="2"/>
  <c r="I250" i="5" s="1"/>
  <c r="S251" i="2"/>
  <c r="I251" i="5" s="1"/>
  <c r="S252" i="2"/>
  <c r="I252" i="5" s="1"/>
  <c r="S253" i="2"/>
  <c r="I253" i="5" s="1"/>
  <c r="S254" i="2"/>
  <c r="I254" i="5" s="1"/>
  <c r="S255" i="2"/>
  <c r="I255" i="5" s="1"/>
  <c r="S256" i="2"/>
  <c r="I256" i="5" s="1"/>
  <c r="S257" i="2"/>
  <c r="I257" i="5" s="1"/>
  <c r="S258" i="2"/>
  <c r="I258" i="5" s="1"/>
  <c r="S259" i="2"/>
  <c r="I259" i="5" s="1"/>
  <c r="S260" i="2"/>
  <c r="I260" i="5" s="1"/>
  <c r="S261" i="2"/>
  <c r="I261" i="5" s="1"/>
  <c r="S262" i="2"/>
  <c r="I262" i="5" s="1"/>
  <c r="S263" i="2"/>
  <c r="I263" i="5" s="1"/>
  <c r="S264" i="2"/>
  <c r="I264" i="5" s="1"/>
  <c r="S265" i="2"/>
  <c r="I265" i="5" s="1"/>
  <c r="S266" i="2"/>
  <c r="I266" i="5" s="1"/>
  <c r="S267" i="2"/>
  <c r="I267" i="5" s="1"/>
  <c r="S268" i="2"/>
  <c r="I268" i="5" s="1"/>
  <c r="S269" i="2"/>
  <c r="I269" i="5" s="1"/>
  <c r="S270" i="2"/>
  <c r="I270" i="5" s="1"/>
  <c r="S271" i="2"/>
  <c r="I271" i="5" s="1"/>
  <c r="S272" i="2"/>
  <c r="I272" i="5" s="1"/>
  <c r="S273" i="2"/>
  <c r="I273" i="5" s="1"/>
  <c r="S274" i="2"/>
  <c r="I274" i="5" s="1"/>
  <c r="S275" i="2"/>
  <c r="I275" i="5" s="1"/>
  <c r="S276" i="2"/>
  <c r="I276" i="5" s="1"/>
  <c r="S277" i="2"/>
  <c r="I277" i="5" s="1"/>
  <c r="S278" i="2"/>
  <c r="I278" i="5" s="1"/>
  <c r="S279" i="2"/>
  <c r="I279" i="5" s="1"/>
  <c r="S280" i="2"/>
  <c r="I280" i="5" s="1"/>
  <c r="S281" i="2"/>
  <c r="I281" i="5" s="1"/>
  <c r="S282" i="2"/>
  <c r="I282" i="5" s="1"/>
  <c r="S283" i="2"/>
  <c r="I283" i="5" s="1"/>
  <c r="S284" i="2"/>
  <c r="I284" i="5" s="1"/>
  <c r="S285" i="2"/>
  <c r="I285" i="5" s="1"/>
  <c r="S286" i="2"/>
  <c r="I286" i="5" s="1"/>
  <c r="S287" i="2"/>
  <c r="I287" i="5" s="1"/>
  <c r="S288" i="2"/>
  <c r="I288" i="5" s="1"/>
  <c r="S289" i="2"/>
  <c r="I289" i="5" s="1"/>
  <c r="S290" i="2"/>
  <c r="I290" i="5" s="1"/>
  <c r="S291" i="2"/>
  <c r="I291" i="5" s="1"/>
  <c r="S292" i="2"/>
  <c r="I292" i="5" s="1"/>
  <c r="S293" i="2"/>
  <c r="I293" i="5" s="1"/>
  <c r="S294" i="2"/>
  <c r="I294" i="5" s="1"/>
  <c r="S295" i="2"/>
  <c r="I295" i="5" s="1"/>
  <c r="S296" i="2"/>
  <c r="I296" i="5" s="1"/>
  <c r="S297" i="2"/>
  <c r="I297" i="5" s="1"/>
  <c r="S298" i="2"/>
  <c r="I298" i="5" s="1"/>
  <c r="S299" i="2"/>
  <c r="I299" i="5" s="1"/>
  <c r="S300" i="2"/>
  <c r="I300" i="5" s="1"/>
  <c r="S301" i="2"/>
  <c r="I301" i="5" s="1"/>
  <c r="S302" i="2"/>
  <c r="I302" i="5" s="1"/>
  <c r="S303" i="2"/>
  <c r="I303" i="5" s="1"/>
  <c r="S304" i="2"/>
  <c r="I304" i="5" s="1"/>
  <c r="S305" i="2"/>
  <c r="I305" i="5" s="1"/>
  <c r="S306" i="2"/>
  <c r="I306" i="5" s="1"/>
  <c r="S307" i="2"/>
  <c r="I307" i="5" s="1"/>
  <c r="S308" i="2"/>
  <c r="I308" i="5" s="1"/>
  <c r="S309" i="2"/>
  <c r="I309" i="5" s="1"/>
  <c r="S310" i="2"/>
  <c r="I310" i="5" s="1"/>
  <c r="S311" i="2"/>
  <c r="I311" i="5" s="1"/>
  <c r="S312" i="2"/>
  <c r="I312" i="5" s="1"/>
  <c r="S313" i="2"/>
  <c r="I313" i="5" s="1"/>
  <c r="S314" i="2"/>
  <c r="I314" i="5" s="1"/>
  <c r="S315" i="2"/>
  <c r="I315" i="5" s="1"/>
  <c r="S316" i="2"/>
  <c r="I316" i="5" s="1"/>
  <c r="S317" i="2"/>
  <c r="I317" i="5" s="1"/>
  <c r="S318" i="2"/>
  <c r="I318" i="5" s="1"/>
  <c r="S319" i="2"/>
  <c r="I319" i="5" s="1"/>
  <c r="S320" i="2"/>
  <c r="I320" i="5" s="1"/>
  <c r="S321" i="2"/>
  <c r="I321" i="5" s="1"/>
  <c r="S322" i="2"/>
  <c r="I322" i="5" s="1"/>
  <c r="S323" i="2"/>
  <c r="I323" i="5" s="1"/>
  <c r="S324" i="2"/>
  <c r="I324" i="5" s="1"/>
  <c r="S325" i="2"/>
  <c r="I325" i="5" s="1"/>
  <c r="S326" i="2"/>
  <c r="I326" i="5" s="1"/>
  <c r="S327" i="2"/>
  <c r="I327" i="5" s="1"/>
  <c r="S328" i="2"/>
  <c r="I328" i="5" s="1"/>
  <c r="S329" i="2"/>
  <c r="I329" i="5" s="1"/>
  <c r="S330" i="2"/>
  <c r="I330" i="5" s="1"/>
  <c r="S331" i="2"/>
  <c r="I331" i="5" s="1"/>
  <c r="S332" i="2"/>
  <c r="I332" i="5" s="1"/>
  <c r="S333" i="2"/>
  <c r="I333" i="5" s="1"/>
  <c r="S334" i="2"/>
  <c r="I334" i="5" s="1"/>
  <c r="S335" i="2"/>
  <c r="I335" i="5" s="1"/>
  <c r="S336" i="2"/>
  <c r="I336" i="5" s="1"/>
  <c r="S337" i="2"/>
  <c r="I337" i="5" s="1"/>
  <c r="S338" i="2"/>
  <c r="I338" i="5" s="1"/>
  <c r="S339" i="2"/>
  <c r="I339" i="5" s="1"/>
  <c r="S340" i="2"/>
  <c r="I340" i="5" s="1"/>
  <c r="S341" i="2"/>
  <c r="I341" i="5" s="1"/>
  <c r="S342" i="2"/>
  <c r="I342" i="5" s="1"/>
  <c r="S343" i="2"/>
  <c r="I343" i="5" s="1"/>
  <c r="S344" i="2"/>
  <c r="I344" i="5" s="1"/>
  <c r="S345" i="2"/>
  <c r="I345" i="5" s="1"/>
  <c r="S346" i="2"/>
  <c r="I346" i="5" s="1"/>
  <c r="S347" i="2"/>
  <c r="I347" i="5" s="1"/>
  <c r="S348" i="2"/>
  <c r="I348" i="5" s="1"/>
  <c r="S349" i="2"/>
  <c r="I349" i="5" s="1"/>
  <c r="S350" i="2"/>
  <c r="I350" i="5" s="1"/>
  <c r="S351" i="2"/>
  <c r="I351" i="5" s="1"/>
  <c r="S352" i="2"/>
  <c r="I352" i="5" s="1"/>
  <c r="S353" i="2"/>
  <c r="I353" i="5" s="1"/>
  <c r="S354" i="2"/>
  <c r="I354" i="5" s="1"/>
  <c r="S355" i="2"/>
  <c r="I355" i="5" s="1"/>
  <c r="S356" i="2"/>
  <c r="I356" i="5" s="1"/>
  <c r="S357" i="2"/>
  <c r="I357" i="5" s="1"/>
  <c r="S358" i="2"/>
  <c r="I358" i="5" s="1"/>
  <c r="S359" i="2"/>
  <c r="I359" i="5" s="1"/>
  <c r="S360" i="2"/>
  <c r="I360" i="5" s="1"/>
  <c r="S361" i="2"/>
  <c r="I361" i="5" s="1"/>
  <c r="S362" i="2"/>
  <c r="I362" i="5" s="1"/>
  <c r="S363" i="2"/>
  <c r="I363" i="5" s="1"/>
  <c r="S364" i="2"/>
  <c r="I364" i="5" s="1"/>
  <c r="S365" i="2"/>
  <c r="I365" i="5" s="1"/>
  <c r="S366" i="2"/>
  <c r="I366" i="5" s="1"/>
  <c r="S367" i="2"/>
  <c r="I367" i="5" s="1"/>
  <c r="S368" i="2"/>
  <c r="I368" i="5" s="1"/>
  <c r="S369" i="2"/>
  <c r="I369" i="5" s="1"/>
  <c r="S370" i="2"/>
  <c r="I370" i="5" s="1"/>
  <c r="S371" i="2"/>
  <c r="I371" i="5" s="1"/>
  <c r="S372" i="2"/>
  <c r="I372" i="5" s="1"/>
  <c r="S373" i="2"/>
  <c r="I373" i="5" s="1"/>
  <c r="S374" i="2"/>
  <c r="I374" i="5" s="1"/>
  <c r="S375" i="2"/>
  <c r="I375" i="5" s="1"/>
  <c r="S376" i="2"/>
  <c r="I376" i="5" s="1"/>
  <c r="S377" i="2"/>
  <c r="I377" i="5" s="1"/>
  <c r="S378" i="2"/>
  <c r="I378" i="5" s="1"/>
  <c r="S379" i="2"/>
  <c r="I379" i="5" s="1"/>
  <c r="S380" i="2"/>
  <c r="I380" i="5" s="1"/>
  <c r="S381" i="2"/>
  <c r="I381" i="5" s="1"/>
  <c r="S382" i="2"/>
  <c r="I382" i="5" s="1"/>
  <c r="S383" i="2"/>
  <c r="I383" i="5" s="1"/>
  <c r="S384" i="2"/>
  <c r="I384" i="5" s="1"/>
  <c r="S385" i="2"/>
  <c r="I385" i="5" s="1"/>
  <c r="S386" i="2"/>
  <c r="I386" i="5" s="1"/>
  <c r="S387" i="2"/>
  <c r="I387" i="5" s="1"/>
  <c r="S388" i="2"/>
  <c r="I388" i="5" s="1"/>
  <c r="S389" i="2"/>
  <c r="I389" i="5" s="1"/>
  <c r="S390" i="2"/>
  <c r="I390" i="5" s="1"/>
  <c r="S391" i="2"/>
  <c r="I391" i="5" s="1"/>
  <c r="S392" i="2"/>
  <c r="I392" i="5" s="1"/>
  <c r="S393" i="2"/>
  <c r="I393" i="5" s="1"/>
  <c r="S394" i="2"/>
  <c r="I394" i="5" s="1"/>
  <c r="S395" i="2"/>
  <c r="I395" i="5" s="1"/>
  <c r="S396" i="2"/>
  <c r="I396" i="5" s="1"/>
  <c r="S397" i="2"/>
  <c r="I397" i="5" s="1"/>
  <c r="S398" i="2"/>
  <c r="I398" i="5" s="1"/>
  <c r="S399" i="2"/>
  <c r="I399" i="5" s="1"/>
  <c r="S400" i="2"/>
  <c r="I400" i="5" s="1"/>
  <c r="S401" i="2" l="1"/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I2" i="5"/>
  <c r="O2" i="5"/>
  <c r="I3" i="5"/>
  <c r="O3" i="5"/>
  <c r="I4" i="5"/>
  <c r="O4" i="5"/>
  <c r="I5" i="5"/>
  <c r="O5" i="5"/>
  <c r="I6" i="5"/>
  <c r="O6" i="5"/>
  <c r="I7" i="5"/>
  <c r="O7" i="5"/>
  <c r="I8" i="5"/>
  <c r="O8" i="5"/>
  <c r="I9" i="5"/>
  <c r="O9" i="5"/>
  <c r="I10" i="5"/>
  <c r="O10" i="5"/>
  <c r="I11" i="5"/>
  <c r="O11" i="5"/>
  <c r="I12" i="5"/>
  <c r="O12" i="5"/>
  <c r="I13" i="5"/>
  <c r="O13" i="5"/>
  <c r="I14" i="5"/>
  <c r="O14" i="5"/>
  <c r="I15" i="5"/>
  <c r="O15" i="5"/>
  <c r="I16" i="5"/>
  <c r="O16" i="5"/>
  <c r="I17" i="5"/>
  <c r="O17" i="5"/>
  <c r="I18" i="5"/>
  <c r="O18" i="5"/>
  <c r="I19" i="5"/>
  <c r="O19" i="5"/>
  <c r="I20" i="5"/>
  <c r="O20" i="5"/>
  <c r="I21" i="5"/>
  <c r="O21" i="5"/>
  <c r="I22" i="5"/>
  <c r="O22" i="5"/>
  <c r="I23" i="5"/>
  <c r="O23" i="5"/>
  <c r="I24" i="5"/>
  <c r="O24" i="5"/>
  <c r="I25" i="5"/>
  <c r="O25" i="5"/>
  <c r="I26" i="5"/>
  <c r="O26" i="5"/>
  <c r="I27" i="5"/>
  <c r="O27" i="5"/>
  <c r="I28" i="5"/>
  <c r="O28" i="5"/>
  <c r="I29" i="5"/>
  <c r="O29" i="5"/>
  <c r="I30" i="5"/>
  <c r="O30" i="5"/>
  <c r="I31" i="5"/>
  <c r="O31" i="5"/>
  <c r="I32" i="5"/>
  <c r="O32" i="5"/>
  <c r="I33" i="5"/>
  <c r="O33" i="5"/>
  <c r="I34" i="5"/>
  <c r="O34" i="5"/>
  <c r="I35" i="5"/>
  <c r="O35" i="5"/>
  <c r="I36" i="5"/>
  <c r="O36" i="5"/>
  <c r="I37" i="5"/>
  <c r="O37" i="5"/>
  <c r="I38" i="5"/>
  <c r="O38" i="5"/>
  <c r="I39" i="5"/>
  <c r="O39" i="5"/>
  <c r="I40" i="5"/>
  <c r="O40" i="5"/>
  <c r="I41" i="5"/>
  <c r="O41" i="5"/>
  <c r="I42" i="5"/>
  <c r="O42" i="5"/>
  <c r="I43" i="5"/>
  <c r="O43" i="5"/>
  <c r="I44" i="5"/>
  <c r="O44" i="5"/>
  <c r="I45" i="5"/>
  <c r="O45" i="5"/>
  <c r="I46" i="5"/>
  <c r="O46" i="5"/>
  <c r="I47" i="5"/>
  <c r="O47" i="5"/>
  <c r="I48" i="5"/>
  <c r="O48" i="5"/>
  <c r="I49" i="5"/>
  <c r="O49" i="5"/>
  <c r="I50" i="5"/>
  <c r="O50" i="5"/>
  <c r="I51" i="5"/>
  <c r="O51" i="5"/>
  <c r="I52" i="5"/>
  <c r="O52" i="5"/>
  <c r="I53" i="5"/>
  <c r="O53" i="5"/>
  <c r="I54" i="5"/>
  <c r="O54" i="5"/>
  <c r="I55" i="5"/>
  <c r="O55" i="5"/>
  <c r="I56" i="5"/>
  <c r="O56" i="5"/>
  <c r="I57" i="5"/>
  <c r="O57" i="5"/>
  <c r="I58" i="5"/>
  <c r="O58" i="5"/>
  <c r="I59" i="5"/>
  <c r="O59" i="5"/>
  <c r="I60" i="5"/>
  <c r="O60" i="5"/>
  <c r="I61" i="5"/>
  <c r="O61" i="5"/>
  <c r="I62" i="5"/>
  <c r="O62" i="5"/>
  <c r="I63" i="5"/>
  <c r="O63" i="5"/>
  <c r="I64" i="5"/>
  <c r="O64" i="5"/>
  <c r="I65" i="5"/>
  <c r="O65" i="5"/>
  <c r="I66" i="5"/>
  <c r="O66" i="5"/>
  <c r="I67" i="5"/>
  <c r="O67" i="5"/>
  <c r="I68" i="5"/>
  <c r="O68" i="5"/>
  <c r="I69" i="5"/>
  <c r="O69" i="5"/>
  <c r="I70" i="5"/>
  <c r="O70" i="5"/>
  <c r="I71" i="5"/>
  <c r="O71" i="5"/>
  <c r="I72" i="5"/>
  <c r="O72" i="5"/>
  <c r="I73" i="5"/>
  <c r="O73" i="5"/>
  <c r="I74" i="5"/>
  <c r="O74" i="5"/>
  <c r="I75" i="5"/>
  <c r="O75" i="5"/>
  <c r="I76" i="5"/>
  <c r="O76" i="5"/>
  <c r="I77" i="5"/>
  <c r="O77" i="5"/>
  <c r="I78" i="5"/>
  <c r="O78" i="5"/>
  <c r="I79" i="5"/>
  <c r="O79" i="5"/>
  <c r="I80" i="5"/>
  <c r="O80" i="5"/>
  <c r="I81" i="5"/>
  <c r="O81" i="5"/>
  <c r="I82" i="5"/>
  <c r="O82" i="5"/>
  <c r="I83" i="5"/>
  <c r="O83" i="5"/>
  <c r="I84" i="5"/>
  <c r="O84" i="5"/>
  <c r="I85" i="5"/>
  <c r="O85" i="5"/>
  <c r="I86" i="5"/>
  <c r="O86" i="5"/>
  <c r="I87" i="5"/>
  <c r="O87" i="5"/>
  <c r="I88" i="5"/>
  <c r="O88" i="5"/>
  <c r="I89" i="5"/>
  <c r="O89" i="5"/>
  <c r="I90" i="5"/>
  <c r="O90" i="5"/>
  <c r="I91" i="5"/>
  <c r="O91" i="5"/>
  <c r="I92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O92" i="5"/>
  <c r="I93" i="5"/>
  <c r="O93" i="5"/>
  <c r="I94" i="5"/>
  <c r="O94" i="5"/>
  <c r="I95" i="5"/>
  <c r="O95" i="5"/>
  <c r="I96" i="5"/>
  <c r="O96" i="5"/>
  <c r="I97" i="5"/>
  <c r="O97" i="5"/>
  <c r="I98" i="5"/>
  <c r="O98" i="5"/>
  <c r="I99" i="5"/>
  <c r="O99" i="5"/>
  <c r="I100" i="5"/>
  <c r="O100" i="5"/>
  <c r="I101" i="5"/>
  <c r="O101" i="5"/>
  <c r="I102" i="5"/>
  <c r="O102" i="5"/>
  <c r="I103" i="5"/>
  <c r="O103" i="5"/>
  <c r="I104" i="5"/>
  <c r="O104" i="5"/>
  <c r="I105" i="5"/>
  <c r="O105" i="5"/>
  <c r="I106" i="5"/>
  <c r="O106" i="5"/>
  <c r="I107" i="5"/>
  <c r="O107" i="5"/>
  <c r="I108" i="5"/>
  <c r="O108" i="5"/>
  <c r="I109" i="5"/>
  <c r="O109" i="5"/>
  <c r="I110" i="5"/>
  <c r="O110" i="5"/>
  <c r="I111" i="5"/>
  <c r="O111" i="5"/>
  <c r="I112" i="5"/>
  <c r="O112" i="5"/>
  <c r="I113" i="5"/>
  <c r="O113" i="5"/>
  <c r="I114" i="5"/>
  <c r="O114" i="5"/>
  <c r="I115" i="5"/>
  <c r="O115" i="5"/>
  <c r="I116" i="5"/>
  <c r="O116" i="5"/>
  <c r="I117" i="5"/>
  <c r="O117" i="5"/>
  <c r="I118" i="5"/>
  <c r="O118" i="5"/>
  <c r="I119" i="5"/>
  <c r="O119" i="5"/>
  <c r="I120" i="5"/>
  <c r="O120" i="5"/>
  <c r="I121" i="5"/>
  <c r="O121" i="5"/>
  <c r="I122" i="5"/>
  <c r="O122" i="5"/>
  <c r="I123" i="5"/>
  <c r="O123" i="5"/>
  <c r="I124" i="5"/>
  <c r="O124" i="5"/>
  <c r="I125" i="5"/>
  <c r="O125" i="5"/>
  <c r="I126" i="5"/>
  <c r="O126" i="5"/>
  <c r="I127" i="5"/>
  <c r="O127" i="5"/>
  <c r="I128" i="5"/>
  <c r="O128" i="5"/>
  <c r="I129" i="5"/>
  <c r="O129" i="5"/>
  <c r="I130" i="5"/>
  <c r="O130" i="5"/>
  <c r="I131" i="5"/>
  <c r="O131" i="5"/>
  <c r="I132" i="5"/>
  <c r="O132" i="5"/>
  <c r="I133" i="5"/>
  <c r="O133" i="5"/>
  <c r="I134" i="5"/>
  <c r="O134" i="5"/>
  <c r="I135" i="5"/>
  <c r="O135" i="5"/>
  <c r="I136" i="5"/>
  <c r="O136" i="5"/>
  <c r="I137" i="5"/>
  <c r="O137" i="5"/>
  <c r="I138" i="5"/>
  <c r="O138" i="5"/>
  <c r="I139" i="5"/>
  <c r="O139" i="5"/>
  <c r="I140" i="5"/>
  <c r="O140" i="5"/>
  <c r="I141" i="5"/>
  <c r="O141" i="5"/>
  <c r="I142" i="5"/>
  <c r="O142" i="5"/>
  <c r="I143" i="5"/>
  <c r="O143" i="5"/>
  <c r="I144" i="5"/>
  <c r="O144" i="5"/>
  <c r="I145" i="5"/>
  <c r="O145" i="5"/>
  <c r="I146" i="5"/>
  <c r="O146" i="5"/>
  <c r="I147" i="5"/>
  <c r="O147" i="5"/>
  <c r="I148" i="5"/>
  <c r="O148" i="5"/>
  <c r="I149" i="5"/>
  <c r="O149" i="5"/>
  <c r="I150" i="5"/>
  <c r="O150" i="5"/>
  <c r="I151" i="5"/>
  <c r="O151" i="5"/>
  <c r="I152" i="5"/>
  <c r="O15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I176" i="5"/>
  <c r="O176" i="5"/>
  <c r="I177" i="5"/>
  <c r="O177" i="5"/>
  <c r="I178" i="5"/>
  <c r="O178" i="5"/>
  <c r="I179" i="5"/>
  <c r="O179" i="5"/>
  <c r="I180" i="5"/>
  <c r="O180" i="5"/>
  <c r="I181" i="5"/>
  <c r="O181" i="5"/>
  <c r="I182" i="5"/>
  <c r="O182" i="5"/>
  <c r="I183" i="5"/>
  <c r="O183" i="5"/>
  <c r="I184" i="5"/>
  <c r="O184" i="5"/>
  <c r="I185" i="5"/>
  <c r="O185" i="5"/>
  <c r="I186" i="5"/>
  <c r="O186" i="5"/>
  <c r="I187" i="5"/>
  <c r="O187" i="5"/>
  <c r="I188" i="5"/>
  <c r="O188" i="5"/>
  <c r="I153" i="5"/>
  <c r="O153" i="5"/>
  <c r="I154" i="5"/>
  <c r="O154" i="5"/>
  <c r="I155" i="5"/>
  <c r="O155" i="5"/>
  <c r="I156" i="5"/>
  <c r="O156" i="5"/>
  <c r="I157" i="5"/>
  <c r="O157" i="5"/>
  <c r="I158" i="5"/>
  <c r="O158" i="5"/>
  <c r="I159" i="5"/>
  <c r="O159" i="5"/>
  <c r="I160" i="5"/>
  <c r="O160" i="5"/>
  <c r="I161" i="5"/>
  <c r="O161" i="5"/>
  <c r="I162" i="5"/>
  <c r="O162" i="5"/>
  <c r="I163" i="5"/>
  <c r="O163" i="5"/>
  <c r="I164" i="5"/>
  <c r="O164" i="5"/>
  <c r="I165" i="5"/>
  <c r="O165" i="5"/>
  <c r="I166" i="5"/>
  <c r="O166" i="5"/>
  <c r="I167" i="5"/>
  <c r="O167" i="5"/>
  <c r="I168" i="5"/>
  <c r="O168" i="5"/>
  <c r="I169" i="5"/>
  <c r="O169" i="5"/>
  <c r="I170" i="5"/>
  <c r="O170" i="5"/>
  <c r="I171" i="5"/>
  <c r="O171" i="5"/>
  <c r="I172" i="5"/>
  <c r="O172" i="5"/>
  <c r="I173" i="5"/>
  <c r="O173" i="5"/>
  <c r="I174" i="5"/>
  <c r="O174" i="5"/>
  <c r="I175" i="5"/>
  <c r="O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I189" i="5"/>
  <c r="O189" i="5"/>
  <c r="I190" i="5"/>
  <c r="O190" i="5"/>
  <c r="I191" i="5"/>
  <c r="O191" i="5"/>
  <c r="I192" i="5"/>
  <c r="O192" i="5"/>
  <c r="I193" i="5"/>
  <c r="O193" i="5"/>
  <c r="I194" i="5"/>
  <c r="O194" i="5"/>
  <c r="I195" i="5"/>
  <c r="O195" i="5"/>
  <c r="I196" i="5"/>
  <c r="O196" i="5"/>
  <c r="I197" i="5"/>
  <c r="O197" i="5"/>
  <c r="I198" i="5"/>
  <c r="O198" i="5"/>
  <c r="I199" i="5"/>
  <c r="O199" i="5"/>
  <c r="I200" i="5"/>
  <c r="O200" i="5"/>
  <c r="I201" i="5"/>
  <c r="O201" i="5"/>
  <c r="I202" i="5"/>
  <c r="O202" i="5"/>
  <c r="I203" i="5"/>
  <c r="O203" i="5"/>
  <c r="I204" i="5"/>
  <c r="O204" i="5"/>
  <c r="I205" i="5"/>
  <c r="O205" i="5"/>
  <c r="I206" i="5"/>
  <c r="O206" i="5"/>
  <c r="I207" i="5"/>
  <c r="O207" i="5"/>
  <c r="I208" i="5"/>
  <c r="O208" i="5"/>
  <c r="I209" i="5"/>
  <c r="O209" i="5"/>
  <c r="I210" i="5"/>
  <c r="O210" i="5"/>
  <c r="I211" i="5"/>
  <c r="O211" i="5"/>
  <c r="I212" i="5"/>
  <c r="O212" i="5"/>
  <c r="I213" i="5"/>
  <c r="O213" i="5"/>
  <c r="I214" i="5"/>
  <c r="O214" i="5"/>
  <c r="I215" i="5"/>
  <c r="O215" i="5"/>
  <c r="I216" i="5"/>
  <c r="O216" i="5"/>
  <c r="I217" i="5"/>
  <c r="O217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<sst xmlns="http://schemas.openxmlformats.org/spreadsheetml/2006/main" count="121" uniqueCount="68">
  <si>
    <t>Drawing Name</t>
  </si>
  <si>
    <t>Job Name</t>
  </si>
  <si>
    <t>Name</t>
  </si>
  <si>
    <t>Address</t>
  </si>
  <si>
    <t>City</t>
  </si>
  <si>
    <t>State</t>
  </si>
  <si>
    <t>Zip</t>
  </si>
  <si>
    <t>Basin Size</t>
  </si>
  <si>
    <t>Overall Height</t>
  </si>
  <si>
    <t>Outlet 1</t>
  </si>
  <si>
    <t>Outlet Type 1</t>
  </si>
  <si>
    <t>Degrees 1</t>
  </si>
  <si>
    <t xml:space="preserve">Invert Height 1 </t>
  </si>
  <si>
    <t>Outlet 2</t>
  </si>
  <si>
    <t>Outlet Type 2</t>
  </si>
  <si>
    <t>Degrees 2</t>
  </si>
  <si>
    <t>Invert Height 2</t>
  </si>
  <si>
    <t>Outlet 3</t>
  </si>
  <si>
    <t>Outlet Type 3</t>
  </si>
  <si>
    <t>Degrees 3</t>
  </si>
  <si>
    <t>Invert Height 3</t>
  </si>
  <si>
    <t>Outlet 4</t>
  </si>
  <si>
    <t>Outlet Type 4</t>
  </si>
  <si>
    <t>Degrees 4</t>
  </si>
  <si>
    <t>Invert Height 4</t>
  </si>
  <si>
    <t>Grate Types</t>
  </si>
  <si>
    <t>Grate Style</t>
  </si>
  <si>
    <t>DN#</t>
  </si>
  <si>
    <t>TOG</t>
  </si>
  <si>
    <t>IE</t>
  </si>
  <si>
    <t>OUTLET D</t>
  </si>
  <si>
    <t>RIM-IE</t>
  </si>
  <si>
    <t>BASIN 8-18"</t>
  </si>
  <si>
    <t>BASIN 24"</t>
  </si>
  <si>
    <t>BASIN 30"</t>
  </si>
  <si>
    <t>BASIN 36"</t>
  </si>
  <si>
    <t>PRICE</t>
  </si>
  <si>
    <t>DRAWING NAME</t>
  </si>
  <si>
    <t>OUTLET DISCRIPTION</t>
  </si>
  <si>
    <t>Comment Notes</t>
  </si>
  <si>
    <t>PART NUMBER</t>
  </si>
  <si>
    <t>0°</t>
  </si>
  <si>
    <t>H25</t>
  </si>
  <si>
    <t>90°</t>
  </si>
  <si>
    <t>YD1</t>
  </si>
  <si>
    <t>DB1205PS</t>
  </si>
  <si>
    <t>YD2</t>
  </si>
  <si>
    <t>YD4</t>
  </si>
  <si>
    <t>DB1510SC</t>
  </si>
  <si>
    <t>YD3</t>
  </si>
  <si>
    <t>Round w Frame</t>
  </si>
  <si>
    <t>H10</t>
  </si>
  <si>
    <t>Solid</t>
  </si>
  <si>
    <t>155°</t>
  </si>
  <si>
    <t>PRINSCO</t>
  </si>
  <si>
    <t>SAMPLE JOBSITE</t>
  </si>
  <si>
    <t>DB2410DG</t>
  </si>
  <si>
    <t>DB3005SS</t>
  </si>
  <si>
    <t>YD6</t>
  </si>
  <si>
    <t>YD7</t>
  </si>
  <si>
    <t>Domed w Frame</t>
  </si>
  <si>
    <t>PRINSCO HUB</t>
  </si>
  <si>
    <t>2.67'</t>
  </si>
  <si>
    <t>175°</t>
  </si>
  <si>
    <t>145°</t>
  </si>
  <si>
    <t>3.45'</t>
  </si>
  <si>
    <t>3.15'</t>
  </si>
  <si>
    <t>2.26'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</si>
</sst>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6">
    <xf numFmtId="0" fontId="0" fillId="0" borderId="0" xfId="0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5" borderId="0" xfId="0" applyFill="1"/>
    <xf numFmtId="2" fontId="0" fillId="0" borderId="0" xfId="0" applyNumberFormat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0" xfId="0" applyProtection="1">
      <protection locked="0"/>
    </xf>
    <xf numFmtId="0" fontId="2" fillId="0" borderId="0" xfId="0" applyFont="1" applyBorder="1" applyAlignment="1" applyProtection="1">
      <alignment wrapText="1"/>
      <protection locked="0"/>
    </xf>
    <xf numFmtId="0" fontId="2" fillId="0" borderId="0" xfId="0" applyFont="1" applyFill="1" applyBorder="1" applyAlignment="1" applyProtection="1">
      <alignment wrapText="1"/>
      <protection locked="0"/>
    </xf>
    <xf numFmtId="0" fontId="0" fillId="5" borderId="1" xfId="0" applyFill="1" applyBorder="1" applyProtection="1"/>
    <xf numFmtId="0" fontId="2" fillId="0" borderId="0" xfId="0" applyFont="1" applyBorder="1" applyAlignment="1" applyProtection="1">
      <alignment wrapText="1"/>
    </xf>
    <xf numFmtId="0" fontId="0" fillId="0" borderId="0" xfId="0" applyProtection="1"/>
    <xf numFmtId="0" fontId="0" fillId="0" borderId="0" xfId="0" applyAlignment="1">
      <alignment horizontal="left"/>
    </xf>
    <xf numFmtId="0" fontId="2" fillId="0" borderId="0" xfId="0" applyFont="1" applyFill="1" applyBorder="1" applyAlignment="1" applyProtection="1">
      <alignment wrapText="1"/>
    </xf>
    <xf numFmtId="0" fontId="0" fillId="0" borderId="0" xfId="0" applyFill="1" applyProtection="1">
      <protection locked="0"/>
    </xf>
    <xf numFmtId="44" fontId="0" fillId="6" borderId="1" xfId="1" applyNumberFormat="1" applyFont="1" applyFill="1" applyBorder="1"/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Fill="1" applyBorder="1"/>
    <xf numFmtId="44" fontId="0" fillId="0" borderId="0" xfId="0" applyNumberFormat="1" applyFont="1"/>
    <xf numFmtId="2" fontId="0" fillId="0" borderId="0" xfId="0" applyNumberFormat="1" applyFont="1"/>
    <xf numFmtId="49" fontId="0" fillId="0" borderId="1" xfId="0" applyNumberFormat="1" applyFont="1" applyBorder="1" applyAlignment="1">
      <alignment horizontal="left"/>
    </xf>
    <xf numFmtId="44" fontId="0" fillId="0" borderId="0" xfId="1" applyFont="1"/>
    <xf numFmtId="0" fontId="0" fillId="2" borderId="3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5" fillId="0" borderId="0" xfId="0" applyFont="1"/>
    <xf numFmtId="0" fontId="0" fillId="0" borderId="0" xfId="0" applyFont="1" applyFill="1"/>
    <xf numFmtId="0" fontId="0" fillId="0" borderId="0" xfId="0" applyBorder="1"/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awing_Entry_Datalog/PRINSCO%20-%20GRETNA%20-%20DRAWING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uote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1">
          <cell r="G1" t="str">
            <v>Drawing Name</v>
          </cell>
          <cell r="Q1" t="str">
            <v>Outlet Type 2</v>
          </cell>
          <cell r="R1" t="str">
            <v>Degrees 2</v>
          </cell>
          <cell r="S1" t="str">
            <v>Invert Height 2</v>
          </cell>
          <cell r="U1" t="str">
            <v>Outlet Type 3</v>
          </cell>
          <cell r="V1" t="str">
            <v>Degrees 3</v>
          </cell>
          <cell r="W1" t="str">
            <v>Invert Height 3</v>
          </cell>
        </row>
        <row r="2">
          <cell r="G2" t="str">
            <v>ST10</v>
          </cell>
          <cell r="Q2"/>
          <cell r="S2"/>
          <cell r="U2"/>
        </row>
        <row r="3">
          <cell r="G3" t="str">
            <v>ST18</v>
          </cell>
          <cell r="Q3" t="str">
            <v>PRINSCO HUB</v>
          </cell>
          <cell r="R3" t="str">
            <v>90°</v>
          </cell>
          <cell r="S3" t="str">
            <v>2.54'</v>
          </cell>
          <cell r="U3"/>
        </row>
        <row r="4">
          <cell r="G4" t="str">
            <v>ST22</v>
          </cell>
          <cell r="Q4" t="str">
            <v>PRINSCO HUB</v>
          </cell>
          <cell r="R4" t="str">
            <v>195°</v>
          </cell>
          <cell r="S4" t="str">
            <v>3.22'</v>
          </cell>
          <cell r="U4" t="str">
            <v>PRINSCO HUB</v>
          </cell>
          <cell r="V4" t="str">
            <v>90°</v>
          </cell>
          <cell r="W4" t="str">
            <v>3.05'</v>
          </cell>
        </row>
        <row r="5">
          <cell r="G5" t="str">
            <v>ST28</v>
          </cell>
          <cell r="Q5"/>
          <cell r="S5"/>
          <cell r="U5"/>
        </row>
        <row r="6">
          <cell r="G6" t="str">
            <v>ST29</v>
          </cell>
          <cell r="Q6" t="str">
            <v>PRINSCO HUB</v>
          </cell>
          <cell r="R6" t="str">
            <v>190°</v>
          </cell>
          <cell r="S6" t="str">
            <v>3.03'</v>
          </cell>
          <cell r="U6"/>
        </row>
        <row r="7">
          <cell r="G7" t="str">
            <v>ST34</v>
          </cell>
          <cell r="Q7"/>
          <cell r="S7"/>
          <cell r="U7"/>
        </row>
        <row r="8">
          <cell r="G8" t="str">
            <v>ST73</v>
          </cell>
          <cell r="Q8" t="str">
            <v>PRINSCO HUB</v>
          </cell>
          <cell r="R8" t="str">
            <v>180°</v>
          </cell>
          <cell r="S8" t="str">
            <v>8.18'</v>
          </cell>
          <cell r="U8" t="str">
            <v>PRINSCO HUB</v>
          </cell>
          <cell r="V8" t="str">
            <v>90°</v>
          </cell>
          <cell r="W8" t="str">
            <v>4.42'</v>
          </cell>
        </row>
        <row r="9">
          <cell r="G9" t="str">
            <v>ST74</v>
          </cell>
          <cell r="Q9" t="str">
            <v>PRINSCO HUB</v>
          </cell>
          <cell r="R9" t="str">
            <v>95°</v>
          </cell>
          <cell r="S9" t="str">
            <v>2.93'</v>
          </cell>
          <cell r="U9"/>
        </row>
        <row r="10">
          <cell r="G10" t="str">
            <v>ST76</v>
          </cell>
          <cell r="Q10" t="str">
            <v>PRINSCO HUB</v>
          </cell>
          <cell r="R10" t="str">
            <v>270°</v>
          </cell>
          <cell r="S10" t="str">
            <v>4.33'</v>
          </cell>
          <cell r="U10" t="str">
            <v>PRINSCO HUB</v>
          </cell>
          <cell r="V10" t="str">
            <v>90°</v>
          </cell>
          <cell r="W10" t="str">
            <v>4.66'</v>
          </cell>
        </row>
        <row r="11">
          <cell r="G11" t="str">
            <v>ST78</v>
          </cell>
          <cell r="Q11" t="str">
            <v>PRINSCO HUB</v>
          </cell>
          <cell r="R11" t="str">
            <v>90°</v>
          </cell>
          <cell r="S11" t="str">
            <v>5.06'</v>
          </cell>
          <cell r="U11"/>
        </row>
        <row r="12">
          <cell r="G12" t="str">
            <v>ST87</v>
          </cell>
          <cell r="Q12" t="str">
            <v>PRINSCO HUB</v>
          </cell>
          <cell r="R12" t="str">
            <v>180°</v>
          </cell>
          <cell r="S12" t="str">
            <v>4.41'</v>
          </cell>
          <cell r="U12" t="str">
            <v>PRINSCO HUB</v>
          </cell>
          <cell r="V12" t="str">
            <v>270°</v>
          </cell>
          <cell r="W12" t="str">
            <v>5.04'</v>
          </cell>
        </row>
        <row r="13">
          <cell r="G13" t="str">
            <v>ST90</v>
          </cell>
          <cell r="Q13" t="str">
            <v>PRINSCO HUB</v>
          </cell>
          <cell r="R13" t="str">
            <v>130°</v>
          </cell>
          <cell r="S13" t="str">
            <v>7.22'</v>
          </cell>
          <cell r="U13"/>
        </row>
        <row r="14">
          <cell r="G14" t="str">
            <v>ST91</v>
          </cell>
          <cell r="Q14" t="str">
            <v>PRINSCO HUB</v>
          </cell>
          <cell r="R14" t="str">
            <v>135°</v>
          </cell>
          <cell r="S14" t="str">
            <v>4.94'</v>
          </cell>
          <cell r="U14"/>
        </row>
        <row r="15">
          <cell r="G15" t="str">
            <v>ST92</v>
          </cell>
          <cell r="Q15" t="str">
            <v>PRINSCO HUB</v>
          </cell>
          <cell r="R15" t="str">
            <v>230°</v>
          </cell>
          <cell r="S15" t="str">
            <v>3.45'</v>
          </cell>
          <cell r="U15"/>
        </row>
        <row r="16">
          <cell r="G16" t="str">
            <v>ST93</v>
          </cell>
          <cell r="Q16" t="str">
            <v>PRINSCO HUB</v>
          </cell>
          <cell r="R16" t="str">
            <v>170°</v>
          </cell>
          <cell r="S16" t="str">
            <v>2.65'</v>
          </cell>
          <cell r="U16"/>
        </row>
        <row r="17">
          <cell r="G17" t="str">
            <v>ST94</v>
          </cell>
          <cell r="Q17" t="str">
            <v>PRINSCO HUB</v>
          </cell>
          <cell r="R17" t="str">
            <v>175°</v>
          </cell>
          <cell r="S17" t="str">
            <v>3.48'</v>
          </cell>
          <cell r="U17"/>
        </row>
        <row r="18">
          <cell r="G18" t="str">
            <v>ST95</v>
          </cell>
          <cell r="Q18"/>
          <cell r="U18"/>
        </row>
        <row r="19">
          <cell r="G19" t="str">
            <v>ST96</v>
          </cell>
          <cell r="Q19" t="str">
            <v>PRINSCO HUB</v>
          </cell>
          <cell r="R19" t="str">
            <v>165°</v>
          </cell>
          <cell r="S19" t="str">
            <v>4.16'</v>
          </cell>
          <cell r="U19"/>
        </row>
        <row r="20">
          <cell r="G20" t="str">
            <v>ST97</v>
          </cell>
          <cell r="Q20" t="str">
            <v>PRINSCO HUB</v>
          </cell>
          <cell r="R20" t="str">
            <v>90°</v>
          </cell>
          <cell r="S20" t="str">
            <v>3.21'</v>
          </cell>
          <cell r="U20"/>
        </row>
        <row r="21">
          <cell r="G21" t="str">
            <v>ST99</v>
          </cell>
          <cell r="Q21"/>
          <cell r="U21"/>
        </row>
        <row r="22">
          <cell r="G22" t="str">
            <v>ST109</v>
          </cell>
          <cell r="Q22" t="str">
            <v>PRINSCO HUB</v>
          </cell>
          <cell r="R22" t="str">
            <v>190°</v>
          </cell>
          <cell r="S22" t="str">
            <v>2.78'</v>
          </cell>
        </row>
        <row r="23">
          <cell r="G23" t="str">
            <v>ST112</v>
          </cell>
          <cell r="Q23" t="str">
            <v>PRINSCO HUB</v>
          </cell>
          <cell r="R23" t="str">
            <v>270°</v>
          </cell>
          <cell r="S23" t="str">
            <v>4.14'</v>
          </cell>
          <cell r="U23"/>
        </row>
        <row r="24">
          <cell r="G24" t="str">
            <v>ST122</v>
          </cell>
          <cell r="Q24"/>
          <cell r="U24"/>
        </row>
        <row r="25">
          <cell r="G25" t="str">
            <v>ST126</v>
          </cell>
          <cell r="Q25" t="str">
            <v>PRINSCO HUB</v>
          </cell>
          <cell r="R25" t="str">
            <v>90°</v>
          </cell>
          <cell r="S25" t="str">
            <v>1.83'</v>
          </cell>
          <cell r="U25"/>
        </row>
        <row r="26">
          <cell r="G26" t="str">
            <v>ST128</v>
          </cell>
          <cell r="Q26" t="str">
            <v>PRINSCO HUB</v>
          </cell>
          <cell r="R26" t="str">
            <v>180°</v>
          </cell>
          <cell r="S26" t="str">
            <v>218'</v>
          </cell>
          <cell r="U26"/>
        </row>
        <row r="27">
          <cell r="G27" t="str">
            <v xml:space="preserve">ST11 </v>
          </cell>
          <cell r="Q27"/>
          <cell r="U27"/>
        </row>
        <row r="28">
          <cell r="G28" t="str">
            <v>ST12</v>
          </cell>
          <cell r="Q28"/>
          <cell r="U28"/>
        </row>
        <row r="29">
          <cell r="G29" t="str">
            <v>ST13</v>
          </cell>
          <cell r="Q29"/>
        </row>
        <row r="30">
          <cell r="G30" t="str">
            <v>ST14</v>
          </cell>
          <cell r="Q30" t="str">
            <v>PRINSCO HUB</v>
          </cell>
          <cell r="R30" t="str">
            <v>180°</v>
          </cell>
          <cell r="S30" t="str">
            <v>2.61'</v>
          </cell>
          <cell r="U30" t="str">
            <v>PRINSCO HUB</v>
          </cell>
          <cell r="V30" t="str">
            <v>90°</v>
          </cell>
          <cell r="W30" t="str">
            <v>2.27'</v>
          </cell>
        </row>
        <row r="31">
          <cell r="G31" t="str">
            <v>ST19</v>
          </cell>
          <cell r="Q31" t="str">
            <v>PRINSCO HUB</v>
          </cell>
          <cell r="R31" t="str">
            <v>180°</v>
          </cell>
          <cell r="S31" t="str">
            <v>2.74'</v>
          </cell>
          <cell r="U31" t="str">
            <v>PRINSCO HUB</v>
          </cell>
          <cell r="V31" t="str">
            <v>90°</v>
          </cell>
          <cell r="W31" t="str">
            <v>2.24'</v>
          </cell>
        </row>
        <row r="32">
          <cell r="G32" t="str">
            <v>ST27</v>
          </cell>
          <cell r="Q32" t="str">
            <v>PRINSCO HUB</v>
          </cell>
          <cell r="R32" t="str">
            <v>220°</v>
          </cell>
          <cell r="S32" t="str">
            <v>2.43'</v>
          </cell>
          <cell r="U32"/>
        </row>
        <row r="33">
          <cell r="G33" t="str">
            <v>ST82</v>
          </cell>
          <cell r="Q33"/>
          <cell r="U33"/>
        </row>
        <row r="34">
          <cell r="G34" t="str">
            <v>ST83</v>
          </cell>
          <cell r="Q34" t="str">
            <v>PRINSCO HUB</v>
          </cell>
          <cell r="R34" t="str">
            <v>180°</v>
          </cell>
          <cell r="S34" t="str">
            <v>4.53'</v>
          </cell>
          <cell r="U34" t="str">
            <v>PRINSCO HUB</v>
          </cell>
          <cell r="V34" t="str">
            <v>270°</v>
          </cell>
          <cell r="W34" t="str">
            <v>4.53'</v>
          </cell>
        </row>
        <row r="35">
          <cell r="G35" t="str">
            <v>ST84</v>
          </cell>
          <cell r="Q35" t="str">
            <v>PRINSCO HUB</v>
          </cell>
          <cell r="R35" t="str">
            <v>270°</v>
          </cell>
          <cell r="S35" t="str">
            <v>4.23'</v>
          </cell>
        </row>
        <row r="36">
          <cell r="G36" t="str">
            <v>ST85</v>
          </cell>
          <cell r="Q36"/>
          <cell r="U36"/>
        </row>
        <row r="37">
          <cell r="G37" t="str">
            <v>ST86</v>
          </cell>
          <cell r="Q37" t="str">
            <v>PRINSCO HUB</v>
          </cell>
          <cell r="R37" t="str">
            <v>180°</v>
          </cell>
          <cell r="S37" t="str">
            <v>2.6'</v>
          </cell>
          <cell r="U37" t="str">
            <v>PRINSCO HUB</v>
          </cell>
          <cell r="V37" t="str">
            <v>90°</v>
          </cell>
          <cell r="W37" t="str">
            <v>2.77'</v>
          </cell>
        </row>
        <row r="38">
          <cell r="G38" t="str">
            <v>ST88</v>
          </cell>
          <cell r="Q38"/>
        </row>
        <row r="39">
          <cell r="G39" t="str">
            <v>ST104</v>
          </cell>
          <cell r="Q39" t="str">
            <v>PRINSCO HUB</v>
          </cell>
          <cell r="R39" t="str">
            <v>180°</v>
          </cell>
          <cell r="S39" t="str">
            <v>1.91'</v>
          </cell>
          <cell r="U39"/>
        </row>
        <row r="40">
          <cell r="G40" t="str">
            <v>ST105</v>
          </cell>
          <cell r="Q40" t="str">
            <v>PRINSCO HUB</v>
          </cell>
          <cell r="R40" t="str">
            <v>180°</v>
          </cell>
          <cell r="S40" t="str">
            <v>3.71'</v>
          </cell>
          <cell r="U40"/>
        </row>
        <row r="41">
          <cell r="G41" t="str">
            <v>ST106</v>
          </cell>
          <cell r="Q41" t="str">
            <v>PRINSCO HUB</v>
          </cell>
          <cell r="R41" t="str">
            <v>180°</v>
          </cell>
          <cell r="S41" t="str">
            <v>2.76'</v>
          </cell>
          <cell r="U41" t="str">
            <v>PRINSCO HUB</v>
          </cell>
          <cell r="V41" t="str">
            <v>90°</v>
          </cell>
          <cell r="W41" t="str">
            <v>2.43'</v>
          </cell>
        </row>
        <row r="42">
          <cell r="G42" t="str">
            <v>ST108</v>
          </cell>
          <cell r="Q42" t="str">
            <v>PRINSCO HUB</v>
          </cell>
          <cell r="R42" t="str">
            <v>180°</v>
          </cell>
          <cell r="S42" t="str">
            <v>2.8'</v>
          </cell>
          <cell r="U42" t="str">
            <v>PRINSCO HUB</v>
          </cell>
          <cell r="V42" t="str">
            <v>90°</v>
          </cell>
          <cell r="W42" t="str">
            <v>2.3'</v>
          </cell>
        </row>
        <row r="43">
          <cell r="G43" t="str">
            <v>ST118</v>
          </cell>
          <cell r="Q43" t="str">
            <v>PRINSCO HUB</v>
          </cell>
          <cell r="R43" t="str">
            <v>140°</v>
          </cell>
          <cell r="S43" t="str">
            <v>2.33'</v>
          </cell>
          <cell r="U43" t="str">
            <v>PRINSCO HUB</v>
          </cell>
          <cell r="V43" t="str">
            <v>220°</v>
          </cell>
          <cell r="W43" t="str">
            <v>2.33'</v>
          </cell>
        </row>
        <row r="44">
          <cell r="G44" t="str">
            <v>ST119</v>
          </cell>
          <cell r="Q44" t="str">
            <v>PRINSCO HUB</v>
          </cell>
          <cell r="R44" t="str">
            <v>180°</v>
          </cell>
          <cell r="S44" t="str">
            <v>3.66'</v>
          </cell>
          <cell r="U44" t="str">
            <v>PRINSCO HUB</v>
          </cell>
          <cell r="V44" t="str">
            <v>270°</v>
          </cell>
          <cell r="W44" t="str">
            <v>3.08'</v>
          </cell>
        </row>
        <row r="45">
          <cell r="G45" t="str">
            <v>ST120</v>
          </cell>
          <cell r="Q45" t="str">
            <v>PRINSCO HUB</v>
          </cell>
          <cell r="R45" t="str">
            <v>180°</v>
          </cell>
          <cell r="S45" t="str">
            <v>3.31'</v>
          </cell>
          <cell r="U45" t="str">
            <v>PRINSCO HUB</v>
          </cell>
          <cell r="V45" t="str">
            <v>270°</v>
          </cell>
          <cell r="W45" t="str">
            <v>2.98'</v>
          </cell>
        </row>
        <row r="46">
          <cell r="G46" t="str">
            <v>ST121</v>
          </cell>
          <cell r="Q46"/>
          <cell r="U46"/>
        </row>
        <row r="47">
          <cell r="G47" t="str">
            <v>ST127</v>
          </cell>
          <cell r="Q47"/>
          <cell r="U47"/>
        </row>
        <row r="48">
          <cell r="G48" t="str">
            <v>ST35</v>
          </cell>
          <cell r="Q48" t="str">
            <v>PRINSCO HUB</v>
          </cell>
          <cell r="R48" t="str">
            <v>90°</v>
          </cell>
          <cell r="S48" t="str">
            <v>4.55'</v>
          </cell>
          <cell r="U48" t="str">
            <v>PRINSCO HUB</v>
          </cell>
          <cell r="V48" t="str">
            <v>190°</v>
          </cell>
          <cell r="W48" t="str">
            <v>4.99'</v>
          </cell>
        </row>
        <row r="49">
          <cell r="G49" t="str">
            <v>ST36</v>
          </cell>
          <cell r="Q49" t="str">
            <v>PRINSCO HUB</v>
          </cell>
          <cell r="R49" t="str">
            <v>95°</v>
          </cell>
          <cell r="S49" t="str">
            <v>2.43'</v>
          </cell>
        </row>
        <row r="50">
          <cell r="G50" t="str">
            <v>ST37</v>
          </cell>
          <cell r="Q50" t="str">
            <v>PRINSCO HUB</v>
          </cell>
          <cell r="R50" t="str">
            <v>240°</v>
          </cell>
          <cell r="S50" t="str">
            <v>2.58'</v>
          </cell>
          <cell r="U50"/>
        </row>
        <row r="51">
          <cell r="G51" t="str">
            <v>ST38</v>
          </cell>
          <cell r="Q51" t="str">
            <v>PRINSCO HUB</v>
          </cell>
          <cell r="R51" t="str">
            <v>170°</v>
          </cell>
          <cell r="S51" t="str">
            <v>1.97'</v>
          </cell>
        </row>
        <row r="52">
          <cell r="G52" t="str">
            <v>ST39</v>
          </cell>
          <cell r="Q52" t="str">
            <v>PRINSCO HUB</v>
          </cell>
          <cell r="R52" t="str">
            <v>170°</v>
          </cell>
          <cell r="S52" t="str">
            <v>3.26'</v>
          </cell>
          <cell r="U52" t="str">
            <v>PRINSCO HUB</v>
          </cell>
          <cell r="V52" t="str">
            <v>85°</v>
          </cell>
          <cell r="W52" t="str">
            <v>3.09'</v>
          </cell>
        </row>
        <row r="53">
          <cell r="G53" t="str">
            <v>ST40</v>
          </cell>
          <cell r="Q53" t="str">
            <v>PRINSCO HUB</v>
          </cell>
          <cell r="R53" t="str">
            <v>275°</v>
          </cell>
          <cell r="S53" t="str">
            <v>2.23'</v>
          </cell>
        </row>
        <row r="54">
          <cell r="G54" t="str">
            <v>ST41</v>
          </cell>
          <cell r="Q54"/>
          <cell r="U54"/>
        </row>
        <row r="55">
          <cell r="G55" t="str">
            <v>ST59</v>
          </cell>
          <cell r="Q55" t="str">
            <v>PRINSCO HUB</v>
          </cell>
          <cell r="R55" t="str">
            <v>165°</v>
          </cell>
          <cell r="S55" t="str">
            <v>4.53'</v>
          </cell>
          <cell r="U55"/>
        </row>
        <row r="56">
          <cell r="G56" t="str">
            <v>ST60</v>
          </cell>
          <cell r="Q56" t="str">
            <v>PRINSCO HUB</v>
          </cell>
          <cell r="R56" t="str">
            <v>180°</v>
          </cell>
          <cell r="S56" t="str">
            <v>5.15'</v>
          </cell>
          <cell r="U56" t="str">
            <v>PRINSCO HUB</v>
          </cell>
          <cell r="V56" t="str">
            <v>90°</v>
          </cell>
          <cell r="W56" t="str">
            <v>4.32'</v>
          </cell>
        </row>
        <row r="57">
          <cell r="G57" t="str">
            <v>ST61</v>
          </cell>
          <cell r="Q57" t="str">
            <v>PRINSCO HUB</v>
          </cell>
          <cell r="R57" t="str">
            <v>180°</v>
          </cell>
          <cell r="S57" t="str">
            <v>3.88'</v>
          </cell>
        </row>
        <row r="58">
          <cell r="G58" t="str">
            <v>ST62</v>
          </cell>
          <cell r="Q58" t="str">
            <v>PRINSCO HUB</v>
          </cell>
          <cell r="R58" t="str">
            <v>265°</v>
          </cell>
          <cell r="S58" t="str">
            <v>2.6'</v>
          </cell>
          <cell r="U58"/>
        </row>
        <row r="59">
          <cell r="G59" t="str">
            <v>ST64</v>
          </cell>
          <cell r="Q59" t="str">
            <v>PRINSCO HUB</v>
          </cell>
          <cell r="R59" t="str">
            <v>215°</v>
          </cell>
          <cell r="S59" t="str">
            <v>4.22'</v>
          </cell>
        </row>
        <row r="60">
          <cell r="G60" t="str">
            <v>ST70</v>
          </cell>
          <cell r="Q60" t="str">
            <v>PRINSCO HUB</v>
          </cell>
          <cell r="R60" t="str">
            <v>230°</v>
          </cell>
          <cell r="S60" t="str">
            <v>2.81'</v>
          </cell>
          <cell r="U60" t="str">
            <v>PRINSCO HUB</v>
          </cell>
          <cell r="V60" t="str">
            <v>50°</v>
          </cell>
          <cell r="W60" t="str">
            <v>2.65'</v>
          </cell>
        </row>
        <row r="61">
          <cell r="G61" t="str">
            <v>ST100</v>
          </cell>
          <cell r="Q61" t="str">
            <v>PRINSCO HUB</v>
          </cell>
          <cell r="R61" t="str">
            <v>115°</v>
          </cell>
          <cell r="S61" t="str">
            <v>3.65'</v>
          </cell>
        </row>
        <row r="62">
          <cell r="G62" t="str">
            <v>ST102</v>
          </cell>
          <cell r="Q62" t="str">
            <v>PRINSCO HUB</v>
          </cell>
          <cell r="R62" t="str">
            <v>250°</v>
          </cell>
          <cell r="S62" t="str">
            <v>3.26'</v>
          </cell>
          <cell r="U62" t="str">
            <v>PRINSCO HUB</v>
          </cell>
          <cell r="V62" t="str">
            <v>130°</v>
          </cell>
          <cell r="W62" t="str">
            <v>3.44'</v>
          </cell>
        </row>
        <row r="63">
          <cell r="G63" t="str">
            <v>ST123</v>
          </cell>
          <cell r="Q63" t="str">
            <v>PRINSCO HUB</v>
          </cell>
          <cell r="R63" t="str">
            <v>215°</v>
          </cell>
          <cell r="S63" t="str">
            <v>3.62'</v>
          </cell>
        </row>
        <row r="64">
          <cell r="G64" t="str">
            <v>ST132</v>
          </cell>
          <cell r="Q64" t="str">
            <v>PRINSCO HUB</v>
          </cell>
          <cell r="R64" t="str">
            <v>180°</v>
          </cell>
          <cell r="S64" t="str">
            <v>1.53'</v>
          </cell>
          <cell r="U64"/>
        </row>
        <row r="65">
          <cell r="G65" t="str">
            <v>ST133</v>
          </cell>
          <cell r="Q65" t="str">
            <v>PRINSCO HUB</v>
          </cell>
          <cell r="R65" t="str">
            <v>110°</v>
          </cell>
          <cell r="S65" t="str">
            <v>1.53'</v>
          </cell>
        </row>
        <row r="66">
          <cell r="G66" t="str">
            <v>ST46</v>
          </cell>
          <cell r="Q66" t="str">
            <v>PRINSCO HUB</v>
          </cell>
          <cell r="R66" t="str">
            <v>180°</v>
          </cell>
          <cell r="S66" t="str">
            <v>4.26'</v>
          </cell>
          <cell r="U66" t="str">
            <v>PRINSCO HUB</v>
          </cell>
          <cell r="V66" t="str">
            <v>90°</v>
          </cell>
          <cell r="W66" t="str">
            <v>4.26'</v>
          </cell>
        </row>
        <row r="67">
          <cell r="G67" t="str">
            <v>ST48</v>
          </cell>
          <cell r="Q67" t="str">
            <v>PRINSCO HUB</v>
          </cell>
          <cell r="R67" t="str">
            <v>180°</v>
          </cell>
          <cell r="S67" t="str">
            <v>4.22'</v>
          </cell>
          <cell r="U67" t="str">
            <v>PRINSCO HUB</v>
          </cell>
          <cell r="V67" t="str">
            <v>270°</v>
          </cell>
          <cell r="W67" t="str">
            <v>3.17'</v>
          </cell>
        </row>
        <row r="68">
          <cell r="G68" t="str">
            <v>ST50</v>
          </cell>
          <cell r="Q68" t="str">
            <v>PRINSCO HUB</v>
          </cell>
          <cell r="R68" t="str">
            <v>180°</v>
          </cell>
          <cell r="S68" t="str">
            <v>4.06'</v>
          </cell>
          <cell r="U68" t="str">
            <v>PRINSCO HUB</v>
          </cell>
          <cell r="V68" t="str">
            <v>270°</v>
          </cell>
          <cell r="W68" t="str">
            <v>3.73'</v>
          </cell>
        </row>
        <row r="69">
          <cell r="G69" t="str">
            <v>ST51</v>
          </cell>
          <cell r="Q69" t="str">
            <v>PRINSCO HUB</v>
          </cell>
          <cell r="R69" t="str">
            <v>180°</v>
          </cell>
          <cell r="S69" t="str">
            <v>4.03'</v>
          </cell>
          <cell r="U69" t="str">
            <v>PRINSCO HUB</v>
          </cell>
          <cell r="V69" t="str">
            <v>270°</v>
          </cell>
          <cell r="W69" t="str">
            <v>3.7'</v>
          </cell>
        </row>
        <row r="70">
          <cell r="G70" t="str">
            <v>ST52</v>
          </cell>
          <cell r="Q70" t="str">
            <v>PRINSCO HUB</v>
          </cell>
          <cell r="R70" t="str">
            <v>270°</v>
          </cell>
          <cell r="S70" t="str">
            <v>3.92'</v>
          </cell>
        </row>
        <row r="71">
          <cell r="G71" t="str">
            <v>ST53</v>
          </cell>
          <cell r="Q71"/>
          <cell r="U71"/>
        </row>
        <row r="72">
          <cell r="G72" t="str">
            <v>ST54</v>
          </cell>
          <cell r="Q72"/>
          <cell r="U72"/>
        </row>
        <row r="73">
          <cell r="G73" t="str">
            <v>ST55</v>
          </cell>
          <cell r="Q73"/>
          <cell r="U73"/>
        </row>
        <row r="74">
          <cell r="G74" t="str">
            <v>ST56</v>
          </cell>
          <cell r="Q74"/>
          <cell r="U74"/>
        </row>
        <row r="75">
          <cell r="G75" t="str">
            <v>ST57</v>
          </cell>
          <cell r="Q75" t="str">
            <v>PRINSCO HUB</v>
          </cell>
          <cell r="R75" t="str">
            <v>90°</v>
          </cell>
          <cell r="S75" t="str">
            <v>2.03'</v>
          </cell>
        </row>
        <row r="76">
          <cell r="G76" t="str">
            <v>ST63</v>
          </cell>
        </row>
        <row r="77">
          <cell r="G77" t="str">
            <v>ST71</v>
          </cell>
        </row>
        <row r="78">
          <cell r="G78" t="str">
            <v>ST72</v>
          </cell>
        </row>
        <row r="79">
          <cell r="G79" t="str">
            <v>ST103</v>
          </cell>
        </row>
        <row r="80">
          <cell r="G80" t="str">
            <v>ST113</v>
          </cell>
          <cell r="Q80" t="str">
            <v>PRINSCO HUB</v>
          </cell>
          <cell r="R80" t="str">
            <v>180°</v>
          </cell>
          <cell r="S80" t="str">
            <v>3.52'</v>
          </cell>
        </row>
        <row r="81">
          <cell r="G81" t="str">
            <v>ST114</v>
          </cell>
          <cell r="Q81" t="str">
            <v>PRINSCO HUB</v>
          </cell>
          <cell r="R81" t="str">
            <v>180°</v>
          </cell>
          <cell r="S81" t="str">
            <v>3.22'</v>
          </cell>
        </row>
        <row r="82">
          <cell r="G82" t="str">
            <v>ST124</v>
          </cell>
        </row>
        <row r="83">
          <cell r="G83" t="str">
            <v>ST129</v>
          </cell>
          <cell r="Q83" t="str">
            <v>PRINSCO HUB</v>
          </cell>
          <cell r="R83" t="str">
            <v>180°</v>
          </cell>
          <cell r="S83" t="str">
            <v>2.7'</v>
          </cell>
        </row>
        <row r="84">
          <cell r="G84" t="str">
            <v>ST130</v>
          </cell>
          <cell r="Q84" t="str">
            <v>PRINSCO HUB</v>
          </cell>
          <cell r="R84" t="str">
            <v>180°</v>
          </cell>
          <cell r="S84" t="str">
            <v>2.46'</v>
          </cell>
        </row>
        <row r="85">
          <cell r="G85" t="str">
            <v>ST131</v>
          </cell>
          <cell r="Q85" t="str">
            <v>PRINSCO HUB</v>
          </cell>
          <cell r="R85" t="str">
            <v>180°</v>
          </cell>
          <cell r="S85" t="str">
            <v>2.19'</v>
          </cell>
        </row>
        <row r="86">
          <cell r="G86"/>
          <cell r="Q86"/>
        </row>
        <row r="87">
          <cell r="G87"/>
        </row>
        <row r="88">
          <cell r="G88"/>
          <cell r="Q88"/>
        </row>
        <row r="89">
          <cell r="G89"/>
          <cell r="Q89"/>
        </row>
        <row r="90">
          <cell r="G90"/>
          <cell r="Q90"/>
        </row>
        <row r="91">
          <cell r="G91" t="str">
            <v/>
          </cell>
        </row>
        <row r="92">
          <cell r="G92" t="str">
            <v/>
          </cell>
        </row>
        <row r="93">
          <cell r="G93" t="str">
            <v/>
          </cell>
        </row>
        <row r="94">
          <cell r="G94" t="str">
            <v/>
          </cell>
        </row>
        <row r="95">
          <cell r="G95" t="str">
            <v/>
          </cell>
        </row>
        <row r="96">
          <cell r="G96" t="str">
            <v/>
          </cell>
        </row>
        <row r="97">
          <cell r="G97" t="str">
            <v/>
          </cell>
        </row>
        <row r="98">
          <cell r="G98" t="str">
            <v/>
          </cell>
        </row>
        <row r="99">
          <cell r="G99" t="str">
            <v/>
          </cell>
        </row>
        <row r="100">
          <cell r="G100" t="str">
            <v/>
          </cell>
        </row>
        <row r="101">
          <cell r="G101" t="str">
            <v/>
          </cell>
        </row>
        <row r="102">
          <cell r="G102" t="str">
            <v/>
          </cell>
        </row>
        <row r="103">
          <cell r="G103" t="str">
            <v/>
          </cell>
        </row>
        <row r="104">
          <cell r="G104" t="str">
            <v/>
          </cell>
        </row>
        <row r="105">
          <cell r="G105" t="str">
            <v/>
          </cell>
        </row>
        <row r="106">
          <cell r="G106" t="str">
            <v/>
          </cell>
        </row>
        <row r="107">
          <cell r="G107" t="str">
            <v/>
          </cell>
        </row>
        <row r="108">
          <cell r="G108" t="str">
            <v/>
          </cell>
        </row>
        <row r="109">
          <cell r="G109" t="str">
            <v/>
          </cell>
        </row>
        <row r="110">
          <cell r="G110" t="str">
            <v/>
          </cell>
        </row>
        <row r="111">
          <cell r="G111" t="str">
            <v/>
          </cell>
        </row>
        <row r="112">
          <cell r="G112" t="str">
            <v/>
          </cell>
        </row>
        <row r="113">
          <cell r="G113" t="str">
            <v/>
          </cell>
        </row>
        <row r="114">
          <cell r="G114" t="str">
            <v/>
          </cell>
        </row>
        <row r="115">
          <cell r="G115" t="str">
            <v/>
          </cell>
        </row>
        <row r="116">
          <cell r="G116" t="str">
            <v/>
          </cell>
        </row>
        <row r="117">
          <cell r="G117" t="str">
            <v/>
          </cell>
        </row>
        <row r="118">
          <cell r="G118" t="str">
            <v/>
          </cell>
        </row>
        <row r="119">
          <cell r="G119" t="str">
            <v/>
          </cell>
        </row>
        <row r="120">
          <cell r="G120" t="str">
            <v/>
          </cell>
        </row>
        <row r="121">
          <cell r="G121" t="str">
            <v/>
          </cell>
        </row>
        <row r="122">
          <cell r="G122" t="str">
            <v/>
          </cell>
        </row>
        <row r="123">
          <cell r="G123" t="str">
            <v/>
          </cell>
        </row>
        <row r="124">
          <cell r="G124" t="str">
            <v/>
          </cell>
        </row>
        <row r="125">
          <cell r="G125" t="str">
            <v/>
          </cell>
        </row>
        <row r="126">
          <cell r="G126" t="str">
            <v/>
          </cell>
        </row>
        <row r="127">
          <cell r="G127" t="str">
            <v/>
          </cell>
        </row>
        <row r="128">
          <cell r="G128" t="str">
            <v/>
          </cell>
        </row>
        <row r="129">
          <cell r="G129" t="str">
            <v/>
          </cell>
        </row>
        <row r="130">
          <cell r="G130" t="str">
            <v/>
          </cell>
        </row>
        <row r="131">
          <cell r="G131" t="str">
            <v/>
          </cell>
        </row>
        <row r="132">
          <cell r="G132" t="str">
            <v/>
          </cell>
        </row>
        <row r="133">
          <cell r="G133" t="str">
            <v/>
          </cell>
        </row>
        <row r="134">
          <cell r="G134" t="str">
            <v/>
          </cell>
        </row>
        <row r="135">
          <cell r="G135" t="str">
            <v/>
          </cell>
        </row>
        <row r="136">
          <cell r="G136" t="str">
            <v/>
          </cell>
        </row>
        <row r="137">
          <cell r="G137" t="str">
            <v/>
          </cell>
        </row>
        <row r="138">
          <cell r="G138" t="str">
            <v/>
          </cell>
        </row>
        <row r="139">
          <cell r="G139" t="str">
            <v/>
          </cell>
        </row>
        <row r="140">
          <cell r="G140" t="str">
            <v/>
          </cell>
        </row>
        <row r="141">
          <cell r="G141" t="str">
            <v/>
          </cell>
        </row>
        <row r="142">
          <cell r="G142" t="str">
            <v/>
          </cell>
        </row>
        <row r="143">
          <cell r="G143" t="str">
            <v/>
          </cell>
        </row>
        <row r="144">
          <cell r="G144" t="str">
            <v/>
          </cell>
        </row>
        <row r="145">
          <cell r="G145" t="str">
            <v/>
          </cell>
        </row>
        <row r="146">
          <cell r="G146" t="str">
            <v/>
          </cell>
        </row>
        <row r="147">
          <cell r="G147" t="str">
            <v/>
          </cell>
        </row>
        <row r="148">
          <cell r="G148" t="str">
            <v/>
          </cell>
        </row>
        <row r="149">
          <cell r="G149" t="str">
            <v/>
          </cell>
        </row>
        <row r="150">
          <cell r="G150" t="str">
            <v/>
          </cell>
        </row>
        <row r="151">
          <cell r="G151" t="str">
            <v/>
          </cell>
        </row>
        <row r="152">
          <cell r="G152" t="str">
            <v/>
          </cell>
        </row>
        <row r="153">
          <cell r="G153" t="str">
            <v/>
          </cell>
        </row>
        <row r="154">
          <cell r="G154" t="str">
            <v/>
          </cell>
        </row>
        <row r="155">
          <cell r="G155" t="str">
            <v/>
          </cell>
        </row>
        <row r="156">
          <cell r="G156" t="str">
            <v/>
          </cell>
        </row>
        <row r="157">
          <cell r="G157" t="str">
            <v/>
          </cell>
        </row>
        <row r="158">
          <cell r="G158" t="str">
            <v/>
          </cell>
        </row>
        <row r="159">
          <cell r="G159" t="str">
            <v/>
          </cell>
        </row>
        <row r="160">
          <cell r="G160" t="str">
            <v/>
          </cell>
        </row>
        <row r="161">
          <cell r="G161" t="str">
            <v/>
          </cell>
        </row>
        <row r="162">
          <cell r="G162" t="str">
            <v/>
          </cell>
        </row>
        <row r="163">
          <cell r="G163" t="str">
            <v/>
          </cell>
        </row>
        <row r="164">
          <cell r="G164" t="str">
            <v/>
          </cell>
        </row>
        <row r="165">
          <cell r="G165" t="str">
            <v/>
          </cell>
        </row>
        <row r="166">
          <cell r="G166" t="str">
            <v/>
          </cell>
        </row>
        <row r="167">
          <cell r="G167" t="str">
            <v/>
          </cell>
        </row>
        <row r="168">
          <cell r="G168" t="str">
            <v/>
          </cell>
        </row>
        <row r="169">
          <cell r="G169" t="str">
            <v/>
          </cell>
        </row>
        <row r="170">
          <cell r="G170" t="str">
            <v/>
          </cell>
        </row>
        <row r="171">
          <cell r="G171" t="str">
            <v/>
          </cell>
        </row>
        <row r="172">
          <cell r="G172" t="str">
            <v/>
          </cell>
        </row>
        <row r="173">
          <cell r="G173" t="str">
            <v/>
          </cell>
        </row>
        <row r="174">
          <cell r="G174" t="str">
            <v/>
          </cell>
        </row>
        <row r="175">
          <cell r="G175" t="str">
            <v/>
          </cell>
        </row>
        <row r="176">
          <cell r="G176" t="str">
            <v/>
          </cell>
        </row>
        <row r="177">
          <cell r="G177" t="str">
            <v/>
          </cell>
        </row>
        <row r="178">
          <cell r="G178" t="str">
            <v/>
          </cell>
        </row>
        <row r="179">
          <cell r="G179" t="str">
            <v/>
          </cell>
        </row>
        <row r="180">
          <cell r="G180" t="str">
            <v/>
          </cell>
        </row>
        <row r="181">
          <cell r="G181" t="str">
            <v/>
          </cell>
        </row>
        <row r="182">
          <cell r="G182" t="str">
            <v/>
          </cell>
        </row>
        <row r="183">
          <cell r="G183" t="str">
            <v/>
          </cell>
        </row>
        <row r="184">
          <cell r="G184" t="str">
            <v/>
          </cell>
        </row>
        <row r="185">
          <cell r="G185" t="str">
            <v/>
          </cell>
        </row>
        <row r="186">
          <cell r="G186" t="str">
            <v/>
          </cell>
        </row>
        <row r="187">
          <cell r="G187" t="str">
            <v/>
          </cell>
        </row>
        <row r="188">
          <cell r="G188" t="str">
            <v/>
          </cell>
        </row>
        <row r="189">
          <cell r="G189" t="str">
            <v/>
          </cell>
        </row>
        <row r="190">
          <cell r="G190" t="str">
            <v/>
          </cell>
        </row>
        <row r="191">
          <cell r="G191" t="str">
            <v/>
          </cell>
        </row>
        <row r="192">
          <cell r="G192" t="str">
            <v/>
          </cell>
        </row>
        <row r="193">
          <cell r="G193" t="str">
            <v/>
          </cell>
        </row>
        <row r="194">
          <cell r="G194" t="str">
            <v/>
          </cell>
        </row>
        <row r="195">
          <cell r="G195" t="str">
            <v/>
          </cell>
        </row>
        <row r="196">
          <cell r="G196" t="str">
            <v/>
          </cell>
        </row>
        <row r="197">
          <cell r="G197" t="str">
            <v/>
          </cell>
        </row>
        <row r="198">
          <cell r="G198" t="str">
            <v/>
          </cell>
        </row>
        <row r="199">
          <cell r="G199" t="str">
            <v/>
          </cell>
        </row>
        <row r="200">
          <cell r="G200" t="str">
            <v/>
          </cell>
        </row>
        <row r="201">
          <cell r="G201" t="str">
            <v/>
          </cell>
        </row>
        <row r="202">
          <cell r="G202" t="str">
            <v/>
          </cell>
        </row>
        <row r="203">
          <cell r="G203" t="str">
            <v/>
          </cell>
        </row>
        <row r="204">
          <cell r="G204" t="str">
            <v/>
          </cell>
        </row>
        <row r="205">
          <cell r="G205" t="str">
            <v/>
          </cell>
        </row>
        <row r="206">
          <cell r="G206" t="str">
            <v/>
          </cell>
        </row>
        <row r="207">
          <cell r="G207" t="str">
            <v/>
          </cell>
        </row>
        <row r="208">
          <cell r="G208" t="str">
            <v/>
          </cell>
        </row>
        <row r="209">
          <cell r="G209" t="str">
            <v/>
          </cell>
        </row>
        <row r="210">
          <cell r="G210" t="str">
            <v/>
          </cell>
        </row>
        <row r="211">
          <cell r="G211" t="str">
            <v/>
          </cell>
        </row>
        <row r="212">
          <cell r="G212" t="str">
            <v/>
          </cell>
        </row>
        <row r="213">
          <cell r="G213" t="str">
            <v/>
          </cell>
        </row>
        <row r="214">
          <cell r="G214" t="str">
            <v/>
          </cell>
        </row>
        <row r="215">
          <cell r="G215" t="str">
            <v/>
          </cell>
        </row>
        <row r="216">
          <cell r="G216" t="str">
            <v/>
          </cell>
        </row>
        <row r="217">
          <cell r="G217" t="str">
            <v/>
          </cell>
        </row>
        <row r="218">
          <cell r="G218" t="str">
            <v/>
          </cell>
        </row>
        <row r="219">
          <cell r="G219" t="str">
            <v/>
          </cell>
        </row>
        <row r="220">
          <cell r="G220" t="str">
            <v/>
          </cell>
        </row>
        <row r="221">
          <cell r="G221" t="str">
            <v/>
          </cell>
        </row>
        <row r="222">
          <cell r="G222" t="str">
            <v/>
          </cell>
        </row>
        <row r="223">
          <cell r="G223" t="str">
            <v/>
          </cell>
        </row>
        <row r="224">
          <cell r="G224" t="str">
            <v/>
          </cell>
        </row>
        <row r="225">
          <cell r="G225" t="str">
            <v/>
          </cell>
        </row>
        <row r="226">
          <cell r="G226" t="str">
            <v/>
          </cell>
        </row>
        <row r="227">
          <cell r="G227" t="str">
            <v/>
          </cell>
        </row>
        <row r="228">
          <cell r="G228" t="str">
            <v/>
          </cell>
        </row>
        <row r="229">
          <cell r="G229" t="str">
            <v/>
          </cell>
        </row>
        <row r="230">
          <cell r="G230" t="str">
            <v/>
          </cell>
        </row>
        <row r="231">
          <cell r="G231" t="str">
            <v/>
          </cell>
        </row>
        <row r="232">
          <cell r="G232" t="str">
            <v/>
          </cell>
        </row>
        <row r="233">
          <cell r="G233" t="str">
            <v/>
          </cell>
        </row>
        <row r="234">
          <cell r="G234" t="str">
            <v/>
          </cell>
        </row>
        <row r="235">
          <cell r="G235" t="str">
            <v/>
          </cell>
        </row>
        <row r="236">
          <cell r="G236" t="str">
            <v/>
          </cell>
        </row>
        <row r="237">
          <cell r="G237" t="str">
            <v/>
          </cell>
        </row>
        <row r="238">
          <cell r="G238" t="str">
            <v/>
          </cell>
        </row>
        <row r="239">
          <cell r="G239" t="str">
            <v/>
          </cell>
        </row>
        <row r="240">
          <cell r="G240" t="str">
            <v/>
          </cell>
        </row>
        <row r="241">
          <cell r="G241" t="str">
            <v/>
          </cell>
        </row>
        <row r="242">
          <cell r="G242" t="str">
            <v/>
          </cell>
        </row>
        <row r="243">
          <cell r="G243" t="str">
            <v/>
          </cell>
        </row>
        <row r="244">
          <cell r="G244" t="str">
            <v/>
          </cell>
        </row>
        <row r="245">
          <cell r="G245" t="str">
            <v/>
          </cell>
        </row>
        <row r="246">
          <cell r="G246" t="str">
            <v/>
          </cell>
        </row>
        <row r="247">
          <cell r="G247" t="str">
            <v/>
          </cell>
        </row>
        <row r="248">
          <cell r="G248" t="str">
            <v/>
          </cell>
        </row>
        <row r="249">
          <cell r="G249" t="str">
            <v/>
          </cell>
        </row>
        <row r="250">
          <cell r="G250" t="str">
            <v/>
          </cell>
        </row>
        <row r="251">
          <cell r="G251" t="str">
            <v/>
          </cell>
        </row>
        <row r="252">
          <cell r="G252" t="str">
            <v/>
          </cell>
        </row>
        <row r="253">
          <cell r="G253" t="str">
            <v/>
          </cell>
        </row>
        <row r="254">
          <cell r="G254" t="str">
            <v/>
          </cell>
        </row>
        <row r="255">
          <cell r="G255" t="str">
            <v/>
          </cell>
        </row>
        <row r="256">
          <cell r="G256" t="str">
            <v/>
          </cell>
        </row>
        <row r="257">
          <cell r="G257" t="str">
            <v/>
          </cell>
        </row>
        <row r="258">
          <cell r="G258" t="str">
            <v/>
          </cell>
        </row>
        <row r="259">
          <cell r="G259" t="str">
            <v/>
          </cell>
        </row>
        <row r="260">
          <cell r="G260" t="str">
            <v/>
          </cell>
        </row>
        <row r="261">
          <cell r="G261" t="str">
            <v/>
          </cell>
        </row>
        <row r="262">
          <cell r="G262" t="str">
            <v/>
          </cell>
        </row>
        <row r="263">
          <cell r="G263" t="str">
            <v/>
          </cell>
        </row>
        <row r="264">
          <cell r="G264" t="str">
            <v/>
          </cell>
        </row>
        <row r="265">
          <cell r="G265" t="str">
            <v/>
          </cell>
        </row>
        <row r="266">
          <cell r="G266" t="str">
            <v/>
          </cell>
        </row>
        <row r="267">
          <cell r="G267" t="str">
            <v/>
          </cell>
        </row>
        <row r="268">
          <cell r="G268" t="str">
            <v/>
          </cell>
        </row>
        <row r="269">
          <cell r="G269" t="str">
            <v/>
          </cell>
        </row>
        <row r="270">
          <cell r="G270" t="str">
            <v/>
          </cell>
        </row>
        <row r="271">
          <cell r="G271" t="str">
            <v/>
          </cell>
        </row>
        <row r="272">
          <cell r="G272" t="str">
            <v/>
          </cell>
        </row>
        <row r="273">
          <cell r="G273" t="str">
            <v/>
          </cell>
        </row>
        <row r="274">
          <cell r="G274" t="str">
            <v/>
          </cell>
        </row>
        <row r="275">
          <cell r="G275" t="str">
            <v/>
          </cell>
        </row>
        <row r="276">
          <cell r="G276" t="str">
            <v/>
          </cell>
        </row>
        <row r="277">
          <cell r="G277" t="str">
            <v/>
          </cell>
        </row>
        <row r="278">
          <cell r="G278" t="str">
            <v/>
          </cell>
        </row>
        <row r="279">
          <cell r="G279" t="str">
            <v/>
          </cell>
        </row>
        <row r="280">
          <cell r="G280" t="str">
            <v/>
          </cell>
        </row>
        <row r="281">
          <cell r="G281" t="str">
            <v/>
          </cell>
        </row>
        <row r="282">
          <cell r="G282" t="str">
            <v/>
          </cell>
        </row>
        <row r="283">
          <cell r="G283" t="str">
            <v/>
          </cell>
        </row>
        <row r="284">
          <cell r="G284" t="str">
            <v/>
          </cell>
        </row>
        <row r="285">
          <cell r="G285" t="str">
            <v/>
          </cell>
        </row>
        <row r="286">
          <cell r="G286" t="str">
            <v/>
          </cell>
        </row>
        <row r="287">
          <cell r="G287" t="str">
            <v/>
          </cell>
        </row>
        <row r="288">
          <cell r="G288" t="str">
            <v/>
          </cell>
        </row>
        <row r="289">
          <cell r="G289" t="str">
            <v/>
          </cell>
        </row>
        <row r="290">
          <cell r="G290" t="str">
            <v/>
          </cell>
        </row>
        <row r="291">
          <cell r="G291" t="str">
            <v/>
          </cell>
        </row>
        <row r="292">
          <cell r="G292" t="str">
            <v/>
          </cell>
        </row>
        <row r="293">
          <cell r="G293" t="str">
            <v/>
          </cell>
        </row>
        <row r="294">
          <cell r="G294" t="str">
            <v/>
          </cell>
        </row>
        <row r="295">
          <cell r="G295" t="str">
            <v/>
          </cell>
        </row>
        <row r="296">
          <cell r="G296" t="str">
            <v/>
          </cell>
        </row>
        <row r="297">
          <cell r="G297" t="str">
            <v/>
          </cell>
        </row>
        <row r="298">
          <cell r="G298" t="str">
            <v/>
          </cell>
        </row>
        <row r="299">
          <cell r="G299" t="str">
            <v/>
          </cell>
        </row>
        <row r="300">
          <cell r="G300" t="str">
            <v/>
          </cell>
        </row>
        <row r="301">
          <cell r="G301" t="str">
            <v/>
          </cell>
        </row>
        <row r="302">
          <cell r="G302" t="str">
            <v/>
          </cell>
        </row>
        <row r="303">
          <cell r="G303" t="str">
            <v/>
          </cell>
        </row>
        <row r="304">
          <cell r="G304" t="str">
            <v/>
          </cell>
        </row>
        <row r="305">
          <cell r="G305" t="str">
            <v/>
          </cell>
        </row>
        <row r="306">
          <cell r="G306" t="str">
            <v/>
          </cell>
        </row>
        <row r="307">
          <cell r="G307" t="str">
            <v/>
          </cell>
        </row>
        <row r="308">
          <cell r="G308" t="str">
            <v/>
          </cell>
        </row>
        <row r="309">
          <cell r="G309" t="str">
            <v/>
          </cell>
        </row>
        <row r="310">
          <cell r="G310" t="str">
            <v/>
          </cell>
        </row>
        <row r="311">
          <cell r="G311" t="str">
            <v/>
          </cell>
        </row>
        <row r="312">
          <cell r="G312" t="str">
            <v/>
          </cell>
        </row>
        <row r="313">
          <cell r="G313" t="str">
            <v/>
          </cell>
        </row>
        <row r="314">
          <cell r="G314" t="str">
            <v/>
          </cell>
        </row>
        <row r="315">
          <cell r="G315" t="str">
            <v/>
          </cell>
        </row>
        <row r="316">
          <cell r="G316" t="str">
            <v/>
          </cell>
        </row>
        <row r="317">
          <cell r="G317" t="str">
            <v/>
          </cell>
        </row>
        <row r="318">
          <cell r="G318" t="str">
            <v/>
          </cell>
        </row>
        <row r="319">
          <cell r="G319" t="str">
            <v/>
          </cell>
        </row>
        <row r="320">
          <cell r="G320" t="str">
            <v/>
          </cell>
        </row>
        <row r="321">
          <cell r="G321" t="str">
            <v/>
          </cell>
        </row>
        <row r="322">
          <cell r="G322" t="str">
            <v/>
          </cell>
        </row>
        <row r="323">
          <cell r="G323" t="str">
            <v/>
          </cell>
        </row>
        <row r="324">
          <cell r="G324" t="str">
            <v/>
          </cell>
        </row>
        <row r="325">
          <cell r="G325" t="str">
            <v/>
          </cell>
        </row>
        <row r="326">
          <cell r="G326" t="str">
            <v/>
          </cell>
        </row>
        <row r="327">
          <cell r="G327" t="str">
            <v/>
          </cell>
        </row>
        <row r="328">
          <cell r="G328" t="str">
            <v/>
          </cell>
        </row>
        <row r="329">
          <cell r="G329" t="str">
            <v/>
          </cell>
        </row>
        <row r="330">
          <cell r="G330" t="str">
            <v/>
          </cell>
        </row>
        <row r="331">
          <cell r="G331" t="str">
            <v/>
          </cell>
        </row>
        <row r="332">
          <cell r="G332" t="str">
            <v/>
          </cell>
        </row>
        <row r="333">
          <cell r="G333" t="str">
            <v/>
          </cell>
        </row>
        <row r="334">
          <cell r="G334" t="str">
            <v/>
          </cell>
        </row>
        <row r="335">
          <cell r="G335" t="str">
            <v/>
          </cell>
        </row>
        <row r="336">
          <cell r="G336" t="str">
            <v/>
          </cell>
        </row>
        <row r="337">
          <cell r="G337" t="str">
            <v/>
          </cell>
        </row>
        <row r="338">
          <cell r="G338" t="str">
            <v/>
          </cell>
        </row>
        <row r="339">
          <cell r="G339" t="str">
            <v/>
          </cell>
        </row>
        <row r="340">
          <cell r="G340" t="str">
            <v/>
          </cell>
        </row>
        <row r="341">
          <cell r="G341" t="str">
            <v/>
          </cell>
        </row>
        <row r="342">
          <cell r="G342" t="str">
            <v/>
          </cell>
        </row>
        <row r="343">
          <cell r="G343" t="str">
            <v/>
          </cell>
        </row>
        <row r="344">
          <cell r="G344" t="str">
            <v/>
          </cell>
        </row>
        <row r="345">
          <cell r="G345" t="str">
            <v/>
          </cell>
        </row>
        <row r="346">
          <cell r="G346" t="str">
            <v/>
          </cell>
        </row>
        <row r="347">
          <cell r="G347" t="str">
            <v/>
          </cell>
        </row>
        <row r="348">
          <cell r="G348" t="str">
            <v/>
          </cell>
        </row>
        <row r="349">
          <cell r="G349" t="str">
            <v/>
          </cell>
        </row>
        <row r="350">
          <cell r="G350" t="str">
            <v/>
          </cell>
        </row>
        <row r="351">
          <cell r="G351" t="str">
            <v/>
          </cell>
        </row>
        <row r="352">
          <cell r="G352" t="str">
            <v/>
          </cell>
        </row>
        <row r="353">
          <cell r="G353" t="str">
            <v/>
          </cell>
        </row>
        <row r="354">
          <cell r="G354" t="str">
            <v/>
          </cell>
        </row>
        <row r="355">
          <cell r="G355" t="str">
            <v/>
          </cell>
        </row>
        <row r="356">
          <cell r="G356" t="str">
            <v/>
          </cell>
        </row>
        <row r="357">
          <cell r="G357" t="str">
            <v/>
          </cell>
        </row>
        <row r="358">
          <cell r="G358" t="str">
            <v/>
          </cell>
        </row>
        <row r="359">
          <cell r="G359" t="str">
            <v/>
          </cell>
        </row>
        <row r="360">
          <cell r="G360" t="str">
            <v/>
          </cell>
        </row>
        <row r="361">
          <cell r="G361" t="str">
            <v/>
          </cell>
        </row>
        <row r="362">
          <cell r="G362" t="str">
            <v/>
          </cell>
        </row>
        <row r="363">
          <cell r="G363" t="str">
            <v/>
          </cell>
        </row>
        <row r="364">
          <cell r="G364" t="str">
            <v/>
          </cell>
        </row>
        <row r="365">
          <cell r="G365" t="str">
            <v/>
          </cell>
        </row>
        <row r="366">
          <cell r="G366" t="str">
            <v/>
          </cell>
        </row>
        <row r="367">
          <cell r="G367" t="str">
            <v/>
          </cell>
        </row>
        <row r="368">
          <cell r="G368" t="str">
            <v/>
          </cell>
        </row>
        <row r="369">
          <cell r="G369" t="str">
            <v/>
          </cell>
        </row>
        <row r="370">
          <cell r="G370" t="str">
            <v/>
          </cell>
        </row>
        <row r="371">
          <cell r="G371" t="str">
            <v/>
          </cell>
        </row>
        <row r="372">
          <cell r="G372" t="str">
            <v/>
          </cell>
        </row>
        <row r="373">
          <cell r="G373" t="str">
            <v/>
          </cell>
        </row>
        <row r="374">
          <cell r="G374" t="str">
            <v/>
          </cell>
        </row>
        <row r="375">
          <cell r="G375" t="str">
            <v/>
          </cell>
        </row>
        <row r="376">
          <cell r="G376" t="str">
            <v/>
          </cell>
        </row>
        <row r="377">
          <cell r="G377" t="str">
            <v/>
          </cell>
        </row>
        <row r="378">
          <cell r="G378" t="str">
            <v/>
          </cell>
        </row>
        <row r="379">
          <cell r="G379" t="str">
            <v/>
          </cell>
        </row>
        <row r="380">
          <cell r="G380" t="str">
            <v/>
          </cell>
        </row>
        <row r="381">
          <cell r="G381" t="str">
            <v/>
          </cell>
        </row>
        <row r="382">
          <cell r="G382" t="str">
            <v/>
          </cell>
        </row>
        <row r="383">
          <cell r="G383" t="str">
            <v/>
          </cell>
        </row>
        <row r="384">
          <cell r="G384" t="str">
            <v/>
          </cell>
        </row>
        <row r="385">
          <cell r="G385" t="str">
            <v/>
          </cell>
        </row>
        <row r="386">
          <cell r="G386" t="str">
            <v/>
          </cell>
        </row>
        <row r="387">
          <cell r="G387" t="str">
            <v/>
          </cell>
        </row>
        <row r="388">
          <cell r="G388" t="str">
            <v/>
          </cell>
        </row>
        <row r="389">
          <cell r="G389" t="str">
            <v/>
          </cell>
        </row>
        <row r="390">
          <cell r="G390" t="str">
            <v/>
          </cell>
        </row>
        <row r="391">
          <cell r="G391" t="str">
            <v/>
          </cell>
        </row>
        <row r="392">
          <cell r="G392" t="str">
            <v/>
          </cell>
        </row>
        <row r="393">
          <cell r="G393" t="str">
            <v/>
          </cell>
        </row>
        <row r="394">
          <cell r="G394" t="str">
            <v/>
          </cell>
        </row>
        <row r="395">
          <cell r="G395" t="str">
            <v/>
          </cell>
        </row>
        <row r="396">
          <cell r="G396" t="str">
            <v/>
          </cell>
        </row>
        <row r="397">
          <cell r="G397" t="str">
            <v/>
          </cell>
        </row>
        <row r="398">
          <cell r="G398" t="str">
            <v/>
          </cell>
        </row>
        <row r="399">
          <cell r="G399" t="str">
            <v/>
          </cell>
        </row>
        <row r="400">
          <cell r="G400" t="str">
            <v/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4"/>
    </sheetNames>
    <sheetDataSet>
      <sheetData sheetId="0"/>
      <sheetData sheetId="1">
        <row r="3">
          <cell r="B3" t="str">
            <v>Item No.</v>
          </cell>
          <cell r="C3" t="str">
            <v>Size/Description</v>
          </cell>
        </row>
        <row r="4">
          <cell r="B4" t="str">
            <v>DB0805SC</v>
          </cell>
          <cell r="C4" t="str">
            <v>8" Drain Basin W/Light Duty Solid Cover, 0' - 5'</v>
          </cell>
        </row>
        <row r="5">
          <cell r="B5" t="str">
            <v>DB0810SC</v>
          </cell>
          <cell r="C5" t="str">
            <v>8" Drain Basin W/Light Duty Solid Cover, 5' - 10'</v>
          </cell>
        </row>
        <row r="6">
          <cell r="B6" t="str">
            <v>DB1005SC</v>
          </cell>
          <cell r="C6" t="str">
            <v>10" Drain Basin W/ Light Duty Cover , 0'-5'</v>
          </cell>
        </row>
        <row r="7">
          <cell r="B7" t="str">
            <v>DB1010SC</v>
          </cell>
          <cell r="C7" t="str">
            <v>10" Drain Basin W/ Light Duty Cover , 5'-10'</v>
          </cell>
        </row>
        <row r="8">
          <cell r="B8" t="str">
            <v>DB1205SC</v>
          </cell>
          <cell r="C8" t="str">
            <v>12" Drain Basin W/H-25 Round Solid Cover/Frame, 0'-5'</v>
          </cell>
        </row>
        <row r="9">
          <cell r="B9" t="str">
            <v>DB1210SC</v>
          </cell>
          <cell r="C9" t="str">
            <v>12" Drain Basin W/H-25 Round Solid Cover/Frame, 5' - 10'</v>
          </cell>
        </row>
        <row r="10">
          <cell r="B10" t="str">
            <v>DB1505SC</v>
          </cell>
          <cell r="C10" t="str">
            <v>15" Drain Basin W/H-25 Round Solid Cover/Frame, 0'-5'</v>
          </cell>
        </row>
        <row r="11">
          <cell r="B11" t="str">
            <v>DB1510SC</v>
          </cell>
          <cell r="C11" t="str">
            <v>15" Drain Basin W/H-25 Round Solid Cover/Frame, 5' - 10'</v>
          </cell>
        </row>
        <row r="12">
          <cell r="B12" t="str">
            <v>DB1805SC</v>
          </cell>
          <cell r="C12" t="str">
            <v>18" Drain Basin W/H-25 Round Solid Cover/Frame, 0'-5'</v>
          </cell>
        </row>
        <row r="13">
          <cell r="B13" t="str">
            <v>DB1810SC</v>
          </cell>
          <cell r="C13" t="str">
            <v>18" Drain Basin W/H-25 Round Solid Cover/Frame, 5' - 10'</v>
          </cell>
        </row>
        <row r="14">
          <cell r="B14" t="str">
            <v>DB2405SC</v>
          </cell>
          <cell r="C14" t="str">
            <v>24" Drain Basin W/H-25 Round Solid Cover/Frame, 0'-5'</v>
          </cell>
        </row>
        <row r="15">
          <cell r="B15" t="str">
            <v>DB2410SC</v>
          </cell>
          <cell r="C15" t="str">
            <v>24" Drain Basin W/H-25 Round Solid Cover/Frame, 5' - 10'</v>
          </cell>
        </row>
        <row r="16">
          <cell r="B16" t="str">
            <v>DB3005SC</v>
          </cell>
          <cell r="C16" t="str">
            <v>30" Drain Basin W/H-25 Round Solid Cover/Frame, 0'-5'</v>
          </cell>
        </row>
        <row r="17">
          <cell r="B17" t="str">
            <v>DB3010SC</v>
          </cell>
          <cell r="C17" t="str">
            <v>30" Drain Basin W/H-25 Round Solid Cover/Frame, 5' - 10'</v>
          </cell>
        </row>
        <row r="18">
          <cell r="B18" t="str">
            <v>DB3605SC</v>
          </cell>
          <cell r="C18" t="str">
            <v>36" Drain Basin W/H-25 Round Solid Cover/Frame, 0'-5'</v>
          </cell>
        </row>
        <row r="19">
          <cell r="B19" t="str">
            <v>DB3610SC</v>
          </cell>
          <cell r="C19" t="str">
            <v>36" Drain Basin W/H-25 Round Solid Cover/Frame, 5' -10'</v>
          </cell>
        </row>
        <row r="20">
          <cell r="B20" t="str">
            <v>DB0805PS</v>
          </cell>
          <cell r="C20" t="str">
            <v>8" Drain Basin, Light Duty Pedestrian Grate, 0'-5'</v>
          </cell>
        </row>
        <row r="21">
          <cell r="B21" t="str">
            <v>DB0810PS</v>
          </cell>
          <cell r="C21" t="str">
            <v>8" Drain Basin, Light Duty Pedestrian Grate, 5' - 10'</v>
          </cell>
        </row>
        <row r="22">
          <cell r="B22" t="str">
            <v>DB1005PS</v>
          </cell>
          <cell r="C22" t="str">
            <v>10" Drain Basin W/Light Duty Pedestrian Grate, 0'-5'</v>
          </cell>
        </row>
        <row r="23">
          <cell r="B23" t="str">
            <v>DB1010PS</v>
          </cell>
          <cell r="C23" t="str">
            <v>10" Drain Basin W/Light Duty Pedestrian Grate, 5' - 10'</v>
          </cell>
        </row>
        <row r="24">
          <cell r="B24" t="str">
            <v>DB1205PS</v>
          </cell>
          <cell r="C24" t="str">
            <v>12" Drain Basin W/ Slotted H10 Grate, 0'-5'</v>
          </cell>
        </row>
        <row r="25">
          <cell r="B25" t="str">
            <v>DB1210PS</v>
          </cell>
          <cell r="C25" t="str">
            <v>12" Drain Basin W/ Slotted H10 Grate, 5' - 10'</v>
          </cell>
        </row>
        <row r="26">
          <cell r="B26" t="str">
            <v>DB1505PS</v>
          </cell>
          <cell r="C26" t="str">
            <v>15" Drain Basin W/ Slotted H10 Grate, 5' - 10'</v>
          </cell>
        </row>
        <row r="27">
          <cell r="B27" t="str">
            <v>DB1510PS</v>
          </cell>
          <cell r="C27" t="str">
            <v>15" Drain Basin W/ Slotted H10 Grate,5' - 10'</v>
          </cell>
        </row>
        <row r="28">
          <cell r="B28" t="str">
            <v>DB1805PS</v>
          </cell>
          <cell r="C28" t="str">
            <v>18" Drain Basin W/ Slotted H10 Grate, 0'-5'</v>
          </cell>
        </row>
        <row r="29">
          <cell r="B29" t="str">
            <v>DB1810PS</v>
          </cell>
          <cell r="C29" t="str">
            <v>18" Drain Basin W/ Slotted H10 Grate, 5' - 10'</v>
          </cell>
        </row>
        <row r="30">
          <cell r="B30" t="str">
            <v>DB2405PS</v>
          </cell>
          <cell r="C30" t="str">
            <v>24" Drain Basin W/ Slotted H10 Grate, 0'-5'</v>
          </cell>
        </row>
        <row r="31">
          <cell r="B31" t="str">
            <v>DB2410PS</v>
          </cell>
          <cell r="C31" t="str">
            <v>24" Drain Basin W/ Slotted H10 Grate, 5' - 10'</v>
          </cell>
        </row>
        <row r="32">
          <cell r="B32" t="str">
            <v>DB3005PS</v>
          </cell>
          <cell r="C32" t="str">
            <v>30" Drain Basin W/  Slotted H10 Grate, 0'-5'</v>
          </cell>
        </row>
        <row r="33">
          <cell r="B33" t="str">
            <v>DB3010PS</v>
          </cell>
          <cell r="C33" t="str">
            <v>30" Drain Basin W/ Slotted H10 Grate, 5' - 10'</v>
          </cell>
        </row>
        <row r="34">
          <cell r="B34" t="str">
            <v>DB0805DG</v>
          </cell>
          <cell r="C34" t="str">
            <v>8" Drain Basin W/H-10 Domed Grate, 0'-5'</v>
          </cell>
        </row>
        <row r="35">
          <cell r="B35" t="str">
            <v>DB0810DG</v>
          </cell>
          <cell r="C35" t="str">
            <v>8" Drain Basin W/H-10 Domed Grate, 5' - 10'</v>
          </cell>
        </row>
        <row r="36">
          <cell r="B36" t="str">
            <v>DB1005DG</v>
          </cell>
          <cell r="C36" t="str">
            <v>10" Drain Basin W/H-10 Domed Grate, 0'-5'</v>
          </cell>
        </row>
        <row r="37">
          <cell r="B37" t="str">
            <v>DB1010DG</v>
          </cell>
          <cell r="C37" t="str">
            <v>10" Drain Basin W/H-10 Domed Grate, 5' - 10'</v>
          </cell>
        </row>
        <row r="38">
          <cell r="B38" t="str">
            <v>DB1205DG</v>
          </cell>
          <cell r="C38" t="str">
            <v>12" Drain Basin W/H-10 Domed Grate, 0'-5'</v>
          </cell>
        </row>
        <row r="39">
          <cell r="B39" t="str">
            <v>DB1210DG</v>
          </cell>
          <cell r="C39" t="str">
            <v>12" Drain Basin W/H-10 Domed Grate, 5' - 10'</v>
          </cell>
        </row>
        <row r="40">
          <cell r="B40" t="str">
            <v>DB1505DG</v>
          </cell>
          <cell r="C40" t="str">
            <v>15" Drain Basin W/H-10 Domed Grate, 0'-5'</v>
          </cell>
        </row>
        <row r="41">
          <cell r="B41" t="str">
            <v>DB1510DG</v>
          </cell>
          <cell r="C41" t="str">
            <v>15" Drain Basin W/H-10 Domed Grate, 5' - 10'</v>
          </cell>
        </row>
        <row r="42">
          <cell r="B42" t="str">
            <v>DB1805DG</v>
          </cell>
          <cell r="C42" t="str">
            <v>18" Drain Basin W/H-10 Domed Grate, 0'-5'</v>
          </cell>
        </row>
        <row r="43">
          <cell r="B43" t="str">
            <v>DB1810DG</v>
          </cell>
          <cell r="C43" t="str">
            <v>18" Drain Basin W/H-10 Domed Grate, 5' - 10'</v>
          </cell>
        </row>
        <row r="44">
          <cell r="B44" t="str">
            <v>DB2405DG</v>
          </cell>
          <cell r="C44" t="str">
            <v>24" Drain Basin W/H-10 Domed Grate, 0'-5'</v>
          </cell>
        </row>
        <row r="45">
          <cell r="B45" t="str">
            <v>DB2410DG</v>
          </cell>
          <cell r="C45" t="str">
            <v>24" Drain Basin W/H-10 Domed Grate, 5' - 10'</v>
          </cell>
        </row>
        <row r="46">
          <cell r="B46" t="str">
            <v>DB3005DG</v>
          </cell>
          <cell r="C46" t="str">
            <v>30" Drain Basin W/H-10 Domed Grate, 0'-5'</v>
          </cell>
        </row>
        <row r="47">
          <cell r="B47" t="str">
            <v>DB3010DG</v>
          </cell>
          <cell r="C47" t="str">
            <v>30" Drain Basin W/H-10 Domed Grate, 5' - 10'</v>
          </cell>
        </row>
        <row r="49">
          <cell r="C49" t="str">
            <v>12" Drain Basin W/H-25 2'X2' Curb Inlet Grate, 0'-5'</v>
          </cell>
        </row>
        <row r="50">
          <cell r="C50" t="str">
            <v>12" Drain Basin W/H-25 2'X2' Curb Inlet Grate, 5' - 10'</v>
          </cell>
        </row>
        <row r="51">
          <cell r="C51" t="str">
            <v>15" Drain Basin W/H-25 2'X2' Curb Inlet Grate, 0'-5'</v>
          </cell>
        </row>
        <row r="52">
          <cell r="C52" t="str">
            <v>15" Drain Basin W/H-25 2'X2' Curb Inlet Grate, 5' - 10'</v>
          </cell>
        </row>
        <row r="54">
          <cell r="C54" t="str">
            <v>18" Drain Basin W/H-25 2'X2' Curb Inlet Grate, 0'-5'</v>
          </cell>
        </row>
        <row r="55">
          <cell r="C55" t="str">
            <v>18" Drain Basin W/H-25 2'X2' Curb Inlet Grate, 5' - 10'</v>
          </cell>
        </row>
        <row r="56">
          <cell r="C56" t="str">
            <v>24" Drain Basin W/H-25 2'X2' Curb Inlet Grate, 0'-5'</v>
          </cell>
        </row>
        <row r="57">
          <cell r="C57" t="str">
            <v>24" Drain Basin W/H-25 2'X2' Curb Inlet Grate, 5' - 10'</v>
          </cell>
        </row>
        <row r="58">
          <cell r="C58" t="str">
            <v>30" Drain Basin, W/H-25 2'X2' Curb Inlet Grate, 0'-5'</v>
          </cell>
        </row>
        <row r="59">
          <cell r="C59" t="str">
            <v>30" Drain Basin, W/H-25 2'X2' Curb Inlet Grate, 5' - 10'</v>
          </cell>
        </row>
        <row r="60">
          <cell r="B60" t="str">
            <v>DB1205T22</v>
          </cell>
          <cell r="C60" t="str">
            <v>12" Drain Basin W/H-25 2'X2' Sq. Traffic Grate, 0'-5'</v>
          </cell>
        </row>
        <row r="61">
          <cell r="B61" t="str">
            <v>DB1210T22</v>
          </cell>
          <cell r="C61" t="str">
            <v>12" Drain Basin W/H-25 2'X2' Sq. Traffic Grate, 5' - 10'</v>
          </cell>
        </row>
        <row r="62">
          <cell r="B62" t="str">
            <v>DB1505T22</v>
          </cell>
          <cell r="C62" t="str">
            <v>15" Drain Basin W/H-25 2'X2' Sq. TG, 0'-5'</v>
          </cell>
        </row>
        <row r="63">
          <cell r="B63" t="str">
            <v>DB1510T22</v>
          </cell>
          <cell r="C63" t="str">
            <v>15" Drain Basin W/H-25 2'X2' Sq. TG, 5' - 10'</v>
          </cell>
        </row>
        <row r="64">
          <cell r="B64" t="str">
            <v>DB1805T22</v>
          </cell>
          <cell r="C64" t="str">
            <v>18" Drain Basin W/H-25 2'X2' Sq. TG, 0'-5'</v>
          </cell>
        </row>
        <row r="65">
          <cell r="B65" t="str">
            <v>DB1810T22</v>
          </cell>
          <cell r="C65" t="str">
            <v>18" Drain Basin W/H-25 2'X2' Sq. TG, 5' - 10'</v>
          </cell>
        </row>
        <row r="66">
          <cell r="B66" t="str">
            <v>DB2405T22</v>
          </cell>
          <cell r="C66" t="str">
            <v>24" Drain Basin W/H-25 2'X2' Sq. TG, 0'-5'</v>
          </cell>
        </row>
        <row r="67">
          <cell r="B67" t="str">
            <v>DB2410T22</v>
          </cell>
          <cell r="C67" t="str">
            <v>24" Drain Basin W/H-25 2'X2' Sq. TG, 5' - 10'</v>
          </cell>
        </row>
        <row r="68">
          <cell r="B68" t="str">
            <v>DB3005T22</v>
          </cell>
          <cell r="C68" t="str">
            <v>30" Drain Basin W/H-25 2'X2' Sq. TG, 0'-5'</v>
          </cell>
        </row>
        <row r="69">
          <cell r="B69" t="str">
            <v>DB3010T22</v>
          </cell>
          <cell r="C69" t="str">
            <v>30" Drain Basin W/H-25 2'X2' Sq. TG, 5' - 10'</v>
          </cell>
        </row>
        <row r="70">
          <cell r="B70" t="str">
            <v>DB1205SGS</v>
          </cell>
          <cell r="C70" t="str">
            <v>12" Drain Basin W/Square Hinged H-10 Grate, 0'-5'</v>
          </cell>
        </row>
        <row r="71">
          <cell r="B71" t="str">
            <v>DB1210SGS</v>
          </cell>
          <cell r="C71" t="str">
            <v>12" Drain Basin W/Square Hinged H-10 Grate, 5' - 10'</v>
          </cell>
        </row>
        <row r="72">
          <cell r="B72" t="str">
            <v>DB1505SGS</v>
          </cell>
          <cell r="C72" t="str">
            <v>15" Drain Basin W/Square Hinged H-10 Grate, 0'-5'</v>
          </cell>
        </row>
        <row r="73">
          <cell r="B73" t="str">
            <v>DB1510SGS</v>
          </cell>
          <cell r="C73" t="str">
            <v>15" Drain Basin W/Square Hinged H-10 Grate, 5' - 10'</v>
          </cell>
        </row>
        <row r="74">
          <cell r="B74" t="str">
            <v>DB0805NG</v>
          </cell>
          <cell r="C74" t="str">
            <v>8" Drain Basin, No Grate, 0'-5'</v>
          </cell>
        </row>
        <row r="75">
          <cell r="B75" t="str">
            <v>DB0810NG</v>
          </cell>
          <cell r="C75" t="str">
            <v>8" Drain Basin, No Grate, 5'-10'</v>
          </cell>
        </row>
        <row r="76">
          <cell r="B76" t="str">
            <v>DB1005NG</v>
          </cell>
          <cell r="C76" t="str">
            <v>10" Drain Basin, No Grate, 0'-5'</v>
          </cell>
        </row>
        <row r="77">
          <cell r="B77" t="str">
            <v>DB1010NG</v>
          </cell>
          <cell r="C77" t="str">
            <v>10" Drain Basin, No Grate, 5'-10'</v>
          </cell>
        </row>
        <row r="78">
          <cell r="B78" t="str">
            <v>DB1205NG</v>
          </cell>
          <cell r="C78" t="str">
            <v>12" Drain Basin, No Grate, 0'-5'</v>
          </cell>
        </row>
        <row r="79">
          <cell r="B79" t="str">
            <v>DB1210NG</v>
          </cell>
          <cell r="C79" t="str">
            <v>12" Drain Basin, No Grate, 5'-10'</v>
          </cell>
        </row>
        <row r="80">
          <cell r="B80" t="str">
            <v>DB1505NG</v>
          </cell>
          <cell r="C80" t="str">
            <v>15" Drain Basin, No Grate, 0'-5'</v>
          </cell>
        </row>
        <row r="81">
          <cell r="B81" t="str">
            <v>DB1510NG</v>
          </cell>
          <cell r="C81" t="str">
            <v>15" Drain Basin, No Grate, 5'-10'</v>
          </cell>
        </row>
        <row r="82">
          <cell r="B82" t="str">
            <v>DB1805NG</v>
          </cell>
          <cell r="C82" t="str">
            <v>18" Drain Basin, No Grate, 0'-5'</v>
          </cell>
        </row>
        <row r="83">
          <cell r="B83" t="str">
            <v>DB1810NG</v>
          </cell>
          <cell r="C83" t="str">
            <v>18" Drain Basin, No Grate, 5'-10'</v>
          </cell>
        </row>
        <row r="84">
          <cell r="B84" t="str">
            <v>DB2405NG</v>
          </cell>
          <cell r="C84" t="str">
            <v>24" Drain Basin, No Grate, 0'-5'</v>
          </cell>
        </row>
        <row r="85">
          <cell r="B85" t="str">
            <v>DB2410NG</v>
          </cell>
          <cell r="C85" t="str">
            <v>24" Drain Basin, No Grate 5' to 10'</v>
          </cell>
        </row>
        <row r="86">
          <cell r="B86" t="str">
            <v>DB3005NG</v>
          </cell>
          <cell r="C86" t="str">
            <v>30" Drain Basin, No Grate, 0'-5'</v>
          </cell>
        </row>
        <row r="87">
          <cell r="B87" t="str">
            <v>DB3010NG</v>
          </cell>
          <cell r="C87" t="str">
            <v>30" Drain Basin, No Grate, 5' to 10'</v>
          </cell>
        </row>
        <row r="88">
          <cell r="B88" t="str">
            <v>DB3605NG</v>
          </cell>
          <cell r="C88" t="str">
            <v>36" Drain Basin, No Grate, 0'-5'</v>
          </cell>
        </row>
        <row r="89">
          <cell r="B89" t="str">
            <v>DB3610NG</v>
          </cell>
          <cell r="C89" t="str">
            <v>36" Drain Basin, No Grate, 5'-10'</v>
          </cell>
        </row>
        <row r="90">
          <cell r="C90" t="str">
            <v>18" Drain Basin W/H-25 2'X3' Curb Inlet Grate, 0'-5'</v>
          </cell>
        </row>
        <row r="91">
          <cell r="C91" t="str">
            <v>18" Drain Basin W/H-25 2'X3' Curb Inlet Grate, 5' - 10'</v>
          </cell>
        </row>
        <row r="92">
          <cell r="C92" t="str">
            <v>24" Drain Basin W/H-25 2'X3' Curb Inlet Grate, 0'-5'</v>
          </cell>
        </row>
        <row r="93">
          <cell r="C93" t="str">
            <v>24" Drain Basin W/H-25 2'X3' Curb Inlet Grate, 5' - 10'</v>
          </cell>
        </row>
        <row r="94">
          <cell r="C94" t="str">
            <v>30" Drain Basin W/H-25 2'X3' Curb Inlet Grate, 0'-5'</v>
          </cell>
        </row>
        <row r="95">
          <cell r="C95" t="str">
            <v>30" Drain Basin W/H-25 2'X3' Curb Inlet Grate, 5' - 10'</v>
          </cell>
        </row>
        <row r="96">
          <cell r="C96" t="str">
            <v>36" Drain Basin W/H-25 2'X 3' Curb Inlet Grate, 0'-5'</v>
          </cell>
        </row>
        <row r="97">
          <cell r="C97" t="str">
            <v>36" Drain Basin W/H-25 2'X 3' Curb Inlet Grate, 5'-10'</v>
          </cell>
        </row>
        <row r="98">
          <cell r="B98" t="str">
            <v>DB1805T23</v>
          </cell>
          <cell r="C98" t="str">
            <v>18" Drain Basin W/H-25 2'X3' Traffic Grate, 0'-5'</v>
          </cell>
        </row>
        <row r="99">
          <cell r="B99" t="str">
            <v>DB1810T23</v>
          </cell>
          <cell r="C99" t="str">
            <v>18" Drain Basin W/H-25 2'X3' Traffic Grate, 5' - 10'</v>
          </cell>
        </row>
        <row r="100">
          <cell r="B100" t="str">
            <v>DB2405T23</v>
          </cell>
          <cell r="C100" t="str">
            <v>24" Drain Basin W/H-25 2'X3' Traffic Grate, 0'-5'</v>
          </cell>
        </row>
        <row r="101">
          <cell r="B101" t="str">
            <v>DB2410T23</v>
          </cell>
          <cell r="C101" t="str">
            <v>24" Drain Basin W/H-25 2'X3' Traffic Grate, 5' - 10'</v>
          </cell>
        </row>
        <row r="102">
          <cell r="B102" t="str">
            <v>DB3005T23</v>
          </cell>
          <cell r="C102" t="str">
            <v>30" Drain Basin W/H-25 2'X3' Traffic Grate, 0'-5'</v>
          </cell>
        </row>
        <row r="103">
          <cell r="B103" t="str">
            <v>DB3010T23</v>
          </cell>
          <cell r="C103" t="str">
            <v>30" Drain Basin W/H-25 2'X3' Traffic Grate, 5' - 10'</v>
          </cell>
        </row>
        <row r="104">
          <cell r="C104" t="str">
            <v>36" Drain Basin W/H-25 2'X3' Rect. Traffic Grate, 0'-5'</v>
          </cell>
        </row>
        <row r="105">
          <cell r="C105" t="str">
            <v>36" Drain Basin W/H-25 2'X3' Rect. Traffic Grate, 5' - 10'</v>
          </cell>
        </row>
        <row r="106">
          <cell r="B106" t="str">
            <v>DB0805SS</v>
          </cell>
          <cell r="C106" t="str">
            <v>8" X &lt;5' DRAIN BASIN C/W STANDARD SLOT FG</v>
          </cell>
        </row>
        <row r="107">
          <cell r="B107" t="str">
            <v>DB0810SS</v>
          </cell>
          <cell r="C107" t="str">
            <v>8" X 5' - 10' DRAIN BASIN C/W STANDARD SLOT FG</v>
          </cell>
        </row>
        <row r="108">
          <cell r="B108" t="str">
            <v>DB1005SS</v>
          </cell>
          <cell r="C108" t="str">
            <v>10" X &lt;5' DRAIN BASIN C/W STANDARD SLOT FG</v>
          </cell>
        </row>
        <row r="109">
          <cell r="B109" t="str">
            <v>DB1010SS</v>
          </cell>
          <cell r="C109" t="str">
            <v>10" X 5' - 10' DRAIN BASIN C/W STANDARD SLOT FG</v>
          </cell>
        </row>
        <row r="110">
          <cell r="B110" t="str">
            <v>DB1205SS</v>
          </cell>
          <cell r="C110" t="str">
            <v>12" X &lt;5' DRAIN BASIN C/W STANDARD SLOT FG</v>
          </cell>
        </row>
        <row r="111">
          <cell r="B111" t="str">
            <v>DB1210SS</v>
          </cell>
          <cell r="C111" t="str">
            <v>12" X 5' - 10' DRAIN BASIN C/W STANDARD SLOT FG</v>
          </cell>
        </row>
        <row r="112">
          <cell r="B112" t="str">
            <v>DB1505SS</v>
          </cell>
          <cell r="C112" t="str">
            <v>15" X &lt;5' DRAIN BASIN C/W STANDARD SLOT FG</v>
          </cell>
        </row>
        <row r="113">
          <cell r="B113" t="str">
            <v>DB1510SS</v>
          </cell>
          <cell r="C113" t="str">
            <v>15" X 5' - 10' DRAIN BASIN C/W STANDARD SLOT FG</v>
          </cell>
        </row>
        <row r="114">
          <cell r="B114" t="str">
            <v>DB1805SS</v>
          </cell>
          <cell r="C114" t="str">
            <v>18" X &lt;5' DRAIN BASIN C/W STANDARD SLOT FG</v>
          </cell>
        </row>
        <row r="115">
          <cell r="B115" t="str">
            <v>DB1810SS</v>
          </cell>
          <cell r="C115" t="str">
            <v>18" X 5' - 10' DRAIN BASIN C/W STANDARD SLOT FG</v>
          </cell>
        </row>
        <row r="116">
          <cell r="B116" t="str">
            <v>DB2405SS</v>
          </cell>
          <cell r="C116" t="str">
            <v>24" X &lt;5' DRAIN BASIN C/W STANDARD SLOT FG</v>
          </cell>
        </row>
        <row r="117">
          <cell r="B117" t="str">
            <v>DB2410SS</v>
          </cell>
          <cell r="C117" t="str">
            <v>24" X 5' - 10' DRAIN BASIN C/W STANDARD SLOT FG</v>
          </cell>
        </row>
        <row r="118">
          <cell r="B118" t="str">
            <v>DB3005SS</v>
          </cell>
          <cell r="C118" t="str">
            <v>30" X &lt;5' DRAIN BASIN C/W STANDARD SLOT FG</v>
          </cell>
        </row>
        <row r="119">
          <cell r="B119" t="str">
            <v>DB3010SS</v>
          </cell>
          <cell r="C119" t="str">
            <v>30" X 5' - 10' DRAIN BASIN C/W STANDARD SLOT FG</v>
          </cell>
        </row>
        <row r="120">
          <cell r="B120" t="str">
            <v>DB3605SS</v>
          </cell>
          <cell r="C120" t="str">
            <v>36" X &lt;5' DRAIN BASIN C/W STANDARD SLOT FG</v>
          </cell>
        </row>
        <row r="121">
          <cell r="B121" t="str">
            <v>DB3610SS</v>
          </cell>
          <cell r="C121" t="str">
            <v>36" X 5' - 10' DRAIN BASIN C/W STANDARD SLOT FG</v>
          </cell>
        </row>
      </sheetData>
      <sheetData sheetId="2">
        <row r="1">
          <cell r="B1" t="str">
            <v>Part Number</v>
          </cell>
          <cell r="H1" t="str">
            <v>Multiplier</v>
          </cell>
        </row>
        <row r="2">
          <cell r="B2" t="str">
            <v>BB0805NG</v>
          </cell>
          <cell r="H2">
            <v>130</v>
          </cell>
        </row>
        <row r="3">
          <cell r="B3" t="str">
            <v>BB0807NG</v>
          </cell>
          <cell r="H3">
            <v>145</v>
          </cell>
        </row>
        <row r="4">
          <cell r="B4" t="str">
            <v>BB0810NG</v>
          </cell>
          <cell r="H4">
            <v>160</v>
          </cell>
        </row>
        <row r="5">
          <cell r="B5" t="str">
            <v>BB1005NG</v>
          </cell>
          <cell r="H5">
            <v>172.5</v>
          </cell>
        </row>
        <row r="6">
          <cell r="B6" t="str">
            <v>BB1007NG</v>
          </cell>
          <cell r="H6">
            <v>185</v>
          </cell>
        </row>
        <row r="7">
          <cell r="B7" t="str">
            <v>BB1010NG</v>
          </cell>
          <cell r="H7">
            <v>225</v>
          </cell>
        </row>
        <row r="8">
          <cell r="B8" t="str">
            <v>BB1205NG</v>
          </cell>
          <cell r="H8">
            <v>227.5</v>
          </cell>
        </row>
        <row r="9">
          <cell r="B9" t="str">
            <v>BB1207NG</v>
          </cell>
          <cell r="H9">
            <v>275</v>
          </cell>
        </row>
        <row r="10">
          <cell r="B10" t="str">
            <v>BB1210NG</v>
          </cell>
          <cell r="H10">
            <v>305</v>
          </cell>
        </row>
        <row r="11">
          <cell r="B11" t="str">
            <v>BB1505NG</v>
          </cell>
          <cell r="H11">
            <v>322.5</v>
          </cell>
        </row>
        <row r="12">
          <cell r="B12" t="str">
            <v>BB1507NG</v>
          </cell>
          <cell r="H12">
            <v>375</v>
          </cell>
        </row>
        <row r="13">
          <cell r="B13" t="str">
            <v>BB1510NG</v>
          </cell>
          <cell r="H13">
            <v>410</v>
          </cell>
        </row>
        <row r="14">
          <cell r="B14" t="str">
            <v>BB1805NG</v>
          </cell>
          <cell r="H14">
            <v>350</v>
          </cell>
        </row>
        <row r="15">
          <cell r="B15" t="str">
            <v>BB1807NG</v>
          </cell>
          <cell r="H15">
            <v>400</v>
          </cell>
        </row>
        <row r="16">
          <cell r="B16" t="str">
            <v>BB1810NG</v>
          </cell>
          <cell r="H16">
            <v>450</v>
          </cell>
        </row>
        <row r="17">
          <cell r="B17" t="str">
            <v>BB2405NG</v>
          </cell>
          <cell r="H17">
            <v>477.5</v>
          </cell>
        </row>
        <row r="18">
          <cell r="B18" t="str">
            <v>BB2407NG</v>
          </cell>
          <cell r="H18">
            <v>540</v>
          </cell>
        </row>
        <row r="19">
          <cell r="B19" t="str">
            <v>BB2410NG</v>
          </cell>
          <cell r="H19">
            <v>600</v>
          </cell>
        </row>
        <row r="20">
          <cell r="B20" t="str">
            <v>BB3005NG</v>
          </cell>
          <cell r="H20">
            <v>1030</v>
          </cell>
        </row>
        <row r="21">
          <cell r="B21" t="str">
            <v>BB3007NG</v>
          </cell>
          <cell r="H21">
            <v>1144</v>
          </cell>
        </row>
        <row r="22">
          <cell r="B22" t="str">
            <v>BB3010NG</v>
          </cell>
          <cell r="H22">
            <v>1275</v>
          </cell>
        </row>
        <row r="23">
          <cell r="B23" t="str">
            <v>DB0805DD</v>
          </cell>
          <cell r="H23">
            <v>223.5</v>
          </cell>
        </row>
        <row r="24">
          <cell r="B24" t="str">
            <v>DB0805DPS</v>
          </cell>
          <cell r="H24">
            <v>202.5</v>
          </cell>
        </row>
        <row r="25">
          <cell r="B25" t="str">
            <v>DB0805DS</v>
          </cell>
          <cell r="H25">
            <v>245</v>
          </cell>
        </row>
        <row r="26">
          <cell r="B26" t="str">
            <v>DB0805NG</v>
          </cell>
          <cell r="H26">
            <v>175</v>
          </cell>
        </row>
        <row r="27">
          <cell r="B27" t="str">
            <v>DB0810DD</v>
          </cell>
          <cell r="H27">
            <v>266</v>
          </cell>
        </row>
        <row r="28">
          <cell r="B28" t="str">
            <v>DB0810DPS</v>
          </cell>
          <cell r="H28">
            <v>245</v>
          </cell>
        </row>
        <row r="29">
          <cell r="B29" t="str">
            <v>DB0810DS</v>
          </cell>
          <cell r="H29">
            <v>294</v>
          </cell>
        </row>
        <row r="30">
          <cell r="B30" t="str">
            <v>DB0810NG</v>
          </cell>
          <cell r="H30">
            <v>217.5</v>
          </cell>
        </row>
        <row r="31">
          <cell r="B31" t="str">
            <v>DB1005DD</v>
          </cell>
          <cell r="H31">
            <v>299</v>
          </cell>
        </row>
        <row r="32">
          <cell r="B32" t="str">
            <v>DB1005DPS</v>
          </cell>
          <cell r="H32">
            <v>275</v>
          </cell>
        </row>
        <row r="33">
          <cell r="B33" t="str">
            <v>DB1005DS</v>
          </cell>
          <cell r="H33">
            <v>335</v>
          </cell>
        </row>
        <row r="34">
          <cell r="B34" t="str">
            <v>DB1005NG</v>
          </cell>
          <cell r="H34">
            <v>230</v>
          </cell>
        </row>
        <row r="35">
          <cell r="B35" t="str">
            <v>DB1010DD</v>
          </cell>
          <cell r="H35">
            <v>369</v>
          </cell>
        </row>
        <row r="36">
          <cell r="B36" t="str">
            <v>DB1010DPS</v>
          </cell>
          <cell r="H36">
            <v>345</v>
          </cell>
        </row>
        <row r="37">
          <cell r="B37" t="str">
            <v>DB1010DS</v>
          </cell>
          <cell r="H37">
            <v>412.5</v>
          </cell>
        </row>
        <row r="38">
          <cell r="B38" t="str">
            <v>DB1010NG</v>
          </cell>
          <cell r="H38">
            <v>297.5</v>
          </cell>
        </row>
        <row r="39">
          <cell r="B39" t="str">
            <v>DB1205DG</v>
          </cell>
          <cell r="H39">
            <v>441</v>
          </cell>
        </row>
        <row r="40">
          <cell r="B40" t="str">
            <v>DB1205NG</v>
          </cell>
          <cell r="H40">
            <v>337.5</v>
          </cell>
        </row>
        <row r="41">
          <cell r="B41" t="str">
            <v>DB1205PS</v>
          </cell>
          <cell r="H41">
            <v>405</v>
          </cell>
        </row>
        <row r="42">
          <cell r="B42" t="str">
            <v>DB1205SC</v>
          </cell>
          <cell r="H42">
            <v>405</v>
          </cell>
        </row>
        <row r="43">
          <cell r="B43" t="str">
            <v>DB1205SGS</v>
          </cell>
          <cell r="H43">
            <v>405</v>
          </cell>
        </row>
        <row r="44">
          <cell r="B44" t="str">
            <v>DB1205SPS</v>
          </cell>
          <cell r="H44">
            <v>405</v>
          </cell>
        </row>
        <row r="45">
          <cell r="B45" t="str">
            <v>DB1205SS</v>
          </cell>
          <cell r="H45">
            <v>405</v>
          </cell>
        </row>
        <row r="46">
          <cell r="B46" t="str">
            <v>DB1205SSC</v>
          </cell>
          <cell r="H46">
            <v>405</v>
          </cell>
        </row>
        <row r="47">
          <cell r="B47" t="str">
            <v>DB1205T22</v>
          </cell>
          <cell r="H47">
            <v>550</v>
          </cell>
        </row>
        <row r="48">
          <cell r="B48" t="str">
            <v>DB1210DG</v>
          </cell>
          <cell r="H48">
            <v>561</v>
          </cell>
        </row>
        <row r="49">
          <cell r="B49" t="str">
            <v>DB1210NG</v>
          </cell>
          <cell r="H49">
            <v>405</v>
          </cell>
        </row>
        <row r="50">
          <cell r="B50" t="str">
            <v>DB1210PS</v>
          </cell>
          <cell r="H50">
            <v>525</v>
          </cell>
        </row>
        <row r="51">
          <cell r="B51" t="str">
            <v>DB1210SC</v>
          </cell>
          <cell r="H51">
            <v>525</v>
          </cell>
        </row>
        <row r="52">
          <cell r="B52" t="str">
            <v>DB1210SGS</v>
          </cell>
          <cell r="H52">
            <v>525</v>
          </cell>
        </row>
        <row r="53">
          <cell r="B53" t="str">
            <v>DB1210SPS</v>
          </cell>
          <cell r="H53">
            <v>525</v>
          </cell>
        </row>
        <row r="54">
          <cell r="B54" t="str">
            <v>DB1210SS</v>
          </cell>
          <cell r="H54">
            <v>525</v>
          </cell>
        </row>
        <row r="55">
          <cell r="B55" t="str">
            <v>DB1210SSC</v>
          </cell>
          <cell r="H55">
            <v>525</v>
          </cell>
        </row>
        <row r="56">
          <cell r="B56" t="str">
            <v>DB1210T22</v>
          </cell>
          <cell r="H56">
            <v>697.5</v>
          </cell>
        </row>
        <row r="57">
          <cell r="B57" t="str">
            <v>DB1505DG</v>
          </cell>
          <cell r="H57">
            <v>649</v>
          </cell>
        </row>
        <row r="58">
          <cell r="B58" t="str">
            <v>DB1505NG</v>
          </cell>
          <cell r="H58">
            <v>430</v>
          </cell>
        </row>
        <row r="59">
          <cell r="B59" t="str">
            <v>DB1505PS</v>
          </cell>
          <cell r="H59">
            <v>580</v>
          </cell>
        </row>
        <row r="60">
          <cell r="B60" t="str">
            <v>DB1505SC</v>
          </cell>
          <cell r="H60">
            <v>580</v>
          </cell>
        </row>
        <row r="61">
          <cell r="B61" t="str">
            <v>DB1505SS</v>
          </cell>
          <cell r="H61">
            <v>580</v>
          </cell>
        </row>
        <row r="62">
          <cell r="B62" t="str">
            <v>DB1505T22</v>
          </cell>
          <cell r="H62">
            <v>825</v>
          </cell>
        </row>
        <row r="63">
          <cell r="B63" t="str">
            <v>DB1510DG</v>
          </cell>
          <cell r="H63">
            <v>734</v>
          </cell>
        </row>
        <row r="64">
          <cell r="B64" t="str">
            <v>DB1510NG</v>
          </cell>
          <cell r="H64">
            <v>547.5</v>
          </cell>
        </row>
        <row r="65">
          <cell r="B65" t="str">
            <v>DB1510PS</v>
          </cell>
          <cell r="H65">
            <v>665</v>
          </cell>
        </row>
        <row r="66">
          <cell r="B66" t="str">
            <v>DB1510SC</v>
          </cell>
          <cell r="H66">
            <v>665</v>
          </cell>
        </row>
        <row r="67">
          <cell r="B67" t="str">
            <v>DB1510SS</v>
          </cell>
          <cell r="H67">
            <v>665</v>
          </cell>
        </row>
        <row r="68">
          <cell r="B68" t="str">
            <v>DB1510T22</v>
          </cell>
          <cell r="H68">
            <v>865</v>
          </cell>
        </row>
        <row r="69">
          <cell r="B69" t="str">
            <v>DB1805CI23</v>
          </cell>
          <cell r="H69">
            <v>1840</v>
          </cell>
        </row>
        <row r="70">
          <cell r="B70" t="str">
            <v>DB1805DG</v>
          </cell>
          <cell r="H70">
            <v>807</v>
          </cell>
        </row>
        <row r="71">
          <cell r="B71" t="str">
            <v>DB1805NG</v>
          </cell>
          <cell r="H71">
            <v>560</v>
          </cell>
        </row>
        <row r="72">
          <cell r="B72" t="str">
            <v>DB1805PS</v>
          </cell>
          <cell r="H72">
            <v>687.5</v>
          </cell>
        </row>
        <row r="73">
          <cell r="B73" t="str">
            <v>DB1805SC</v>
          </cell>
          <cell r="H73">
            <v>687.5</v>
          </cell>
        </row>
        <row r="74">
          <cell r="B74" t="str">
            <v>DB1805SS</v>
          </cell>
          <cell r="H74">
            <v>687.5</v>
          </cell>
        </row>
        <row r="75">
          <cell r="B75" t="str">
            <v>DB1805T22</v>
          </cell>
          <cell r="H75">
            <v>900</v>
          </cell>
        </row>
        <row r="76">
          <cell r="B76" t="str">
            <v>DB1805T23</v>
          </cell>
          <cell r="H76">
            <v>945</v>
          </cell>
        </row>
        <row r="77">
          <cell r="B77" t="str">
            <v>DB1810CI23</v>
          </cell>
          <cell r="H77">
            <v>1967.5</v>
          </cell>
        </row>
        <row r="78">
          <cell r="B78" t="str">
            <v>DB1810DG</v>
          </cell>
          <cell r="H78">
            <v>895</v>
          </cell>
        </row>
        <row r="79">
          <cell r="B79" t="str">
            <v>DB1810NG</v>
          </cell>
          <cell r="H79">
            <v>602.5</v>
          </cell>
        </row>
        <row r="80">
          <cell r="B80" t="str">
            <v>DB1810PS</v>
          </cell>
          <cell r="H80">
            <v>860</v>
          </cell>
        </row>
        <row r="81">
          <cell r="B81" t="str">
            <v>DB1810SC</v>
          </cell>
          <cell r="H81">
            <v>860</v>
          </cell>
        </row>
        <row r="82">
          <cell r="B82" t="str">
            <v>DB1810SS</v>
          </cell>
          <cell r="H82">
            <v>860</v>
          </cell>
        </row>
        <row r="83">
          <cell r="B83" t="str">
            <v>DB1810T22</v>
          </cell>
          <cell r="H83">
            <v>1005</v>
          </cell>
        </row>
        <row r="84">
          <cell r="B84" t="str">
            <v>DB1810T23</v>
          </cell>
          <cell r="H84">
            <v>1050</v>
          </cell>
        </row>
        <row r="85">
          <cell r="B85" t="str">
            <v>DB2405CI23</v>
          </cell>
          <cell r="H85">
            <v>2120</v>
          </cell>
        </row>
        <row r="86">
          <cell r="B86" t="str">
            <v>DB2405DG</v>
          </cell>
          <cell r="H86">
            <v>1300</v>
          </cell>
        </row>
        <row r="87">
          <cell r="B87" t="str">
            <v>DB2405NG</v>
          </cell>
          <cell r="H87">
            <v>850</v>
          </cell>
        </row>
        <row r="88">
          <cell r="B88" t="str">
            <v>DB2405PS</v>
          </cell>
          <cell r="H88">
            <v>946</v>
          </cell>
        </row>
        <row r="89">
          <cell r="B89" t="str">
            <v>DB2405SC</v>
          </cell>
          <cell r="H89">
            <v>946</v>
          </cell>
        </row>
        <row r="90">
          <cell r="B90" t="str">
            <v>DB2405BSC</v>
          </cell>
          <cell r="H90">
            <v>805</v>
          </cell>
        </row>
        <row r="91">
          <cell r="B91" t="str">
            <v>DB2405SS</v>
          </cell>
          <cell r="H91">
            <v>946</v>
          </cell>
        </row>
        <row r="92">
          <cell r="B92" t="str">
            <v>DB2405T22</v>
          </cell>
          <cell r="H92">
            <v>1112.5</v>
          </cell>
        </row>
        <row r="93">
          <cell r="B93" t="str">
            <v>DB2405T23</v>
          </cell>
          <cell r="H93">
            <v>1160</v>
          </cell>
        </row>
        <row r="94">
          <cell r="B94" t="str">
            <v>DB2410CI23</v>
          </cell>
          <cell r="H94">
            <v>2267.5</v>
          </cell>
        </row>
        <row r="95">
          <cell r="B95" t="str">
            <v>DB2410DG</v>
          </cell>
          <cell r="H95">
            <v>1612.5</v>
          </cell>
        </row>
        <row r="96">
          <cell r="B96" t="str">
            <v>DB2410NG</v>
          </cell>
          <cell r="H96">
            <v>1050</v>
          </cell>
        </row>
        <row r="97">
          <cell r="B97" t="str">
            <v>DB2410PS</v>
          </cell>
          <cell r="H97">
            <v>1107.5</v>
          </cell>
        </row>
        <row r="98">
          <cell r="B98" t="str">
            <v>DB2410SC</v>
          </cell>
          <cell r="H98">
            <v>1107.5</v>
          </cell>
        </row>
        <row r="99">
          <cell r="B99" t="str">
            <v>DB2410SS</v>
          </cell>
          <cell r="H99">
            <v>1107.5</v>
          </cell>
        </row>
        <row r="100">
          <cell r="B100" t="str">
            <v>DB2410T22</v>
          </cell>
          <cell r="H100">
            <v>1242.5</v>
          </cell>
        </row>
        <row r="101">
          <cell r="B101" t="str">
            <v>DB2410T23</v>
          </cell>
          <cell r="H101">
            <v>1287.5</v>
          </cell>
        </row>
        <row r="102">
          <cell r="B102" t="str">
            <v>DB3005CI23</v>
          </cell>
          <cell r="H102">
            <v>2782.5</v>
          </cell>
        </row>
        <row r="103">
          <cell r="B103" t="str">
            <v>DB3005DG</v>
          </cell>
          <cell r="H103">
            <v>2112.5</v>
          </cell>
        </row>
        <row r="104">
          <cell r="B104" t="str">
            <v>DB3005NG</v>
          </cell>
          <cell r="H104">
            <v>1375</v>
          </cell>
        </row>
        <row r="105">
          <cell r="B105" t="str">
            <v>DB3005PS</v>
          </cell>
          <cell r="H105">
            <v>2010</v>
          </cell>
        </row>
        <row r="106">
          <cell r="B106" t="str">
            <v>DB3005SC</v>
          </cell>
          <cell r="H106">
            <v>2010</v>
          </cell>
        </row>
        <row r="107">
          <cell r="B107" t="str">
            <v>DB3005SS</v>
          </cell>
          <cell r="H107">
            <v>2010</v>
          </cell>
        </row>
        <row r="108">
          <cell r="B108" t="str">
            <v>DB3005T22</v>
          </cell>
          <cell r="H108">
            <v>1765</v>
          </cell>
        </row>
        <row r="109">
          <cell r="B109" t="str">
            <v>DB3005T23</v>
          </cell>
          <cell r="H109">
            <v>1810</v>
          </cell>
        </row>
        <row r="110">
          <cell r="B110" t="str">
            <v>DB3010CI23</v>
          </cell>
          <cell r="H110">
            <v>2867.5</v>
          </cell>
        </row>
        <row r="111">
          <cell r="B111" t="str">
            <v>DB3010DG</v>
          </cell>
          <cell r="H111">
            <v>2403.5</v>
          </cell>
        </row>
        <row r="112">
          <cell r="B112" t="str">
            <v>DB3010NG</v>
          </cell>
          <cell r="H112">
            <v>1450</v>
          </cell>
        </row>
        <row r="113">
          <cell r="B113" t="str">
            <v>DB3010PS</v>
          </cell>
          <cell r="H113">
            <v>2150</v>
          </cell>
        </row>
        <row r="114">
          <cell r="B114" t="str">
            <v>DB3010SC</v>
          </cell>
          <cell r="H114">
            <v>2150</v>
          </cell>
        </row>
        <row r="115">
          <cell r="B115" t="str">
            <v>DB3010SS</v>
          </cell>
          <cell r="H115">
            <v>2150</v>
          </cell>
        </row>
        <row r="116">
          <cell r="B116" t="str">
            <v>DB3010T22</v>
          </cell>
          <cell r="H116">
            <v>2142.5</v>
          </cell>
        </row>
        <row r="117">
          <cell r="B117" t="str">
            <v>DB3010T23</v>
          </cell>
          <cell r="H117">
            <v>2192.5</v>
          </cell>
        </row>
        <row r="118">
          <cell r="B118" t="str">
            <v>DB360530PS</v>
          </cell>
          <cell r="H118">
            <v>3000</v>
          </cell>
        </row>
        <row r="119">
          <cell r="B119" t="str">
            <v>DB360530SC</v>
          </cell>
          <cell r="H119">
            <v>3000</v>
          </cell>
        </row>
        <row r="120">
          <cell r="B120" t="str">
            <v>DB360530SS</v>
          </cell>
          <cell r="H120">
            <v>3000</v>
          </cell>
        </row>
        <row r="121">
          <cell r="B121" t="str">
            <v>DB361030PS</v>
          </cell>
          <cell r="H121">
            <v>4525</v>
          </cell>
        </row>
        <row r="122">
          <cell r="B122" t="str">
            <v>DB361030SC</v>
          </cell>
          <cell r="H122">
            <v>4525</v>
          </cell>
        </row>
        <row r="123">
          <cell r="B123" t="str">
            <v>DB361030SS</v>
          </cell>
          <cell r="H123">
            <v>4525</v>
          </cell>
        </row>
        <row r="124">
          <cell r="B124" t="str">
            <v>DB360530T23</v>
          </cell>
          <cell r="H124">
            <v>3785</v>
          </cell>
        </row>
        <row r="125">
          <cell r="B125" t="str">
            <v>DB361030T23</v>
          </cell>
          <cell r="H125">
            <v>4665</v>
          </cell>
        </row>
        <row r="126">
          <cell r="B126" t="str">
            <v>DB360530CI23</v>
          </cell>
          <cell r="H126">
            <v>4330</v>
          </cell>
        </row>
        <row r="127">
          <cell r="B127" t="str">
            <v>DB361030CI23</v>
          </cell>
          <cell r="H127">
            <v>4910</v>
          </cell>
        </row>
        <row r="128">
          <cell r="B128" t="str">
            <v>DB361030DG</v>
          </cell>
          <cell r="H128">
            <v>5025</v>
          </cell>
        </row>
        <row r="129">
          <cell r="B129" t="str">
            <v>DBR 0812</v>
          </cell>
          <cell r="H129">
            <v>30</v>
          </cell>
        </row>
        <row r="130">
          <cell r="B130" t="str">
            <v>DBR 0824</v>
          </cell>
          <cell r="H130">
            <v>57.5</v>
          </cell>
        </row>
        <row r="131">
          <cell r="B131" t="str">
            <v>DBR 0836</v>
          </cell>
          <cell r="H131">
            <v>87.5</v>
          </cell>
        </row>
        <row r="132">
          <cell r="B132" t="str">
            <v>DBR 1012</v>
          </cell>
          <cell r="H132">
            <v>37.5</v>
          </cell>
        </row>
        <row r="133">
          <cell r="B133" t="str">
            <v>DBR 1024</v>
          </cell>
          <cell r="H133">
            <v>77.5</v>
          </cell>
        </row>
        <row r="134">
          <cell r="B134" t="str">
            <v>DBR 1036</v>
          </cell>
          <cell r="H134">
            <v>115</v>
          </cell>
        </row>
        <row r="135">
          <cell r="B135" t="str">
            <v>DBR 1212</v>
          </cell>
          <cell r="H135">
            <v>57.5</v>
          </cell>
        </row>
        <row r="136">
          <cell r="B136" t="str">
            <v>DBR 1224</v>
          </cell>
          <cell r="H136">
            <v>115</v>
          </cell>
        </row>
        <row r="137">
          <cell r="B137" t="str">
            <v>DBR 1236</v>
          </cell>
          <cell r="H137">
            <v>175</v>
          </cell>
        </row>
        <row r="138">
          <cell r="B138" t="str">
            <v>DBR 1512</v>
          </cell>
          <cell r="H138">
            <v>67.5</v>
          </cell>
        </row>
        <row r="139">
          <cell r="B139" t="str">
            <v>DBR 1524</v>
          </cell>
          <cell r="H139">
            <v>135</v>
          </cell>
        </row>
        <row r="140">
          <cell r="B140" t="str">
            <v>DBR 1536</v>
          </cell>
          <cell r="H140">
            <v>202.5</v>
          </cell>
        </row>
        <row r="141">
          <cell r="B141" t="str">
            <v>DBR 1812</v>
          </cell>
          <cell r="H141">
            <v>77.5</v>
          </cell>
        </row>
        <row r="142">
          <cell r="B142" t="str">
            <v>DBR 1824</v>
          </cell>
          <cell r="H142">
            <v>155</v>
          </cell>
        </row>
        <row r="143">
          <cell r="B143" t="str">
            <v>DBR 1836</v>
          </cell>
          <cell r="H143">
            <v>232.5</v>
          </cell>
        </row>
        <row r="144">
          <cell r="B144" t="str">
            <v>DBR 2412</v>
          </cell>
          <cell r="H144">
            <v>105</v>
          </cell>
        </row>
        <row r="145">
          <cell r="B145" t="str">
            <v>DBR 2424</v>
          </cell>
          <cell r="H145">
            <v>202.5</v>
          </cell>
        </row>
        <row r="146">
          <cell r="B146" t="str">
            <v>DBR 2436</v>
          </cell>
          <cell r="H146">
            <v>302.5</v>
          </cell>
        </row>
        <row r="147">
          <cell r="B147" t="str">
            <v>DBR 3012</v>
          </cell>
          <cell r="H147">
            <v>140</v>
          </cell>
        </row>
        <row r="148">
          <cell r="B148" t="str">
            <v>DBR 3024</v>
          </cell>
          <cell r="H148">
            <v>277.5</v>
          </cell>
        </row>
        <row r="149">
          <cell r="B149" t="str">
            <v>DBR 3036</v>
          </cell>
          <cell r="H149">
            <v>415</v>
          </cell>
        </row>
        <row r="150">
          <cell r="B150" t="str">
            <v>DBRG08DC</v>
          </cell>
          <cell r="H150">
            <v>27.5</v>
          </cell>
        </row>
        <row r="151">
          <cell r="B151" t="str">
            <v>DBRG08DD</v>
          </cell>
          <cell r="H151">
            <v>48.5</v>
          </cell>
        </row>
        <row r="152">
          <cell r="B152" t="str">
            <v>DBRG08DP</v>
          </cell>
          <cell r="H152">
            <v>27.5</v>
          </cell>
        </row>
        <row r="153">
          <cell r="B153" t="str">
            <v>DBRG08DS</v>
          </cell>
          <cell r="H153">
            <v>27.5</v>
          </cell>
        </row>
        <row r="154">
          <cell r="B154" t="str">
            <v>DBRG10DC</v>
          </cell>
          <cell r="H154">
            <v>45</v>
          </cell>
        </row>
        <row r="155">
          <cell r="B155" t="str">
            <v>DBRG10DD</v>
          </cell>
          <cell r="H155">
            <v>70</v>
          </cell>
        </row>
        <row r="156">
          <cell r="B156" t="str">
            <v>DBRG10DP</v>
          </cell>
          <cell r="H156">
            <v>45</v>
          </cell>
        </row>
        <row r="157">
          <cell r="B157" t="str">
            <v>DBRG10DS</v>
          </cell>
          <cell r="H157">
            <v>45</v>
          </cell>
        </row>
        <row r="158">
          <cell r="B158" t="str">
            <v>DBRGF12D</v>
          </cell>
          <cell r="H158">
            <v>100</v>
          </cell>
        </row>
        <row r="159">
          <cell r="B159" t="str">
            <v>DBRGF12PS</v>
          </cell>
          <cell r="H159">
            <v>67.5</v>
          </cell>
        </row>
        <row r="160">
          <cell r="B160" t="str">
            <v>DBRGF12SC</v>
          </cell>
          <cell r="H160">
            <v>67.5</v>
          </cell>
        </row>
        <row r="161">
          <cell r="B161" t="str">
            <v>DBRGF12SS</v>
          </cell>
          <cell r="H161">
            <v>67.5</v>
          </cell>
        </row>
        <row r="162">
          <cell r="B162" t="str">
            <v>DBRGF15D</v>
          </cell>
          <cell r="H162">
            <v>219</v>
          </cell>
        </row>
        <row r="163">
          <cell r="B163" t="str">
            <v>DBRGF15PS</v>
          </cell>
          <cell r="H163">
            <v>150</v>
          </cell>
        </row>
        <row r="164">
          <cell r="B164" t="str">
            <v>DBRGF15SC</v>
          </cell>
          <cell r="H164">
            <v>150</v>
          </cell>
        </row>
        <row r="165">
          <cell r="B165" t="str">
            <v>DBRGF15SS</v>
          </cell>
          <cell r="H165">
            <v>150</v>
          </cell>
        </row>
        <row r="166">
          <cell r="B166" t="str">
            <v>DBRGF18D</v>
          </cell>
          <cell r="H166">
            <v>250</v>
          </cell>
        </row>
        <row r="167">
          <cell r="B167" t="str">
            <v>DBRGF18PS</v>
          </cell>
          <cell r="H167">
            <v>127.5</v>
          </cell>
        </row>
        <row r="168">
          <cell r="B168" t="str">
            <v>DBRGF18SC</v>
          </cell>
          <cell r="H168">
            <v>127.5</v>
          </cell>
        </row>
        <row r="169">
          <cell r="B169" t="str">
            <v>DBRGF18SS</v>
          </cell>
          <cell r="H169">
            <v>127.5</v>
          </cell>
        </row>
        <row r="170">
          <cell r="B170" t="str">
            <v>DBRGF24D</v>
          </cell>
          <cell r="H170">
            <v>450</v>
          </cell>
        </row>
        <row r="171">
          <cell r="B171" t="str">
            <v>DBRGF24PS</v>
          </cell>
          <cell r="H171">
            <v>200</v>
          </cell>
        </row>
        <row r="172">
          <cell r="B172" t="str">
            <v>DBRGF24SC</v>
          </cell>
          <cell r="H172">
            <v>200</v>
          </cell>
        </row>
        <row r="173">
          <cell r="B173" t="str">
            <v>DBRGF24SS</v>
          </cell>
          <cell r="H173">
            <v>200</v>
          </cell>
        </row>
        <row r="174">
          <cell r="B174" t="str">
            <v>DBRGF30D</v>
          </cell>
          <cell r="H174">
            <v>600</v>
          </cell>
        </row>
        <row r="175">
          <cell r="B175" t="str">
            <v>DBRGF30PS</v>
          </cell>
          <cell r="H175">
            <v>350</v>
          </cell>
        </row>
        <row r="176">
          <cell r="B176" t="str">
            <v>DBRGF30SC</v>
          </cell>
          <cell r="H176">
            <v>350</v>
          </cell>
        </row>
        <row r="177">
          <cell r="B177" t="str">
            <v>DBRGF30SS</v>
          </cell>
          <cell r="H177">
            <v>350</v>
          </cell>
        </row>
        <row r="178">
          <cell r="B178" t="str">
            <v>DBSGF12PS</v>
          </cell>
          <cell r="H178">
            <v>45</v>
          </cell>
        </row>
        <row r="179">
          <cell r="B179" t="str">
            <v>DBSGF12SC</v>
          </cell>
          <cell r="H179">
            <v>45</v>
          </cell>
        </row>
        <row r="180">
          <cell r="B180" t="str">
            <v>DBSGF12SS</v>
          </cell>
          <cell r="H180">
            <v>45</v>
          </cell>
        </row>
        <row r="181">
          <cell r="B181" t="str">
            <v>ID  0804DD</v>
          </cell>
          <cell r="H181">
            <v>127.5</v>
          </cell>
        </row>
        <row r="182">
          <cell r="B182" t="str">
            <v>ID  0804DS</v>
          </cell>
          <cell r="H182">
            <v>95</v>
          </cell>
        </row>
        <row r="183">
          <cell r="B183" t="str">
            <v>ID  0806DD</v>
          </cell>
          <cell r="H183">
            <v>127.5</v>
          </cell>
        </row>
        <row r="184">
          <cell r="B184" t="str">
            <v>ID  0806DS</v>
          </cell>
          <cell r="H184">
            <v>95</v>
          </cell>
        </row>
        <row r="185">
          <cell r="B185" t="str">
            <v>ID  0808DD</v>
          </cell>
          <cell r="H185">
            <v>127.5</v>
          </cell>
        </row>
        <row r="186">
          <cell r="B186" t="str">
            <v>ID  0808DS</v>
          </cell>
          <cell r="H186">
            <v>95</v>
          </cell>
        </row>
        <row r="187">
          <cell r="B187" t="str">
            <v>ID  1004DD</v>
          </cell>
          <cell r="H187">
            <v>190</v>
          </cell>
        </row>
        <row r="188">
          <cell r="B188" t="str">
            <v>ID  1004DS</v>
          </cell>
          <cell r="H188">
            <v>157</v>
          </cell>
        </row>
        <row r="189">
          <cell r="B189" t="str">
            <v>ID  1006DD</v>
          </cell>
          <cell r="H189">
            <v>190</v>
          </cell>
        </row>
        <row r="190">
          <cell r="B190" t="str">
            <v>ID  1006DS</v>
          </cell>
          <cell r="H190">
            <v>157</v>
          </cell>
        </row>
        <row r="191">
          <cell r="B191" t="str">
            <v>ID  1008DD</v>
          </cell>
          <cell r="H191">
            <v>190</v>
          </cell>
        </row>
        <row r="192">
          <cell r="B192" t="str">
            <v>ID  1008DS</v>
          </cell>
          <cell r="H192">
            <v>157</v>
          </cell>
        </row>
        <row r="193">
          <cell r="B193" t="str">
            <v>ID  1010DD</v>
          </cell>
          <cell r="H193">
            <v>190</v>
          </cell>
        </row>
        <row r="194">
          <cell r="B194" t="str">
            <v>ID  1010DS</v>
          </cell>
          <cell r="H194">
            <v>157</v>
          </cell>
        </row>
        <row r="195">
          <cell r="B195" t="str">
            <v>ID  1204DG</v>
          </cell>
          <cell r="H195">
            <v>435</v>
          </cell>
        </row>
        <row r="196">
          <cell r="B196" t="str">
            <v>ID  1204PS</v>
          </cell>
          <cell r="H196">
            <v>380</v>
          </cell>
        </row>
        <row r="197">
          <cell r="B197" t="str">
            <v>ID  1204SC</v>
          </cell>
          <cell r="H197">
            <v>380</v>
          </cell>
        </row>
        <row r="198">
          <cell r="B198" t="str">
            <v>ID  1204SGC</v>
          </cell>
          <cell r="H198">
            <v>380</v>
          </cell>
        </row>
        <row r="199">
          <cell r="B199" t="str">
            <v>ID  1204SGP</v>
          </cell>
          <cell r="H199">
            <v>380</v>
          </cell>
        </row>
        <row r="200">
          <cell r="B200" t="str">
            <v>ID  1204SGS</v>
          </cell>
          <cell r="H200">
            <v>380</v>
          </cell>
        </row>
        <row r="201">
          <cell r="B201" t="str">
            <v>ID  1204SS</v>
          </cell>
          <cell r="H201">
            <v>380</v>
          </cell>
        </row>
        <row r="202">
          <cell r="B202" t="str">
            <v>ID  1206DG</v>
          </cell>
          <cell r="H202">
            <v>435</v>
          </cell>
        </row>
        <row r="203">
          <cell r="B203" t="str">
            <v>ID  1206PS</v>
          </cell>
          <cell r="H203">
            <v>380</v>
          </cell>
        </row>
        <row r="204">
          <cell r="B204" t="str">
            <v>ID  1206SC</v>
          </cell>
          <cell r="H204">
            <v>380</v>
          </cell>
        </row>
        <row r="205">
          <cell r="B205" t="str">
            <v>ID  1206SGC</v>
          </cell>
          <cell r="H205">
            <v>380</v>
          </cell>
        </row>
        <row r="206">
          <cell r="B206" t="str">
            <v>ID  1206SGP</v>
          </cell>
          <cell r="H206">
            <v>380</v>
          </cell>
        </row>
        <row r="207">
          <cell r="B207" t="str">
            <v>ID  1206SGS</v>
          </cell>
          <cell r="H207">
            <v>380</v>
          </cell>
        </row>
        <row r="208">
          <cell r="B208" t="str">
            <v>ID  1206SS</v>
          </cell>
          <cell r="H208">
            <v>380</v>
          </cell>
        </row>
        <row r="209">
          <cell r="B209" t="str">
            <v>ID  1208DG</v>
          </cell>
          <cell r="H209">
            <v>435</v>
          </cell>
        </row>
        <row r="210">
          <cell r="B210" t="str">
            <v>ID  1208PS</v>
          </cell>
          <cell r="H210">
            <v>380</v>
          </cell>
        </row>
        <row r="211">
          <cell r="B211" t="str">
            <v>ID  1208SC</v>
          </cell>
          <cell r="H211">
            <v>380</v>
          </cell>
        </row>
        <row r="212">
          <cell r="B212" t="str">
            <v>ID  1208SGC</v>
          </cell>
          <cell r="H212">
            <v>380</v>
          </cell>
        </row>
        <row r="213">
          <cell r="B213" t="str">
            <v>ID  1208SGP</v>
          </cell>
          <cell r="H213">
            <v>380</v>
          </cell>
        </row>
        <row r="214">
          <cell r="B214" t="str">
            <v>ID  1208SGS</v>
          </cell>
          <cell r="H214">
            <v>380</v>
          </cell>
        </row>
        <row r="215">
          <cell r="B215" t="str">
            <v>ID  1208SS</v>
          </cell>
          <cell r="H215">
            <v>380</v>
          </cell>
        </row>
        <row r="216">
          <cell r="B216" t="str">
            <v>ID  1210DG</v>
          </cell>
          <cell r="H216">
            <v>435</v>
          </cell>
        </row>
        <row r="217">
          <cell r="B217" t="str">
            <v>ID  1210PS</v>
          </cell>
          <cell r="H217">
            <v>380</v>
          </cell>
        </row>
        <row r="218">
          <cell r="B218" t="str">
            <v>ID  1210SC</v>
          </cell>
          <cell r="H218">
            <v>380</v>
          </cell>
        </row>
        <row r="219">
          <cell r="B219" t="str">
            <v>ID  1210SGC</v>
          </cell>
          <cell r="H219">
            <v>380</v>
          </cell>
        </row>
        <row r="220">
          <cell r="B220" t="str">
            <v>ID  1210SGP</v>
          </cell>
          <cell r="H220">
            <v>380</v>
          </cell>
        </row>
        <row r="221">
          <cell r="B221" t="str">
            <v>ID  1210SGS</v>
          </cell>
          <cell r="H221">
            <v>380</v>
          </cell>
        </row>
        <row r="222">
          <cell r="B222" t="str">
            <v>ID  1210SS</v>
          </cell>
          <cell r="H222">
            <v>380</v>
          </cell>
        </row>
        <row r="223">
          <cell r="B223" t="str">
            <v>ID  1212DG</v>
          </cell>
          <cell r="H223">
            <v>435</v>
          </cell>
        </row>
        <row r="224">
          <cell r="B224" t="str">
            <v>ID  1212PS</v>
          </cell>
          <cell r="H224">
            <v>380</v>
          </cell>
        </row>
        <row r="225">
          <cell r="B225" t="str">
            <v>ID  1212SC</v>
          </cell>
          <cell r="H225">
            <v>380</v>
          </cell>
        </row>
        <row r="226">
          <cell r="B226" t="str">
            <v>ID  1212SGC</v>
          </cell>
          <cell r="H226">
            <v>380</v>
          </cell>
        </row>
        <row r="227">
          <cell r="B227" t="str">
            <v>ID  1212SGP</v>
          </cell>
          <cell r="H227">
            <v>380</v>
          </cell>
        </row>
        <row r="228">
          <cell r="B228" t="str">
            <v>ID  1212SGS</v>
          </cell>
          <cell r="H228">
            <v>380</v>
          </cell>
        </row>
        <row r="229">
          <cell r="B229" t="str">
            <v>ID  1212SS</v>
          </cell>
          <cell r="H229">
            <v>380</v>
          </cell>
        </row>
        <row r="230">
          <cell r="B230" t="str">
            <v>ID  1504DG</v>
          </cell>
          <cell r="H230">
            <v>560</v>
          </cell>
        </row>
        <row r="231">
          <cell r="B231" t="str">
            <v>ID  1504PS</v>
          </cell>
          <cell r="H231">
            <v>450</v>
          </cell>
        </row>
        <row r="232">
          <cell r="B232" t="str">
            <v>ID  1504SC</v>
          </cell>
          <cell r="H232">
            <v>450</v>
          </cell>
        </row>
        <row r="233">
          <cell r="B233" t="str">
            <v>ID  1504SGC</v>
          </cell>
          <cell r="H233">
            <v>450</v>
          </cell>
        </row>
        <row r="234">
          <cell r="B234" t="str">
            <v>ID  1504SGP</v>
          </cell>
          <cell r="H234">
            <v>450</v>
          </cell>
        </row>
        <row r="235">
          <cell r="B235" t="str">
            <v>ID  1504SGS</v>
          </cell>
          <cell r="H235">
            <v>450</v>
          </cell>
        </row>
        <row r="236">
          <cell r="B236" t="str">
            <v>ID  1504SS</v>
          </cell>
          <cell r="H236">
            <v>450</v>
          </cell>
        </row>
        <row r="237">
          <cell r="B237" t="str">
            <v>ID  1506DG</v>
          </cell>
          <cell r="H237">
            <v>560</v>
          </cell>
        </row>
        <row r="238">
          <cell r="B238" t="str">
            <v>ID  1506PS</v>
          </cell>
          <cell r="H238">
            <v>450</v>
          </cell>
        </row>
        <row r="239">
          <cell r="B239" t="str">
            <v>ID  1506SC</v>
          </cell>
          <cell r="H239">
            <v>450</v>
          </cell>
        </row>
        <row r="240">
          <cell r="B240" t="str">
            <v>ID  1506SGC</v>
          </cell>
          <cell r="H240">
            <v>450</v>
          </cell>
        </row>
        <row r="241">
          <cell r="B241" t="str">
            <v>ID  1506SGP</v>
          </cell>
          <cell r="H241">
            <v>450</v>
          </cell>
        </row>
        <row r="242">
          <cell r="B242" t="str">
            <v>ID  1506SGS</v>
          </cell>
          <cell r="H242">
            <v>450</v>
          </cell>
        </row>
        <row r="243">
          <cell r="B243" t="str">
            <v>ID  1506SS</v>
          </cell>
          <cell r="H243">
            <v>450</v>
          </cell>
        </row>
        <row r="244">
          <cell r="B244" t="str">
            <v>ID  1508DG</v>
          </cell>
          <cell r="H244">
            <v>560</v>
          </cell>
        </row>
        <row r="245">
          <cell r="B245" t="str">
            <v>ID  1508PS</v>
          </cell>
          <cell r="H245">
            <v>450</v>
          </cell>
        </row>
        <row r="246">
          <cell r="B246" t="str">
            <v>ID  1508SC</v>
          </cell>
          <cell r="H246">
            <v>450</v>
          </cell>
        </row>
        <row r="247">
          <cell r="B247" t="str">
            <v>ID  1508SGC</v>
          </cell>
          <cell r="H247">
            <v>450</v>
          </cell>
        </row>
        <row r="248">
          <cell r="B248" t="str">
            <v>ID  1508SGP</v>
          </cell>
          <cell r="H248">
            <v>450</v>
          </cell>
        </row>
        <row r="249">
          <cell r="B249" t="str">
            <v>ID  1508SGS</v>
          </cell>
          <cell r="H249">
            <v>450</v>
          </cell>
        </row>
        <row r="250">
          <cell r="B250" t="str">
            <v>ID  1508SS</v>
          </cell>
          <cell r="H250">
            <v>450</v>
          </cell>
        </row>
        <row r="251">
          <cell r="B251" t="str">
            <v>ID  1510DG</v>
          </cell>
          <cell r="H251">
            <v>560</v>
          </cell>
        </row>
        <row r="252">
          <cell r="B252" t="str">
            <v>ID  1510PS</v>
          </cell>
          <cell r="H252">
            <v>450</v>
          </cell>
        </row>
        <row r="253">
          <cell r="B253" t="str">
            <v>ID  1510SC</v>
          </cell>
          <cell r="H253">
            <v>450</v>
          </cell>
        </row>
        <row r="254">
          <cell r="B254" t="str">
            <v>ID  1510SGC</v>
          </cell>
          <cell r="H254">
            <v>450</v>
          </cell>
        </row>
        <row r="255">
          <cell r="B255" t="str">
            <v>ID  1510SGP</v>
          </cell>
          <cell r="H255">
            <v>450</v>
          </cell>
        </row>
        <row r="256">
          <cell r="B256" t="str">
            <v>ID  1510SGS</v>
          </cell>
          <cell r="H256">
            <v>450</v>
          </cell>
        </row>
        <row r="257">
          <cell r="B257" t="str">
            <v>ID  1510SS</v>
          </cell>
          <cell r="H257">
            <v>450</v>
          </cell>
        </row>
        <row r="258">
          <cell r="B258" t="str">
            <v>ID  1512DG</v>
          </cell>
          <cell r="H258">
            <v>560</v>
          </cell>
        </row>
        <row r="259">
          <cell r="B259" t="str">
            <v>ID  1512PS</v>
          </cell>
          <cell r="H259">
            <v>450</v>
          </cell>
        </row>
        <row r="260">
          <cell r="B260" t="str">
            <v>ID  1512SC</v>
          </cell>
          <cell r="H260">
            <v>450</v>
          </cell>
        </row>
        <row r="261">
          <cell r="B261" t="str">
            <v>ID  1512SGC</v>
          </cell>
          <cell r="H261">
            <v>450</v>
          </cell>
        </row>
        <row r="262">
          <cell r="B262" t="str">
            <v>ID  1512SGP</v>
          </cell>
          <cell r="H262">
            <v>450</v>
          </cell>
        </row>
        <row r="263">
          <cell r="B263" t="str">
            <v>ID  1512SGS</v>
          </cell>
          <cell r="H263">
            <v>450</v>
          </cell>
        </row>
        <row r="264">
          <cell r="B264" t="str">
            <v>ID  1512SS</v>
          </cell>
          <cell r="H264">
            <v>450</v>
          </cell>
        </row>
        <row r="265">
          <cell r="B265" t="str">
            <v>ID  1515DG</v>
          </cell>
          <cell r="H265">
            <v>560</v>
          </cell>
        </row>
        <row r="266">
          <cell r="B266" t="str">
            <v>ID  1515PS</v>
          </cell>
          <cell r="H266">
            <v>450</v>
          </cell>
        </row>
        <row r="267">
          <cell r="B267" t="str">
            <v>ID  1515SC</v>
          </cell>
          <cell r="H267">
            <v>450</v>
          </cell>
        </row>
        <row r="268">
          <cell r="B268" t="str">
            <v>ID  1515SGC</v>
          </cell>
          <cell r="H268">
            <v>450</v>
          </cell>
        </row>
        <row r="269">
          <cell r="B269" t="str">
            <v>ID  1515SGP</v>
          </cell>
          <cell r="H269">
            <v>450</v>
          </cell>
        </row>
        <row r="270">
          <cell r="B270" t="str">
            <v>ID  1515SGS</v>
          </cell>
          <cell r="H270">
            <v>450</v>
          </cell>
        </row>
        <row r="271">
          <cell r="B271" t="str">
            <v>ID  1515SS</v>
          </cell>
          <cell r="H271">
            <v>450</v>
          </cell>
        </row>
        <row r="272">
          <cell r="B272" t="str">
            <v>ID  1804DG</v>
          </cell>
          <cell r="H272">
            <v>720</v>
          </cell>
        </row>
        <row r="273">
          <cell r="B273" t="str">
            <v>ID  1804PS</v>
          </cell>
          <cell r="H273">
            <v>525</v>
          </cell>
        </row>
        <row r="274">
          <cell r="B274" t="str">
            <v>ID  1804SC</v>
          </cell>
          <cell r="H274">
            <v>525</v>
          </cell>
        </row>
        <row r="275">
          <cell r="B275" t="str">
            <v>ID  1804SS</v>
          </cell>
          <cell r="H275">
            <v>525</v>
          </cell>
        </row>
        <row r="276">
          <cell r="B276" t="str">
            <v>ID  1806DG</v>
          </cell>
          <cell r="H276">
            <v>720</v>
          </cell>
        </row>
        <row r="277">
          <cell r="B277" t="str">
            <v>ID  1806PS</v>
          </cell>
          <cell r="H277">
            <v>525</v>
          </cell>
        </row>
        <row r="278">
          <cell r="B278" t="str">
            <v>ID  1806SC</v>
          </cell>
          <cell r="H278">
            <v>525</v>
          </cell>
        </row>
        <row r="279">
          <cell r="B279" t="str">
            <v>ID  1806SS</v>
          </cell>
          <cell r="H279">
            <v>525</v>
          </cell>
        </row>
        <row r="280">
          <cell r="B280" t="str">
            <v>ID  1808DG</v>
          </cell>
          <cell r="H280">
            <v>720</v>
          </cell>
        </row>
        <row r="281">
          <cell r="B281" t="str">
            <v>ID  1808PS</v>
          </cell>
          <cell r="H281">
            <v>525</v>
          </cell>
        </row>
        <row r="282">
          <cell r="B282" t="str">
            <v>ID  1808SC</v>
          </cell>
          <cell r="H282">
            <v>525</v>
          </cell>
        </row>
        <row r="283">
          <cell r="B283" t="str">
            <v>ID  1808SS</v>
          </cell>
          <cell r="H283">
            <v>525</v>
          </cell>
        </row>
        <row r="284">
          <cell r="B284" t="str">
            <v>ID  1810DG</v>
          </cell>
          <cell r="H284">
            <v>720</v>
          </cell>
        </row>
        <row r="285">
          <cell r="B285" t="str">
            <v>ID  1810PS</v>
          </cell>
          <cell r="H285">
            <v>525</v>
          </cell>
        </row>
        <row r="286">
          <cell r="B286" t="str">
            <v>ID  1810SC</v>
          </cell>
          <cell r="H286">
            <v>525</v>
          </cell>
        </row>
        <row r="287">
          <cell r="B287" t="str">
            <v>ID  1810SS</v>
          </cell>
          <cell r="H287">
            <v>525</v>
          </cell>
        </row>
        <row r="288">
          <cell r="B288" t="str">
            <v>ID  1812DG</v>
          </cell>
          <cell r="H288">
            <v>720</v>
          </cell>
        </row>
        <row r="289">
          <cell r="B289" t="str">
            <v>ID  1812PS</v>
          </cell>
          <cell r="H289">
            <v>525</v>
          </cell>
        </row>
        <row r="290">
          <cell r="B290" t="str">
            <v>ID  1812SC</v>
          </cell>
          <cell r="H290">
            <v>525</v>
          </cell>
        </row>
        <row r="291">
          <cell r="B291" t="str">
            <v>ID  1812SS</v>
          </cell>
          <cell r="H291">
            <v>525</v>
          </cell>
        </row>
        <row r="292">
          <cell r="B292" t="str">
            <v>ID  1815DG</v>
          </cell>
          <cell r="H292">
            <v>720</v>
          </cell>
        </row>
        <row r="293">
          <cell r="B293" t="str">
            <v>ID  1815PS</v>
          </cell>
          <cell r="H293">
            <v>525</v>
          </cell>
        </row>
        <row r="294">
          <cell r="B294" t="str">
            <v>ID  1815SC</v>
          </cell>
          <cell r="H294">
            <v>525</v>
          </cell>
        </row>
        <row r="295">
          <cell r="B295" t="str">
            <v>ID  1815SS</v>
          </cell>
          <cell r="H295">
            <v>525</v>
          </cell>
        </row>
        <row r="296">
          <cell r="B296" t="str">
            <v>ID  1818DG</v>
          </cell>
          <cell r="H296">
            <v>720</v>
          </cell>
        </row>
        <row r="297">
          <cell r="B297" t="str">
            <v>ID  1818PS</v>
          </cell>
          <cell r="H297">
            <v>525</v>
          </cell>
        </row>
        <row r="298">
          <cell r="B298" t="str">
            <v>ID  1818SC</v>
          </cell>
          <cell r="H298">
            <v>525</v>
          </cell>
        </row>
        <row r="299">
          <cell r="B299" t="str">
            <v>ID  1818SS</v>
          </cell>
          <cell r="H299">
            <v>525</v>
          </cell>
        </row>
        <row r="300">
          <cell r="B300" t="str">
            <v>ID  2404DG</v>
          </cell>
          <cell r="H300">
            <v>1250</v>
          </cell>
        </row>
        <row r="301">
          <cell r="B301" t="str">
            <v>ID  2404PS</v>
          </cell>
          <cell r="H301">
            <v>1010</v>
          </cell>
        </row>
        <row r="302">
          <cell r="B302" t="str">
            <v>ID  2404SC</v>
          </cell>
          <cell r="H302">
            <v>1010</v>
          </cell>
        </row>
        <row r="303">
          <cell r="B303" t="str">
            <v>ID  2404SS</v>
          </cell>
          <cell r="H303">
            <v>1010</v>
          </cell>
        </row>
        <row r="304">
          <cell r="B304" t="str">
            <v>ID  2406DG</v>
          </cell>
          <cell r="H304">
            <v>1250</v>
          </cell>
        </row>
        <row r="305">
          <cell r="B305" t="str">
            <v>ID  2406PS</v>
          </cell>
          <cell r="H305">
            <v>1010</v>
          </cell>
        </row>
        <row r="306">
          <cell r="B306" t="str">
            <v>ID  2406SC</v>
          </cell>
          <cell r="H306">
            <v>1010</v>
          </cell>
        </row>
        <row r="307">
          <cell r="B307" t="str">
            <v>ID  2406SS</v>
          </cell>
          <cell r="H307">
            <v>1010</v>
          </cell>
        </row>
        <row r="308">
          <cell r="B308" t="str">
            <v>ID  2408DG</v>
          </cell>
          <cell r="H308">
            <v>1250</v>
          </cell>
        </row>
        <row r="309">
          <cell r="B309" t="str">
            <v>ID  2408PS</v>
          </cell>
          <cell r="H309">
            <v>1010</v>
          </cell>
        </row>
        <row r="310">
          <cell r="B310" t="str">
            <v>ID  2408SC</v>
          </cell>
          <cell r="H310">
            <v>1010</v>
          </cell>
        </row>
        <row r="311">
          <cell r="B311" t="str">
            <v>ID  2408SS</v>
          </cell>
          <cell r="H311">
            <v>1010</v>
          </cell>
        </row>
        <row r="312">
          <cell r="B312" t="str">
            <v>ID  2410DG</v>
          </cell>
          <cell r="H312">
            <v>1250</v>
          </cell>
        </row>
        <row r="313">
          <cell r="B313" t="str">
            <v>ID  2410PS</v>
          </cell>
          <cell r="H313">
            <v>1010</v>
          </cell>
        </row>
        <row r="314">
          <cell r="B314" t="str">
            <v>ID  2410SC</v>
          </cell>
          <cell r="H314">
            <v>1010</v>
          </cell>
        </row>
        <row r="315">
          <cell r="B315" t="str">
            <v>ID  2410SS</v>
          </cell>
          <cell r="H315">
            <v>1010</v>
          </cell>
        </row>
        <row r="316">
          <cell r="B316" t="str">
            <v>ID  2412DG</v>
          </cell>
          <cell r="H316">
            <v>1250</v>
          </cell>
        </row>
        <row r="317">
          <cell r="B317" t="str">
            <v>ID  2412PS</v>
          </cell>
          <cell r="H317">
            <v>1010</v>
          </cell>
        </row>
        <row r="318">
          <cell r="B318" t="str">
            <v>ID  2412SC</v>
          </cell>
          <cell r="H318">
            <v>1010</v>
          </cell>
        </row>
        <row r="319">
          <cell r="B319" t="str">
            <v>ID  2412SS</v>
          </cell>
          <cell r="H319">
            <v>1010</v>
          </cell>
        </row>
        <row r="320">
          <cell r="B320" t="str">
            <v>ID  2415DG</v>
          </cell>
          <cell r="H320">
            <v>1250</v>
          </cell>
        </row>
        <row r="321">
          <cell r="B321" t="str">
            <v>ID  2415PS</v>
          </cell>
          <cell r="H321">
            <v>1010</v>
          </cell>
        </row>
        <row r="322">
          <cell r="B322" t="str">
            <v>ID  2415SC</v>
          </cell>
          <cell r="H322">
            <v>1010</v>
          </cell>
        </row>
        <row r="323">
          <cell r="B323" t="str">
            <v>ID  2415SS</v>
          </cell>
          <cell r="H323">
            <v>1010</v>
          </cell>
        </row>
        <row r="324">
          <cell r="B324" t="str">
            <v>ID  2418DG</v>
          </cell>
          <cell r="H324">
            <v>1250</v>
          </cell>
        </row>
        <row r="325">
          <cell r="B325" t="str">
            <v>ID  2418PS</v>
          </cell>
          <cell r="H325">
            <v>1010</v>
          </cell>
        </row>
        <row r="326">
          <cell r="B326" t="str">
            <v>ID  2418SC</v>
          </cell>
          <cell r="H326">
            <v>1010</v>
          </cell>
        </row>
        <row r="327">
          <cell r="B327" t="str">
            <v>ID  2418SS</v>
          </cell>
          <cell r="H327">
            <v>1010</v>
          </cell>
        </row>
        <row r="328">
          <cell r="B328" t="str">
            <v>ID  2424DG</v>
          </cell>
          <cell r="H328">
            <v>1250</v>
          </cell>
        </row>
        <row r="329">
          <cell r="B329" t="str">
            <v>ID  2424PS</v>
          </cell>
          <cell r="H329">
            <v>1010</v>
          </cell>
        </row>
        <row r="330">
          <cell r="B330" t="str">
            <v>ID  2424SC</v>
          </cell>
          <cell r="H330">
            <v>1010</v>
          </cell>
        </row>
        <row r="331">
          <cell r="B331" t="str">
            <v>ID  2424SS</v>
          </cell>
          <cell r="H331">
            <v>1010</v>
          </cell>
        </row>
        <row r="332">
          <cell r="B332" t="str">
            <v>ID  3004DG</v>
          </cell>
          <cell r="H332">
            <v>1700</v>
          </cell>
        </row>
        <row r="333">
          <cell r="B333" t="str">
            <v>ID  3004PS</v>
          </cell>
          <cell r="H333">
            <v>1225</v>
          </cell>
        </row>
        <row r="334">
          <cell r="B334" t="str">
            <v>ID  3004SC</v>
          </cell>
          <cell r="H334">
            <v>1225</v>
          </cell>
        </row>
        <row r="335">
          <cell r="B335" t="str">
            <v>ID  3004SS</v>
          </cell>
          <cell r="H335">
            <v>1225</v>
          </cell>
        </row>
        <row r="336">
          <cell r="B336" t="str">
            <v>ID  3006DG</v>
          </cell>
          <cell r="H336">
            <v>1700</v>
          </cell>
        </row>
        <row r="337">
          <cell r="B337" t="str">
            <v>ID  3006PS</v>
          </cell>
          <cell r="H337">
            <v>1225</v>
          </cell>
        </row>
        <row r="338">
          <cell r="B338" t="str">
            <v>ID  3006SC</v>
          </cell>
          <cell r="H338">
            <v>1225</v>
          </cell>
        </row>
        <row r="339">
          <cell r="B339" t="str">
            <v>ID  3006SS</v>
          </cell>
          <cell r="H339">
            <v>1225</v>
          </cell>
        </row>
        <row r="340">
          <cell r="B340" t="str">
            <v>ID  3008DG</v>
          </cell>
          <cell r="H340">
            <v>1700</v>
          </cell>
        </row>
        <row r="341">
          <cell r="B341" t="str">
            <v>ID  3008PS</v>
          </cell>
          <cell r="H341">
            <v>1225</v>
          </cell>
        </row>
        <row r="342">
          <cell r="B342" t="str">
            <v>ID  3008SC</v>
          </cell>
          <cell r="H342">
            <v>1225</v>
          </cell>
        </row>
        <row r="343">
          <cell r="B343" t="str">
            <v>ID  3008SS</v>
          </cell>
          <cell r="H343">
            <v>1225</v>
          </cell>
        </row>
        <row r="344">
          <cell r="B344" t="str">
            <v>ID  3010DG</v>
          </cell>
          <cell r="H344">
            <v>1700</v>
          </cell>
        </row>
        <row r="345">
          <cell r="B345" t="str">
            <v>ID  3010PS</v>
          </cell>
          <cell r="H345">
            <v>1225</v>
          </cell>
        </row>
        <row r="346">
          <cell r="B346" t="str">
            <v>ID  3010SC</v>
          </cell>
          <cell r="H346">
            <v>1225</v>
          </cell>
        </row>
        <row r="347">
          <cell r="B347" t="str">
            <v>ID  3010SS</v>
          </cell>
          <cell r="H347">
            <v>1225</v>
          </cell>
        </row>
        <row r="348">
          <cell r="B348" t="str">
            <v>ID  3012DG</v>
          </cell>
          <cell r="H348">
            <v>1700</v>
          </cell>
        </row>
        <row r="349">
          <cell r="B349" t="str">
            <v>ID  3012PS</v>
          </cell>
          <cell r="H349">
            <v>1225</v>
          </cell>
        </row>
        <row r="350">
          <cell r="B350" t="str">
            <v>ID  3012SC</v>
          </cell>
          <cell r="H350">
            <v>1225</v>
          </cell>
        </row>
        <row r="351">
          <cell r="B351" t="str">
            <v>ID  3012SS</v>
          </cell>
          <cell r="H351">
            <v>1225</v>
          </cell>
        </row>
        <row r="352">
          <cell r="B352" t="str">
            <v>ID  3015DG</v>
          </cell>
          <cell r="H352">
            <v>1700</v>
          </cell>
        </row>
        <row r="353">
          <cell r="B353" t="str">
            <v>ID  3015PS</v>
          </cell>
          <cell r="H353">
            <v>1225</v>
          </cell>
        </row>
        <row r="354">
          <cell r="B354" t="str">
            <v>ID  3015SC</v>
          </cell>
          <cell r="H354">
            <v>1225</v>
          </cell>
        </row>
        <row r="355">
          <cell r="B355" t="str">
            <v>ID  3015SS</v>
          </cell>
          <cell r="H355">
            <v>1225</v>
          </cell>
        </row>
        <row r="356">
          <cell r="B356" t="str">
            <v>ID  3018DG</v>
          </cell>
          <cell r="H356">
            <v>1700</v>
          </cell>
        </row>
        <row r="357">
          <cell r="B357" t="str">
            <v>ID  3018PS</v>
          </cell>
          <cell r="H357">
            <v>1225</v>
          </cell>
        </row>
        <row r="358">
          <cell r="B358" t="str">
            <v>ID  3018SC</v>
          </cell>
          <cell r="H358">
            <v>1225</v>
          </cell>
        </row>
        <row r="359">
          <cell r="B359" t="str">
            <v>ID  3018SS</v>
          </cell>
          <cell r="H359">
            <v>1225</v>
          </cell>
        </row>
        <row r="360">
          <cell r="B360" t="str">
            <v>ID  3024DG</v>
          </cell>
          <cell r="H360">
            <v>1700</v>
          </cell>
        </row>
        <row r="361">
          <cell r="B361" t="str">
            <v>ID  3024PS</v>
          </cell>
          <cell r="H361">
            <v>1225</v>
          </cell>
        </row>
        <row r="362">
          <cell r="B362" t="str">
            <v>ID  3024SC</v>
          </cell>
          <cell r="H362">
            <v>1225</v>
          </cell>
        </row>
        <row r="363">
          <cell r="B363" t="str">
            <v>ID  3024SS</v>
          </cell>
          <cell r="H363">
            <v>1225</v>
          </cell>
        </row>
        <row r="364">
          <cell r="B364" t="str">
            <v>ID  3030DG</v>
          </cell>
          <cell r="H364">
            <v>1700</v>
          </cell>
        </row>
        <row r="365">
          <cell r="B365" t="str">
            <v>ID  3030PS</v>
          </cell>
          <cell r="H365">
            <v>1225</v>
          </cell>
        </row>
        <row r="366">
          <cell r="B366" t="str">
            <v>ID  3030SC</v>
          </cell>
        </row>
        <row r="367">
          <cell r="B367" t="str">
            <v>ID  3030SS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B574-A9EC-4FD3-A493-2C3DE2B113B8}">
  <dimension ref="A1:AA1201"/>
  <sheetViews>
    <sheetView zoomScaleNormal="100" workbookViewId="0">
      <pane ySplit="1" topLeftCell="A2" activePane="bottomLeft" state="frozen"/>
      <selection pane="bottomLeft" activeCell="M11" sqref="M11"/>
    </sheetView>
  </sheetViews>
  <sheetFormatPr defaultColWidth="8.7109375" defaultRowHeight="15" x14ac:dyDescent="0.25"/>
  <cols>
    <col min="1" max="2" width="9.28515625" style="11" bestFit="1" customWidth="1"/>
    <col min="3" max="3" width="8.5703125" style="11" bestFit="1" customWidth="1"/>
    <col min="4" max="6" width="8.5703125" style="11" customWidth="1"/>
    <col min="7" max="7" width="13.42578125" style="16" bestFit="1" customWidth="1"/>
    <col min="8" max="8" width="9.7109375" style="16" bestFit="1" customWidth="1"/>
    <col min="9" max="9" width="18.42578125" style="16" customWidth="1"/>
    <col min="10" max="10" width="21.5703125" style="11" bestFit="1" customWidth="1"/>
    <col min="11" max="11" width="13.42578125" style="11" customWidth="1"/>
    <col min="12" max="12" width="7.7109375" style="16" bestFit="1" customWidth="1"/>
    <col min="13" max="13" width="18.28515625" style="11" customWidth="1"/>
    <col min="14" max="14" width="9.28515625" style="11" bestFit="1" customWidth="1"/>
    <col min="15" max="15" width="13.85546875" style="16" bestFit="1" customWidth="1"/>
    <col min="16" max="16" width="7.7109375" style="16" bestFit="1" customWidth="1"/>
    <col min="17" max="17" width="19.140625" style="11" customWidth="1"/>
    <col min="18" max="18" width="9.28515625" style="11" bestFit="1" customWidth="1"/>
    <col min="19" max="19" width="17" style="11" bestFit="1" customWidth="1"/>
    <col min="20" max="20" width="11.5703125" style="16" bestFit="1" customWidth="1"/>
    <col min="21" max="21" width="16.28515625" style="11" customWidth="1"/>
    <col min="22" max="22" width="9.28515625" style="11" bestFit="1" customWidth="1"/>
    <col min="23" max="23" width="13.42578125" style="11" bestFit="1" customWidth="1"/>
    <col min="24" max="24" width="7.7109375" style="16" bestFit="1" customWidth="1"/>
    <col min="25" max="25" width="13.85546875" style="11" bestFit="1" customWidth="1"/>
    <col min="26" max="26" width="9.28515625" style="11" bestFit="1" customWidth="1"/>
    <col min="27" max="27" width="13.42578125" style="11" bestFit="1" customWidth="1"/>
    <col min="28" max="16384" width="8.7109375" style="11"/>
  </cols>
  <sheetData>
    <row r="1" spans="1:27" x14ac:dyDescent="0.25">
      <c r="A1" s="8" t="s">
        <v>2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14" t="s">
        <v>0</v>
      </c>
      <c r="H1" s="14" t="s">
        <v>7</v>
      </c>
      <c r="I1" s="14" t="s">
        <v>8</v>
      </c>
      <c r="J1" s="9" t="s">
        <v>25</v>
      </c>
      <c r="K1" s="9" t="s">
        <v>26</v>
      </c>
      <c r="L1" s="14" t="s">
        <v>9</v>
      </c>
      <c r="M1" s="28" t="s">
        <v>10</v>
      </c>
      <c r="N1" s="8" t="s">
        <v>11</v>
      </c>
      <c r="O1" s="14" t="s">
        <v>12</v>
      </c>
      <c r="P1" s="14" t="s">
        <v>13</v>
      </c>
      <c r="Q1" s="10" t="s">
        <v>14</v>
      </c>
      <c r="R1" s="10" t="s">
        <v>15</v>
      </c>
      <c r="S1" s="10" t="s">
        <v>16</v>
      </c>
      <c r="T1" s="14" t="s">
        <v>17</v>
      </c>
      <c r="U1" s="10" t="s">
        <v>18</v>
      </c>
      <c r="V1" s="10" t="s">
        <v>19</v>
      </c>
      <c r="W1" s="10" t="s">
        <v>20</v>
      </c>
      <c r="X1" s="14" t="s">
        <v>21</v>
      </c>
      <c r="Y1" s="29" t="s">
        <v>22</v>
      </c>
      <c r="Z1" s="10" t="s">
        <v>23</v>
      </c>
      <c r="AA1" s="10" t="s">
        <v>24</v>
      </c>
    </row>
    <row r="2" spans="1:27" x14ac:dyDescent="0.25">
      <c r="A2" s="11" t="s">
        <v>54</v>
      </c>
      <c r="B2" s="11" t="s">
        <v>55</v>
      </c>
      <c r="G2" s="15" t="str">
        <f>IF(Sheet2!A2="","",Sheet2!A2)</f>
        <v>YD1</v>
      </c>
      <c r="H2" s="18" t="str">
        <f>IF(Sheet2!O2="","",LEFT(Sheet2!O2, FIND(" ", Sheet2!O2)-1))</f>
        <v>12"</v>
      </c>
      <c r="I2" s="15" t="str">
        <f>IF(Sheet2!S2&lt;19,ROUND(Sheet2!I2,2)&amp;"'",IF(Sheet2!S2&lt;25,ROUND(Sheet2!J2,2)&amp;"'",IF(Sheet2!S2&lt;31,ROUND(Sheet2!K2,2)&amp;"'",IF(Sheet2!S2&lt;37,ROUND(Sheet2!L2,2)&amp;"'",""))))</f>
        <v>3.17'</v>
      </c>
      <c r="J2" s="13" t="s">
        <v>50</v>
      </c>
      <c r="K2" s="12" t="s">
        <v>51</v>
      </c>
      <c r="L2" s="15" t="str">
        <f>IF(Sheet2!D2="","",Sheet2!D2&amp;"''")</f>
        <v>4''</v>
      </c>
      <c r="M2" s="12" t="s">
        <v>61</v>
      </c>
      <c r="N2" s="19" t="s">
        <v>41</v>
      </c>
      <c r="O2" s="16" t="str">
        <f>IF(Sheet2!H2="","",ROUND(Sheet2!H2,2)&amp;"'")</f>
        <v>2.67'</v>
      </c>
      <c r="P2" s="18" t="str">
        <f>IF(Sheet2!E2="","",Sheet2!E2&amp;"''")</f>
        <v/>
      </c>
      <c r="Q2" s="12"/>
      <c r="S2"/>
      <c r="T2" s="15" t="str">
        <f>IF(Sheet2!F2="","",Sheet2!F2&amp;"''")</f>
        <v/>
      </c>
      <c r="U2" s="12"/>
      <c r="X2" s="15" t="str">
        <f>IF(Sheet2!G2="","",Sheet2!G2&amp;"''")</f>
        <v/>
      </c>
      <c r="Y2" s="12"/>
      <c r="AA2" s="12"/>
    </row>
    <row r="3" spans="1:27" ht="23.45" customHeight="1" x14ac:dyDescent="0.25">
      <c r="G3" s="15" t="str">
        <f>IF(Sheet2!A3="","",Sheet2!A3)</f>
        <v>YD2</v>
      </c>
      <c r="H3" s="18" t="str">
        <f>IF(Sheet2!O3="","",LEFT(Sheet2!O3, FIND(" ", Sheet2!O3)-1))</f>
        <v>12"</v>
      </c>
      <c r="I3" s="15" t="str">
        <f>IF(Sheet2!S3&lt;19,ROUND(Sheet2!I3,2)&amp;"'",IF(Sheet2!S3&lt;25,ROUND(Sheet2!J3,2)&amp;"'",IF(Sheet2!S3&lt;31,ROUND(Sheet2!K3,2)&amp;"'",IF(Sheet2!S3&lt;37,ROUND(Sheet2!L3,2)&amp;"'",""))))</f>
        <v>3.52'</v>
      </c>
      <c r="J3" s="13" t="s">
        <v>50</v>
      </c>
      <c r="K3" s="12" t="s">
        <v>51</v>
      </c>
      <c r="L3" s="15" t="str">
        <f>IF(Sheet2!D3="","",Sheet2!D3&amp;"''")</f>
        <v>15''</v>
      </c>
      <c r="M3" s="12" t="s">
        <v>61</v>
      </c>
      <c r="N3" s="19" t="s">
        <v>41</v>
      </c>
      <c r="O3" s="16" t="str">
        <f>IF(Sheet2!H3="","",ROUND(Sheet2!H3,2)&amp;"'")</f>
        <v>3.02'</v>
      </c>
      <c r="P3" s="18" t="str">
        <f>IF(Sheet2!E3="","",Sheet2!E3&amp;"''")</f>
        <v>12''</v>
      </c>
      <c r="Q3" s="12" t="s">
        <v>61</v>
      </c>
      <c r="R3" s="11" t="s">
        <v>53</v>
      </c>
      <c r="S3" s="12" t="s">
        <v>62</v>
      </c>
      <c r="T3" s="15" t="str">
        <f>IF(Sheet2!F3="","",Sheet2!F3&amp;"''")</f>
        <v/>
      </c>
      <c r="U3" s="12"/>
      <c r="X3" s="15" t="str">
        <f>IF(Sheet2!G3="","",Sheet2!G3&amp;"''")</f>
        <v/>
      </c>
      <c r="Y3" s="12"/>
      <c r="AA3" s="12"/>
    </row>
    <row r="4" spans="1:27" x14ac:dyDescent="0.25">
      <c r="G4" s="15" t="str">
        <f>IF(Sheet2!A4="","",Sheet2!A4)</f>
        <v>YD4</v>
      </c>
      <c r="H4" s="18" t="str">
        <f>IF(Sheet2!O4="","",LEFT(Sheet2!O4, FIND(" ", Sheet2!O4)-1))</f>
        <v>15"</v>
      </c>
      <c r="I4" s="15" t="str">
        <f>IF(Sheet2!S4&lt;19,ROUND(Sheet2!I4,2)&amp;"'",IF(Sheet2!S4&lt;25,ROUND(Sheet2!J4,2)&amp;"'",IF(Sheet2!S4&lt;31,ROUND(Sheet2!K4,2)&amp;"'",IF(Sheet2!S4&lt;37,ROUND(Sheet2!L4,2)&amp;"'",""))))</f>
        <v>3.72'</v>
      </c>
      <c r="J4" s="13" t="s">
        <v>50</v>
      </c>
      <c r="K4" s="12" t="s">
        <v>52</v>
      </c>
      <c r="L4" s="15" t="str">
        <f>IF(Sheet2!D4="","",Sheet2!D4&amp;"''")</f>
        <v>8''</v>
      </c>
      <c r="M4" s="12" t="s">
        <v>61</v>
      </c>
      <c r="N4" s="19" t="s">
        <v>41</v>
      </c>
      <c r="O4" s="16" t="str">
        <f>IF(Sheet2!H4="","",ROUND(Sheet2!H4,2)&amp;"'")</f>
        <v>3.22'</v>
      </c>
      <c r="P4" s="18" t="str">
        <f>IF(Sheet2!E4="","",Sheet2!E4&amp;"''")</f>
        <v>8''</v>
      </c>
      <c r="Q4" s="12" t="s">
        <v>61</v>
      </c>
      <c r="R4" s="11" t="s">
        <v>63</v>
      </c>
      <c r="S4" t="s">
        <v>66</v>
      </c>
      <c r="T4" s="15" t="str">
        <f>IF(Sheet2!F4="","",Sheet2!F4&amp;"''")</f>
        <v>6''</v>
      </c>
      <c r="U4" s="12" t="s">
        <v>61</v>
      </c>
      <c r="V4" s="11" t="s">
        <v>43</v>
      </c>
      <c r="W4" s="11" t="s">
        <v>67</v>
      </c>
      <c r="X4" s="15" t="str">
        <f>IF(Sheet2!G4="","",Sheet2!G4&amp;"''")</f>
        <v/>
      </c>
      <c r="Y4" s="12"/>
      <c r="AA4" s="12"/>
    </row>
    <row r="5" spans="1:27" x14ac:dyDescent="0.25">
      <c r="G5" s="15" t="str">
        <f>IF(Sheet2!A5="","",Sheet2!A5)</f>
        <v>YD3</v>
      </c>
      <c r="H5" s="18" t="str">
        <f>IF(Sheet2!O5="","",LEFT(Sheet2!O5, FIND(" ", Sheet2!O5)-1))</f>
        <v>12"</v>
      </c>
      <c r="I5" s="15" t="str">
        <f>IF(Sheet2!S5&lt;19,ROUND(Sheet2!I5,2)&amp;"'",IF(Sheet2!S5&lt;25,ROUND(Sheet2!J5,2)&amp;"'",IF(Sheet2!S5&lt;31,ROUND(Sheet2!K5,2)&amp;"'",IF(Sheet2!S5&lt;37,ROUND(Sheet2!L5,2)&amp;"'",""))))</f>
        <v>5'</v>
      </c>
      <c r="J5" s="13" t="s">
        <v>50</v>
      </c>
      <c r="K5" s="12" t="s">
        <v>51</v>
      </c>
      <c r="L5" s="15" t="str">
        <f>IF(Sheet2!D5="","",Sheet2!D5&amp;"''")</f>
        <v>18''</v>
      </c>
      <c r="M5" s="12" t="s">
        <v>61</v>
      </c>
      <c r="N5" s="19" t="s">
        <v>41</v>
      </c>
      <c r="O5" s="16" t="str">
        <f>IF(Sheet2!H5="","",ROUND(Sheet2!H5,2)&amp;"'")</f>
        <v>4.5'</v>
      </c>
      <c r="P5" s="18" t="str">
        <f>IF(Sheet2!E5="","",Sheet2!E5&amp;"''")</f>
        <v/>
      </c>
      <c r="Q5" s="12"/>
      <c r="S5"/>
      <c r="T5" s="15" t="str">
        <f>IF(Sheet2!F5="","",Sheet2!F5&amp;"''")</f>
        <v/>
      </c>
      <c r="U5" s="12"/>
      <c r="X5" s="15" t="str">
        <f>IF(Sheet2!G5="","",Sheet2!G5&amp;"''")</f>
        <v/>
      </c>
      <c r="Y5" s="12"/>
      <c r="AA5" s="12"/>
    </row>
    <row r="6" spans="1:27" x14ac:dyDescent="0.25">
      <c r="G6" s="15" t="str">
        <f>IF(Sheet2!A6="","",Sheet2!A6)</f>
        <v>YD6</v>
      </c>
      <c r="H6" s="18" t="str">
        <f>IF(Sheet2!O6="","",LEFT(Sheet2!O6, FIND(" ", Sheet2!O6)-1))</f>
        <v>24"</v>
      </c>
      <c r="I6" s="15" t="str">
        <f>IF(Sheet2!S6&lt;19,ROUND(Sheet2!I6,2)&amp;"'",IF(Sheet2!S6&lt;25,ROUND(Sheet2!J6,2)&amp;"'",IF(Sheet2!S6&lt;31,ROUND(Sheet2!K6,2)&amp;"'",IF(Sheet2!S6&lt;37,ROUND(Sheet2!L6,2)&amp;"'",""))))</f>
        <v>4.28'</v>
      </c>
      <c r="J6" s="13" t="s">
        <v>60</v>
      </c>
      <c r="K6" s="12" t="s">
        <v>51</v>
      </c>
      <c r="L6" s="15" t="str">
        <f>IF(Sheet2!D6="","",Sheet2!D6&amp;"''")</f>
        <v>15''</v>
      </c>
      <c r="M6" s="12" t="s">
        <v>61</v>
      </c>
      <c r="N6" s="19" t="s">
        <v>41</v>
      </c>
      <c r="O6" s="16" t="str">
        <f>IF(Sheet2!H6="","",ROUND(Sheet2!H6,2)&amp;"'")</f>
        <v>3.61'</v>
      </c>
      <c r="P6" s="18" t="str">
        <f>IF(Sheet2!E6="","",Sheet2!E6&amp;"''")</f>
        <v>8''</v>
      </c>
      <c r="Q6" s="12" t="s">
        <v>61</v>
      </c>
      <c r="R6" s="11" t="s">
        <v>64</v>
      </c>
      <c r="S6" t="s">
        <v>65</v>
      </c>
      <c r="T6" s="15" t="str">
        <f>IF(Sheet2!F6="","",Sheet2!F6&amp;"''")</f>
        <v/>
      </c>
      <c r="U6" s="12"/>
      <c r="X6" s="15" t="str">
        <f>IF(Sheet2!G6="","",Sheet2!G6&amp;"''")</f>
        <v/>
      </c>
      <c r="Y6" s="12"/>
      <c r="AA6" s="12"/>
    </row>
    <row r="7" spans="1:27" x14ac:dyDescent="0.25">
      <c r="G7" s="15" t="str">
        <f>IF(Sheet2!A7="","",Sheet2!A7)</f>
        <v>YD7</v>
      </c>
      <c r="H7" s="18" t="str">
        <f>IF(Sheet2!O7="","",LEFT(Sheet2!O7, FIND(" ", Sheet2!O7)-1))</f>
        <v>30"</v>
      </c>
      <c r="I7" s="15" t="str">
        <f>IF(Sheet2!S7&lt;19,ROUND(Sheet2!I7,2)&amp;"'",IF(Sheet2!S7&lt;25,ROUND(Sheet2!J7,2)&amp;"'",IF(Sheet2!S7&lt;31,ROUND(Sheet2!K7,2)&amp;"'",IF(Sheet2!S7&lt;37,ROUND(Sheet2!L7,2)&amp;"'",""))))</f>
        <v>5.12'</v>
      </c>
      <c r="J7" s="13" t="s">
        <v>50</v>
      </c>
      <c r="K7" s="12" t="s">
        <v>42</v>
      </c>
      <c r="L7" s="15" t="str">
        <f>IF(Sheet2!D7="","",Sheet2!D7&amp;"''")</f>
        <v>18''</v>
      </c>
      <c r="M7" s="12" t="s">
        <v>61</v>
      </c>
      <c r="N7" s="19" t="s">
        <v>41</v>
      </c>
      <c r="O7" s="16" t="str">
        <f>IF(Sheet2!H7="","",ROUND(Sheet2!H7,2)&amp;"'")</f>
        <v>4.29'</v>
      </c>
      <c r="P7" s="18" t="str">
        <f>IF(Sheet2!E7="","",Sheet2!E7&amp;"''")</f>
        <v/>
      </c>
      <c r="Q7" s="12"/>
      <c r="S7"/>
      <c r="T7" s="15" t="str">
        <f>IF(Sheet2!F7="","",Sheet2!F7&amp;"''")</f>
        <v/>
      </c>
      <c r="U7" s="12"/>
      <c r="X7" s="15" t="str">
        <f>IF(Sheet2!G7="","",Sheet2!G7&amp;"''")</f>
        <v/>
      </c>
      <c r="Y7" s="12"/>
      <c r="AA7" s="12"/>
    </row>
    <row r="8" spans="1:27" x14ac:dyDescent="0.25">
      <c r="G8" s="15" t="str">
        <f>IF(Sheet2!A8="","",Sheet2!A8)</f>
        <v/>
      </c>
      <c r="H8" s="18" t="str">
        <f>IF(Sheet2!O8="","",LEFT(Sheet2!O8, FIND(" ", Sheet2!O8)-1))</f>
        <v/>
      </c>
      <c r="I8" s="15" t="str">
        <f>IF(Sheet2!S8&lt;19,ROUND(Sheet2!I8,2)&amp;"'",IF(Sheet2!S8&lt;25,ROUND(Sheet2!J8,2)&amp;"'",IF(Sheet2!S8&lt;31,ROUND(Sheet2!K8,2)&amp;"'",IF(Sheet2!S8&lt;37,ROUND(Sheet2!L8,2)&amp;"'",""))))</f>
        <v/>
      </c>
      <c r="J8" s="13"/>
      <c r="K8" s="12"/>
      <c r="L8" s="15" t="str">
        <f>IF(Sheet2!D8="","",Sheet2!D8&amp;"''")</f>
        <v/>
      </c>
      <c r="M8" s="12"/>
      <c r="N8" s="19"/>
      <c r="O8" s="16" t="str">
        <f>IF(Sheet2!H8="","",ROUND(Sheet2!H8,2)&amp;"'")</f>
        <v/>
      </c>
      <c r="P8" s="18" t="str">
        <f>IF(Sheet2!E8="","",Sheet2!E8&amp;"''")</f>
        <v/>
      </c>
      <c r="Q8" s="12"/>
      <c r="S8"/>
      <c r="T8" s="15" t="str">
        <f>IF(Sheet2!F8="","",Sheet2!F8&amp;"''")</f>
        <v/>
      </c>
      <c r="U8" s="12"/>
      <c r="X8" s="15" t="str">
        <f>IF(Sheet2!G8="","",Sheet2!G8&amp;"''")</f>
        <v/>
      </c>
      <c r="AA8" s="12"/>
    </row>
    <row r="9" spans="1:27" x14ac:dyDescent="0.25">
      <c r="G9" s="15" t="str">
        <f>IF(Sheet2!A9="","",Sheet2!A9)</f>
        <v/>
      </c>
      <c r="H9" s="18" t="str">
        <f>IF(Sheet2!O9="","",LEFT(Sheet2!O9, FIND(" ", Sheet2!O9)-1))</f>
        <v/>
      </c>
      <c r="I9" s="15" t="str">
        <f>IF(Sheet2!S9&lt;19,ROUND(Sheet2!I9,2)&amp;"'",IF(Sheet2!S9&lt;25,ROUND(Sheet2!J9,2)&amp;"'",IF(Sheet2!S9&lt;31,ROUND(Sheet2!K9,2)&amp;"'",IF(Sheet2!S9&lt;37,ROUND(Sheet2!L9,2)&amp;"'",""))))</f>
        <v/>
      </c>
      <c r="J9" s="13"/>
      <c r="K9" s="12"/>
      <c r="L9" s="15" t="str">
        <f>IF(Sheet2!D9="","",Sheet2!D9&amp;"''")</f>
        <v/>
      </c>
      <c r="M9" s="12"/>
      <c r="N9" s="19"/>
      <c r="O9" s="16" t="str">
        <f>IF(Sheet2!H9="","",ROUND(Sheet2!H9,2)&amp;"'")</f>
        <v/>
      </c>
      <c r="P9" s="18" t="str">
        <f>IF(Sheet2!E9="","",Sheet2!E9&amp;"''")</f>
        <v/>
      </c>
      <c r="Q9" s="12"/>
      <c r="S9"/>
      <c r="T9" s="15" t="str">
        <f>IF(Sheet2!F9="","",Sheet2!F9&amp;"''")</f>
        <v/>
      </c>
      <c r="U9" s="12"/>
      <c r="X9" s="15" t="str">
        <f>IF(Sheet2!G9="","",Sheet2!G9&amp;"''")</f>
        <v/>
      </c>
      <c r="AA9" s="12"/>
    </row>
    <row r="10" spans="1:27" x14ac:dyDescent="0.25">
      <c r="G10" s="15" t="str">
        <f>IF(Sheet2!A10="","",Sheet2!A10)</f>
        <v/>
      </c>
      <c r="H10" s="18" t="str">
        <f>IF(Sheet2!O10="","",LEFT(Sheet2!O10, FIND(" ", Sheet2!O10)-1))</f>
        <v/>
      </c>
      <c r="I10" s="15" t="str">
        <f>IF(Sheet2!S10&lt;19,ROUND(Sheet2!I10,2)&amp;"'",IF(Sheet2!S10&lt;25,ROUND(Sheet2!J10,2)&amp;"'",IF(Sheet2!S10&lt;31,ROUND(Sheet2!K10,2)&amp;"'",IF(Sheet2!S10&lt;37,ROUND(Sheet2!L10,2)&amp;"'",""))))</f>
        <v/>
      </c>
      <c r="J10" s="13"/>
      <c r="K10" s="12"/>
      <c r="L10" s="15" t="str">
        <f>IF(Sheet2!D10="","",Sheet2!D10&amp;"''")</f>
        <v/>
      </c>
      <c r="M10" s="12"/>
      <c r="N10" s="19"/>
      <c r="O10" s="16" t="str">
        <f>IF(Sheet2!H10="","",ROUND(Sheet2!H10,2)&amp;"'")</f>
        <v/>
      </c>
      <c r="P10" s="18" t="str">
        <f>IF(Sheet2!E10="","",Sheet2!E10&amp;"''")</f>
        <v/>
      </c>
      <c r="Q10" s="12"/>
      <c r="S10"/>
      <c r="T10" s="15" t="str">
        <f>IF(Sheet2!F10="","",Sheet2!F10&amp;"''")</f>
        <v/>
      </c>
      <c r="U10" s="12"/>
      <c r="X10" s="15" t="str">
        <f>IF(Sheet2!G10="","",Sheet2!G10&amp;"''")</f>
        <v/>
      </c>
      <c r="AA10" s="12"/>
    </row>
    <row r="11" spans="1:27" x14ac:dyDescent="0.25">
      <c r="G11" s="15" t="str">
        <f>IF(Sheet2!A11="","",Sheet2!A11)</f>
        <v/>
      </c>
      <c r="H11" s="18" t="str">
        <f>IF(Sheet2!O11="","",LEFT(Sheet2!O11, FIND(" ", Sheet2!O11)-1))</f>
        <v/>
      </c>
      <c r="I11" s="15" t="str">
        <f>IF(Sheet2!S11&lt;19,ROUND(Sheet2!I11,2)&amp;"'",IF(Sheet2!S11&lt;25,ROUND(Sheet2!J11,2)&amp;"'",IF(Sheet2!S11&lt;31,ROUND(Sheet2!K11,2)&amp;"'",IF(Sheet2!S11&lt;37,ROUND(Sheet2!L11,2)&amp;"'",""))))</f>
        <v/>
      </c>
      <c r="J11" s="13"/>
      <c r="K11" s="12"/>
      <c r="L11" s="15" t="str">
        <f>IF(Sheet2!D11="","",Sheet2!D11&amp;"''")</f>
        <v/>
      </c>
      <c r="M11" s="12"/>
      <c r="N11" s="19"/>
      <c r="O11" s="16" t="str">
        <f>IF(Sheet2!H11="","",ROUND(Sheet2!H11,2)&amp;"'")</f>
        <v/>
      </c>
      <c r="P11" s="18" t="str">
        <f>IF(Sheet2!E11="","",Sheet2!E11&amp;"''")</f>
        <v/>
      </c>
      <c r="Q11" s="12"/>
      <c r="S11"/>
      <c r="T11" s="15" t="str">
        <f>IF(Sheet2!F11="","",Sheet2!F11&amp;"''")</f>
        <v/>
      </c>
      <c r="U11" s="12"/>
      <c r="X11" s="15" t="str">
        <f>IF(Sheet2!G11="","",Sheet2!G11&amp;"''")</f>
        <v/>
      </c>
      <c r="AA11" s="12"/>
    </row>
    <row r="12" spans="1:27" x14ac:dyDescent="0.25">
      <c r="G12" s="15" t="str">
        <f>IF(Sheet2!A12="","",Sheet2!A12)</f>
        <v/>
      </c>
      <c r="H12" s="18" t="str">
        <f>IF(Sheet2!O12="","",LEFT(Sheet2!O12, FIND(" ", Sheet2!O12)-1))</f>
        <v/>
      </c>
      <c r="I12" s="15" t="str">
        <f>IF(Sheet2!S12&lt;19,ROUND(Sheet2!I12,2)&amp;"'",IF(Sheet2!S12&lt;25,ROUND(Sheet2!J12,2)&amp;"'",IF(Sheet2!S12&lt;31,ROUND(Sheet2!K12,2)&amp;"'",IF(Sheet2!S12&lt;37,ROUND(Sheet2!L12,2)&amp;"'",""))))</f>
        <v/>
      </c>
      <c r="J12" s="13"/>
      <c r="K12" s="12"/>
      <c r="L12" s="15" t="str">
        <f>IF(Sheet2!D12="","",Sheet2!D12&amp;"''")</f>
        <v/>
      </c>
      <c r="M12" s="12"/>
      <c r="N12" s="19"/>
      <c r="O12" s="16" t="str">
        <f>IF(Sheet2!H12="","",ROUND(Sheet2!H12,2)&amp;"'")</f>
        <v/>
      </c>
      <c r="P12" s="18" t="str">
        <f>IF(Sheet2!E12="","",Sheet2!E12&amp;"''")</f>
        <v/>
      </c>
      <c r="Q12" s="12"/>
      <c r="S12"/>
      <c r="T12" s="15" t="str">
        <f>IF(Sheet2!F12="","",Sheet2!F12&amp;"''")</f>
        <v/>
      </c>
      <c r="U12" s="12"/>
      <c r="X12" s="15" t="str">
        <f>IF(Sheet2!G12="","",Sheet2!G12&amp;"''")</f>
        <v/>
      </c>
      <c r="AA12" s="12"/>
    </row>
    <row r="13" spans="1:27" x14ac:dyDescent="0.25">
      <c r="G13" s="15" t="str">
        <f>IF(Sheet2!A13="","",Sheet2!A13)</f>
        <v/>
      </c>
      <c r="H13" s="18" t="str">
        <f>IF(Sheet2!O13="","",LEFT(Sheet2!O13, FIND(" ", Sheet2!O13)-1))</f>
        <v/>
      </c>
      <c r="I13" s="15" t="str">
        <f>IF(Sheet2!S13&lt;19,ROUND(Sheet2!I13,2)&amp;"'",IF(Sheet2!S13&lt;25,ROUND(Sheet2!J13,2)&amp;"'",IF(Sheet2!S13&lt;31,ROUND(Sheet2!K13,2)&amp;"'",IF(Sheet2!S13&lt;37,ROUND(Sheet2!L13,2)&amp;"'",""))))</f>
        <v/>
      </c>
      <c r="J13" s="13"/>
      <c r="K13" s="12"/>
      <c r="L13" s="15" t="str">
        <f>IF(Sheet2!D13="","",Sheet2!D13&amp;"''")</f>
        <v/>
      </c>
      <c r="M13" s="12"/>
      <c r="N13" s="19"/>
      <c r="O13" s="16" t="str">
        <f>IF(Sheet2!H13="","",ROUND(Sheet2!H13,2)&amp;"'")</f>
        <v/>
      </c>
      <c r="P13" s="18" t="str">
        <f>IF(Sheet2!E13="","",Sheet2!E13&amp;"''")</f>
        <v/>
      </c>
      <c r="Q13" s="12"/>
      <c r="T13" s="15" t="str">
        <f>IF(Sheet2!F13="","",Sheet2!F13&amp;"''")</f>
        <v/>
      </c>
      <c r="U13" s="12"/>
      <c r="X13" s="15" t="str">
        <f>IF(Sheet2!G13="","",Sheet2!G13&amp;"''")</f>
        <v/>
      </c>
      <c r="AA13" s="12"/>
    </row>
    <row r="14" spans="1:27" x14ac:dyDescent="0.25">
      <c r="G14" s="15" t="str">
        <f>IF(Sheet2!A14="","",Sheet2!A14)</f>
        <v/>
      </c>
      <c r="H14" s="18" t="str">
        <f>IF(Sheet2!O14="","",LEFT(Sheet2!O14, FIND(" ", Sheet2!O14)-1))</f>
        <v/>
      </c>
      <c r="I14" s="15" t="str">
        <f>IF(Sheet2!S14&lt;19,ROUND(Sheet2!I14,2)&amp;"'",IF(Sheet2!S14&lt;25,ROUND(Sheet2!J14,2)&amp;"'",IF(Sheet2!S14&lt;31,ROUND(Sheet2!K14,2)&amp;"'",IF(Sheet2!S14&lt;37,ROUND(Sheet2!L14,2)&amp;"'",""))))</f>
        <v/>
      </c>
      <c r="J14" s="13"/>
      <c r="K14" s="12"/>
      <c r="L14" s="15" t="str">
        <f>IF(Sheet2!D14="","",Sheet2!D14&amp;"''")</f>
        <v/>
      </c>
      <c r="M14" s="12"/>
      <c r="N14" s="19"/>
      <c r="O14" s="16" t="str">
        <f>IF(Sheet2!H14="","",ROUND(Sheet2!H14,2)&amp;"'")</f>
        <v/>
      </c>
      <c r="P14" s="18" t="str">
        <f>IF(Sheet2!E14="","",Sheet2!E14&amp;"''")</f>
        <v/>
      </c>
      <c r="Q14" s="12"/>
      <c r="T14" s="15" t="str">
        <f>IF(Sheet2!F14="","",Sheet2!F14&amp;"''")</f>
        <v/>
      </c>
      <c r="U14" s="12"/>
      <c r="X14" s="15" t="str">
        <f>IF(Sheet2!G14="","",Sheet2!G14&amp;"''")</f>
        <v/>
      </c>
      <c r="AA14" s="12"/>
    </row>
    <row r="15" spans="1:27" x14ac:dyDescent="0.25">
      <c r="G15" s="15" t="str">
        <f>IF(Sheet2!A15="","",Sheet2!A15)</f>
        <v/>
      </c>
      <c r="H15" s="18" t="str">
        <f>IF(Sheet2!O15="","",LEFT(Sheet2!O15, FIND(" ", Sheet2!O15)-1))</f>
        <v/>
      </c>
      <c r="I15" s="15" t="str">
        <f>IF(Sheet2!S15&lt;19,ROUND(Sheet2!I15,2)&amp;"'",IF(Sheet2!S15&lt;25,ROUND(Sheet2!J15,2)&amp;"'",IF(Sheet2!S15&lt;31,ROUND(Sheet2!K15,2)&amp;"'",IF(Sheet2!S15&lt;37,ROUND(Sheet2!L15,2)&amp;"'",""))))</f>
        <v/>
      </c>
      <c r="J15" s="13"/>
      <c r="K15" s="12"/>
      <c r="L15" s="15" t="str">
        <f>IF(Sheet2!D15="","",Sheet2!D15&amp;"''")</f>
        <v/>
      </c>
      <c r="M15" s="12"/>
      <c r="N15" s="19"/>
      <c r="O15" s="16" t="str">
        <f>IF(Sheet2!H15="","",ROUND(Sheet2!H15,2)&amp;"'")</f>
        <v/>
      </c>
      <c r="P15" s="18" t="str">
        <f>IF(Sheet2!E15="","",Sheet2!E15&amp;"''")</f>
        <v/>
      </c>
      <c r="Q15" s="12"/>
      <c r="T15" s="15" t="str">
        <f>IF(Sheet2!F15="","",Sheet2!F15&amp;"''")</f>
        <v/>
      </c>
      <c r="U15" s="12"/>
      <c r="X15" s="15" t="str">
        <f>IF(Sheet2!G15="","",Sheet2!G15&amp;"''")</f>
        <v/>
      </c>
      <c r="AA15" s="12"/>
    </row>
    <row r="16" spans="1:27" x14ac:dyDescent="0.25">
      <c r="G16" s="15" t="str">
        <f>IF(Sheet2!A16="","",Sheet2!A16)</f>
        <v/>
      </c>
      <c r="H16" s="18" t="str">
        <f>IF(Sheet2!O16="","",LEFT(Sheet2!O16, FIND(" ", Sheet2!O16)-1))</f>
        <v/>
      </c>
      <c r="I16" s="15" t="str">
        <f>IF(Sheet2!S16&lt;19,ROUND(Sheet2!I16,2)&amp;"'",IF(Sheet2!S16&lt;25,ROUND(Sheet2!J16,2)&amp;"'",IF(Sheet2!S16&lt;31,ROUND(Sheet2!K16,2)&amp;"'",IF(Sheet2!S16&lt;37,ROUND(Sheet2!L16,2)&amp;"'",""))))</f>
        <v/>
      </c>
      <c r="J16" s="13"/>
      <c r="K16" s="12"/>
      <c r="L16" s="15" t="str">
        <f>IF(Sheet2!D16="","",Sheet2!D16&amp;"''")</f>
        <v/>
      </c>
      <c r="M16" s="12"/>
      <c r="N16" s="19"/>
      <c r="O16" s="16" t="str">
        <f>IF(Sheet2!H16="","",ROUND(Sheet2!H16,2)&amp;"'")</f>
        <v/>
      </c>
      <c r="P16" s="18" t="str">
        <f>IF(Sheet2!E16="","",Sheet2!E16&amp;"''")</f>
        <v/>
      </c>
      <c r="Q16" s="12"/>
      <c r="T16" s="15" t="str">
        <f>IF(Sheet2!F16="","",Sheet2!F16&amp;"''")</f>
        <v/>
      </c>
      <c r="U16" s="12"/>
      <c r="X16" s="15" t="str">
        <f>IF(Sheet2!G16="","",Sheet2!G16&amp;"''")</f>
        <v/>
      </c>
      <c r="AA16" s="12"/>
    </row>
    <row r="17" spans="7:27" x14ac:dyDescent="0.25">
      <c r="G17" s="15" t="str">
        <f>IF(Sheet2!A17="","",Sheet2!A17)</f>
        <v/>
      </c>
      <c r="H17" s="18" t="str">
        <f>IF(Sheet2!O17="","",LEFT(Sheet2!O17, FIND(" ", Sheet2!O17)-1))</f>
        <v/>
      </c>
      <c r="I17" s="15" t="str">
        <f>IF(Sheet2!S17&lt;19,ROUND(Sheet2!I17,2)&amp;"'",IF(Sheet2!S17&lt;25,ROUND(Sheet2!J17,2)&amp;"'",IF(Sheet2!S17&lt;31,ROUND(Sheet2!K17,2)&amp;"'",IF(Sheet2!S17&lt;37,ROUND(Sheet2!L17,2)&amp;"'",""))))</f>
        <v/>
      </c>
      <c r="J17" s="13"/>
      <c r="K17" s="12"/>
      <c r="L17" s="15" t="str">
        <f>IF(Sheet2!D17="","",Sheet2!D17&amp;"''")</f>
        <v/>
      </c>
      <c r="M17" s="12"/>
      <c r="N17" s="19"/>
      <c r="O17" s="16" t="str">
        <f>IF(Sheet2!H17="","",ROUND(Sheet2!H17,2)&amp;"'")</f>
        <v/>
      </c>
      <c r="P17" s="18" t="str">
        <f>IF(Sheet2!E17="","",Sheet2!E17&amp;"''")</f>
        <v/>
      </c>
      <c r="Q17" s="12"/>
      <c r="T17" s="15" t="str">
        <f>IF(Sheet2!F17="","",Sheet2!F17&amp;"''")</f>
        <v/>
      </c>
      <c r="U17" s="12"/>
      <c r="X17" s="15" t="str">
        <f>IF(Sheet2!G17="","",Sheet2!G17&amp;"''")</f>
        <v/>
      </c>
      <c r="Y17" s="12"/>
      <c r="AA17" s="12"/>
    </row>
    <row r="18" spans="7:27" x14ac:dyDescent="0.25">
      <c r="G18" s="15" t="str">
        <f>IF(Sheet2!A18="","",Sheet2!A18)</f>
        <v/>
      </c>
      <c r="H18" s="18" t="str">
        <f>IF(Sheet2!O18="","",LEFT(Sheet2!O18, FIND(" ", Sheet2!O18)-1))</f>
        <v/>
      </c>
      <c r="I18" s="15" t="str">
        <f>IF(Sheet2!S18&lt;19,ROUND(Sheet2!I18,2)&amp;"'",IF(Sheet2!S18&lt;25,ROUND(Sheet2!J18,2)&amp;"'",IF(Sheet2!S18&lt;31,ROUND(Sheet2!K18,2)&amp;"'",IF(Sheet2!S18&lt;37,ROUND(Sheet2!L18,2)&amp;"'",""))))</f>
        <v/>
      </c>
      <c r="J18" s="13"/>
      <c r="K18" s="12"/>
      <c r="L18" s="15" t="str">
        <f>IF(Sheet2!D18="","",Sheet2!D18&amp;"''")</f>
        <v/>
      </c>
      <c r="M18" s="12"/>
      <c r="N18" s="19"/>
      <c r="O18" s="16" t="str">
        <f>IF(Sheet2!H18="","",ROUND(Sheet2!H18,2)&amp;"'")</f>
        <v/>
      </c>
      <c r="P18" s="18" t="str">
        <f>IF(Sheet2!E18="","",Sheet2!E18&amp;"''")</f>
        <v/>
      </c>
      <c r="Q18" s="12"/>
      <c r="T18" s="15" t="str">
        <f>IF(Sheet2!F18="","",Sheet2!F18&amp;"''")</f>
        <v/>
      </c>
      <c r="U18" s="12"/>
      <c r="X18" s="15" t="str">
        <f>IF(Sheet2!G18="","",Sheet2!G18&amp;"''")</f>
        <v/>
      </c>
      <c r="AA18" s="12"/>
    </row>
    <row r="19" spans="7:27" x14ac:dyDescent="0.25">
      <c r="G19" s="15" t="str">
        <f>IF(Sheet2!A19="","",Sheet2!A19)</f>
        <v/>
      </c>
      <c r="H19" s="18" t="str">
        <f>IF(Sheet2!O19="","",LEFT(Sheet2!O19, FIND(" ", Sheet2!O19)-1))</f>
        <v/>
      </c>
      <c r="I19" s="15" t="str">
        <f>IF(Sheet2!S19&lt;19,ROUND(Sheet2!I19,2)&amp;"'",IF(Sheet2!S19&lt;25,ROUND(Sheet2!J19,2)&amp;"'",IF(Sheet2!S19&lt;31,ROUND(Sheet2!K19,2)&amp;"'",IF(Sheet2!S19&lt;37,ROUND(Sheet2!L19,2)&amp;"'",""))))</f>
        <v/>
      </c>
      <c r="J19" s="13"/>
      <c r="K19" s="12"/>
      <c r="L19" s="15" t="str">
        <f>IF(Sheet2!D19="","",Sheet2!D19&amp;"''")</f>
        <v/>
      </c>
      <c r="M19" s="12"/>
      <c r="N19" s="19"/>
      <c r="O19" s="16" t="str">
        <f>IF(Sheet2!H19="","",ROUND(Sheet2!H19,2)&amp;"'")</f>
        <v/>
      </c>
      <c r="P19" s="18" t="str">
        <f>IF(Sheet2!E19="","",Sheet2!E19&amp;"''")</f>
        <v/>
      </c>
      <c r="Q19" s="12"/>
      <c r="T19" s="15" t="str">
        <f>IF(Sheet2!F19="","",Sheet2!F19&amp;"''")</f>
        <v/>
      </c>
      <c r="U19" s="12"/>
      <c r="X19" s="15" t="str">
        <f>IF(Sheet2!G19="","",Sheet2!G19&amp;"''")</f>
        <v/>
      </c>
      <c r="AA19" s="12"/>
    </row>
    <row r="20" spans="7:27" x14ac:dyDescent="0.25">
      <c r="G20" s="15" t="str">
        <f>IF(Sheet2!A20="","",Sheet2!A20)</f>
        <v/>
      </c>
      <c r="H20" s="18" t="str">
        <f>IF(Sheet2!O20="","",LEFT(Sheet2!O20, FIND(" ", Sheet2!O20)-1))</f>
        <v/>
      </c>
      <c r="I20" s="15" t="str">
        <f>IF(Sheet2!S20&lt;19,ROUND(Sheet2!I20,2)&amp;"'",IF(Sheet2!S20&lt;25,ROUND(Sheet2!J20,2)&amp;"'",IF(Sheet2!S20&lt;31,ROUND(Sheet2!K20,2)&amp;"'",IF(Sheet2!S20&lt;37,ROUND(Sheet2!L20,2)&amp;"'",""))))</f>
        <v/>
      </c>
      <c r="J20" s="13"/>
      <c r="K20" s="12"/>
      <c r="L20" s="15" t="str">
        <f>IF(Sheet2!D20="","",Sheet2!D20&amp;"''")</f>
        <v/>
      </c>
      <c r="M20" s="12"/>
      <c r="N20" s="19"/>
      <c r="O20" s="16" t="str">
        <f>IF(Sheet2!H20="","",ROUND(Sheet2!H20,2)&amp;"'")</f>
        <v/>
      </c>
      <c r="P20" s="18" t="str">
        <f>IF(Sheet2!E20="","",Sheet2!E20&amp;"''")</f>
        <v/>
      </c>
      <c r="Q20" s="12"/>
      <c r="T20" s="15" t="str">
        <f>IF(Sheet2!F20="","",Sheet2!F20&amp;"''")</f>
        <v/>
      </c>
      <c r="U20" s="12"/>
      <c r="X20" s="15" t="str">
        <f>IF(Sheet2!G20="","",Sheet2!G20&amp;"''")</f>
        <v/>
      </c>
      <c r="AA20" s="12"/>
    </row>
    <row r="21" spans="7:27" x14ac:dyDescent="0.25">
      <c r="G21" s="15" t="str">
        <f>IF(Sheet2!A21="","",Sheet2!A21)</f>
        <v/>
      </c>
      <c r="H21" s="18" t="str">
        <f>IF(Sheet2!O21="","",LEFT(Sheet2!O21, FIND(" ", Sheet2!O21)-1))</f>
        <v/>
      </c>
      <c r="I21" s="15" t="str">
        <f>IF(Sheet2!S21&lt;19,ROUND(Sheet2!I21,2)&amp;"'",IF(Sheet2!S21&lt;25,ROUND(Sheet2!J21,2)&amp;"'",IF(Sheet2!S21&lt;31,ROUND(Sheet2!K21,2)&amp;"'",IF(Sheet2!S21&lt;37,ROUND(Sheet2!L21,2)&amp;"'",""))))</f>
        <v/>
      </c>
      <c r="J21" s="13"/>
      <c r="K21" s="12"/>
      <c r="L21" s="15" t="str">
        <f>IF(Sheet2!D21="","",Sheet2!D21&amp;"''")</f>
        <v/>
      </c>
      <c r="M21" s="12"/>
      <c r="N21" s="19"/>
      <c r="O21" s="16" t="str">
        <f>IF(Sheet2!H21="","",ROUND(Sheet2!H21,2)&amp;"'")</f>
        <v/>
      </c>
      <c r="P21" s="18" t="str">
        <f>IF(Sheet2!E21="","",Sheet2!E21&amp;"''")</f>
        <v/>
      </c>
      <c r="Q21" s="12"/>
      <c r="T21" s="15" t="str">
        <f>IF(Sheet2!F21="","",Sheet2!F21&amp;"''")</f>
        <v/>
      </c>
      <c r="U21" s="12"/>
      <c r="X21" s="15" t="str">
        <f>IF(Sheet2!G21="","",Sheet2!G21&amp;"''")</f>
        <v/>
      </c>
      <c r="AA21" s="12"/>
    </row>
    <row r="22" spans="7:27" x14ac:dyDescent="0.25">
      <c r="G22" s="15" t="str">
        <f>IF(Sheet2!A22="","",Sheet2!A22)</f>
        <v/>
      </c>
      <c r="H22" s="18" t="str">
        <f>IF(Sheet2!O22="","",LEFT(Sheet2!O22, FIND(" ", Sheet2!O22)-1))</f>
        <v/>
      </c>
      <c r="I22" s="15" t="str">
        <f>IF(Sheet2!S22&lt;19,ROUND(Sheet2!I22,2)&amp;"'",IF(Sheet2!S22&lt;25,ROUND(Sheet2!J22,2)&amp;"'",IF(Sheet2!S22&lt;31,ROUND(Sheet2!K22,2)&amp;"'",IF(Sheet2!S22&lt;37,ROUND(Sheet2!L22,2)&amp;"'",""))))</f>
        <v/>
      </c>
      <c r="J22" s="13"/>
      <c r="K22" s="12"/>
      <c r="L22" s="15" t="str">
        <f>IF(Sheet2!D22="","",Sheet2!D22&amp;"''")</f>
        <v/>
      </c>
      <c r="M22" s="12"/>
      <c r="N22" s="19"/>
      <c r="O22" s="16" t="str">
        <f>IF(Sheet2!H22="","",ROUND(Sheet2!H22,2)&amp;"'")</f>
        <v/>
      </c>
      <c r="P22" s="18" t="str">
        <f>IF(Sheet2!E22="","",Sheet2!E22&amp;"''")</f>
        <v/>
      </c>
      <c r="Q22" s="12"/>
      <c r="T22" s="15" t="str">
        <f>IF(Sheet2!F22="","",Sheet2!F22&amp;"''")</f>
        <v/>
      </c>
      <c r="U22" s="12"/>
      <c r="X22" s="15" t="str">
        <f>IF(Sheet2!G22="","",Sheet2!G22&amp;"''")</f>
        <v/>
      </c>
      <c r="AA22" s="12"/>
    </row>
    <row r="23" spans="7:27" x14ac:dyDescent="0.25">
      <c r="G23" s="15" t="str">
        <f>IF(Sheet2!A23="","",Sheet2!A23)</f>
        <v/>
      </c>
      <c r="H23" s="18" t="str">
        <f>IF(Sheet2!O23="","",LEFT(Sheet2!O23, FIND(" ", Sheet2!O23)-1))</f>
        <v/>
      </c>
      <c r="I23" s="15" t="str">
        <f>IF(Sheet2!S23&lt;19,ROUND(Sheet2!I23,2)&amp;"'",IF(Sheet2!S23&lt;25,ROUND(Sheet2!J23,2)&amp;"'",IF(Sheet2!S23&lt;31,ROUND(Sheet2!K23,2)&amp;"'",IF(Sheet2!S23&lt;37,ROUND(Sheet2!L23,2)&amp;"'",""))))</f>
        <v/>
      </c>
      <c r="J23" s="13"/>
      <c r="K23" s="12"/>
      <c r="L23" s="15" t="str">
        <f>IF(Sheet2!D23="","",Sheet2!D23&amp;"''")</f>
        <v/>
      </c>
      <c r="M23" s="12"/>
      <c r="N23" s="19"/>
      <c r="O23" s="16" t="str">
        <f>IF(Sheet2!H23="","",ROUND(Sheet2!H23,2)&amp;"'")</f>
        <v/>
      </c>
      <c r="P23" s="18" t="str">
        <f>IF(Sheet2!E23="","",Sheet2!E23&amp;"''")</f>
        <v/>
      </c>
      <c r="Q23" s="12"/>
      <c r="T23" s="15" t="str">
        <f>IF(Sheet2!F23="","",Sheet2!F23&amp;"''")</f>
        <v/>
      </c>
      <c r="U23" s="12"/>
      <c r="X23" s="15" t="str">
        <f>IF(Sheet2!G23="","",Sheet2!G23&amp;"''")</f>
        <v/>
      </c>
      <c r="AA23" s="12"/>
    </row>
    <row r="24" spans="7:27" x14ac:dyDescent="0.25">
      <c r="G24" s="15" t="str">
        <f>IF(Sheet2!A24="","",Sheet2!A24)</f>
        <v/>
      </c>
      <c r="H24" s="18" t="str">
        <f>IF(Sheet2!O24="","",LEFT(Sheet2!O24, FIND(" ", Sheet2!O24)-1))</f>
        <v/>
      </c>
      <c r="I24" s="15" t="str">
        <f>IF(Sheet2!S24&lt;19,ROUND(Sheet2!I24,2)&amp;"'",IF(Sheet2!S24&lt;25,ROUND(Sheet2!J24,2)&amp;"'",IF(Sheet2!S24&lt;31,ROUND(Sheet2!K24,2)&amp;"'",IF(Sheet2!S24&lt;37,ROUND(Sheet2!L24,2)&amp;"'",""))))</f>
        <v/>
      </c>
      <c r="J24" s="13"/>
      <c r="K24" s="12"/>
      <c r="L24" s="15" t="str">
        <f>IF(Sheet2!D24="","",Sheet2!D24&amp;"''")</f>
        <v/>
      </c>
      <c r="M24" s="12"/>
      <c r="N24" s="19"/>
      <c r="O24" s="16" t="str">
        <f>IF(Sheet2!H24="","",ROUND(Sheet2!H24,2)&amp;"'")</f>
        <v/>
      </c>
      <c r="P24" s="18" t="str">
        <f>IF(Sheet2!E24="","",Sheet2!E24&amp;"''")</f>
        <v/>
      </c>
      <c r="Q24" s="12"/>
      <c r="T24" s="15" t="str">
        <f>IF(Sheet2!F24="","",Sheet2!F24&amp;"''")</f>
        <v/>
      </c>
      <c r="U24" s="12"/>
      <c r="X24" s="15" t="str">
        <f>IF(Sheet2!G24="","",Sheet2!G24&amp;"''")</f>
        <v/>
      </c>
      <c r="AA24" s="12"/>
    </row>
    <row r="25" spans="7:27" x14ac:dyDescent="0.25">
      <c r="G25" s="15" t="str">
        <f>IF(Sheet2!A25="","",Sheet2!A25)</f>
        <v/>
      </c>
      <c r="H25" s="18" t="str">
        <f>IF(Sheet2!O25="","",LEFT(Sheet2!O25, FIND(" ", Sheet2!O25)-1))</f>
        <v/>
      </c>
      <c r="I25" s="15" t="str">
        <f>IF(Sheet2!S25&lt;19,ROUND(Sheet2!I25,2)&amp;"'",IF(Sheet2!S25&lt;25,ROUND(Sheet2!J25,2)&amp;"'",IF(Sheet2!S25&lt;31,ROUND(Sheet2!K25,2)&amp;"'",IF(Sheet2!S25&lt;37,ROUND(Sheet2!L25,2)&amp;"'",""))))</f>
        <v/>
      </c>
      <c r="J25" s="13"/>
      <c r="K25" s="12"/>
      <c r="L25" s="15" t="str">
        <f>IF(Sheet2!D25="","",Sheet2!D25&amp;"''")</f>
        <v/>
      </c>
      <c r="M25" s="12"/>
      <c r="N25" s="19"/>
      <c r="O25" s="16" t="str">
        <f>IF(Sheet2!H25="","",ROUND(Sheet2!H25,2)&amp;"'")</f>
        <v/>
      </c>
      <c r="P25" s="18" t="str">
        <f>IF(Sheet2!E25="","",Sheet2!E25&amp;"''")</f>
        <v/>
      </c>
      <c r="Q25" s="12"/>
      <c r="T25" s="15" t="str">
        <f>IF(Sheet2!F25="","",Sheet2!F25&amp;"''")</f>
        <v/>
      </c>
      <c r="U25" s="12"/>
      <c r="X25" s="15" t="str">
        <f>IF(Sheet2!G25="","",Sheet2!G25&amp;"''")</f>
        <v/>
      </c>
      <c r="AA25" s="12"/>
    </row>
    <row r="26" spans="7:27" x14ac:dyDescent="0.25">
      <c r="G26" s="15" t="str">
        <f>IF(Sheet2!A26="","",Sheet2!A26)</f>
        <v/>
      </c>
      <c r="H26" s="18" t="str">
        <f>IF(Sheet2!O26="","",LEFT(Sheet2!O26, FIND(" ", Sheet2!O26)-1))</f>
        <v/>
      </c>
      <c r="I26" s="15" t="str">
        <f>IF(Sheet2!S26&lt;19,ROUND(Sheet2!I26,2)&amp;"'",IF(Sheet2!S26&lt;25,ROUND(Sheet2!J26,2)&amp;"'",IF(Sheet2!S26&lt;31,ROUND(Sheet2!K26,2)&amp;"'",IF(Sheet2!S26&lt;37,ROUND(Sheet2!L26,2)&amp;"'",""))))</f>
        <v/>
      </c>
      <c r="J26" s="13"/>
      <c r="K26" s="12"/>
      <c r="L26" s="15" t="str">
        <f>IF(Sheet2!D26="","",Sheet2!D26&amp;"''")</f>
        <v/>
      </c>
      <c r="M26" s="12"/>
      <c r="N26" s="19"/>
      <c r="O26" s="16" t="str">
        <f>IF(Sheet2!H26="","",ROUND(Sheet2!H26,2)&amp;"'")</f>
        <v/>
      </c>
      <c r="P26" s="18" t="str">
        <f>IF(Sheet2!E26="","",Sheet2!E26&amp;"''")</f>
        <v/>
      </c>
      <c r="Q26" s="12"/>
      <c r="T26" s="15" t="str">
        <f>IF(Sheet2!F26="","",Sheet2!F26&amp;"''")</f>
        <v/>
      </c>
      <c r="U26" s="12"/>
      <c r="X26" s="15" t="str">
        <f>IF(Sheet2!G26="","",Sheet2!G26&amp;"''")</f>
        <v/>
      </c>
      <c r="AA26" s="12"/>
    </row>
    <row r="27" spans="7:27" x14ac:dyDescent="0.25">
      <c r="G27" s="15" t="str">
        <f>IF(Sheet2!A27="","",Sheet2!A27)</f>
        <v/>
      </c>
      <c r="H27" s="18" t="str">
        <f>IF(Sheet2!O27="","",LEFT(Sheet2!O27, FIND(" ", Sheet2!O27)-1))</f>
        <v/>
      </c>
      <c r="I27" s="15" t="str">
        <f>IF(Sheet2!S27&lt;19,ROUND(Sheet2!I27,2)&amp;"'",IF(Sheet2!S27&lt;25,ROUND(Sheet2!J27,2)&amp;"'",IF(Sheet2!S27&lt;31,ROUND(Sheet2!K27,2)&amp;"'",IF(Sheet2!S27&lt;37,ROUND(Sheet2!L27,2)&amp;"'",""))))</f>
        <v/>
      </c>
      <c r="J27" s="13"/>
      <c r="K27" s="12"/>
      <c r="L27" s="15" t="str">
        <f>IF(Sheet2!D27="","",Sheet2!D27&amp;"''")</f>
        <v/>
      </c>
      <c r="M27" s="12"/>
      <c r="N27" s="19"/>
      <c r="O27" s="16" t="str">
        <f>IF(Sheet2!H27="","",ROUND(Sheet2!H27,2)&amp;"'")</f>
        <v/>
      </c>
      <c r="P27" s="18" t="str">
        <f>IF(Sheet2!E27="","",Sheet2!E27&amp;"''")</f>
        <v/>
      </c>
      <c r="Q27" s="12"/>
      <c r="T27" s="15" t="str">
        <f>IF(Sheet2!F27="","",Sheet2!F27&amp;"''")</f>
        <v/>
      </c>
      <c r="U27" s="12"/>
      <c r="X27" s="15" t="str">
        <f>IF(Sheet2!G27="","",Sheet2!G27&amp;"''")</f>
        <v/>
      </c>
      <c r="AA27" s="12"/>
    </row>
    <row r="28" spans="7:27" x14ac:dyDescent="0.25">
      <c r="G28" s="15" t="str">
        <f>IF(Sheet2!A28="","",Sheet2!A28)</f>
        <v/>
      </c>
      <c r="H28" s="18" t="str">
        <f>IF(Sheet2!O28="","",LEFT(Sheet2!O28, FIND(" ", Sheet2!O28)-1))</f>
        <v/>
      </c>
      <c r="I28" s="15" t="str">
        <f>IF(Sheet2!S28&lt;19,ROUND(Sheet2!I28,2)&amp;"'",IF(Sheet2!S28&lt;25,ROUND(Sheet2!J28,2)&amp;"'",IF(Sheet2!S28&lt;31,ROUND(Sheet2!K28,2)&amp;"'",IF(Sheet2!S28&lt;37,ROUND(Sheet2!L28,2)&amp;"'",""))))</f>
        <v/>
      </c>
      <c r="J28" s="13"/>
      <c r="K28" s="12"/>
      <c r="L28" s="15" t="str">
        <f>IF(Sheet2!D28="","",Sheet2!D28&amp;"''")</f>
        <v/>
      </c>
      <c r="M28" s="12"/>
      <c r="N28" s="19"/>
      <c r="O28" s="16" t="str">
        <f>IF(Sheet2!H28="","",ROUND(Sheet2!H28,2)&amp;"'")</f>
        <v/>
      </c>
      <c r="P28" s="18" t="str">
        <f>IF(Sheet2!E28="","",Sheet2!E28&amp;"''")</f>
        <v/>
      </c>
      <c r="Q28" s="12"/>
      <c r="T28" s="15" t="str">
        <f>IF(Sheet2!F28="","",Sheet2!F28&amp;"''")</f>
        <v/>
      </c>
      <c r="U28" s="12"/>
      <c r="X28" s="15" t="str">
        <f>IF(Sheet2!G28="","",Sheet2!G28&amp;"''")</f>
        <v/>
      </c>
      <c r="AA28" s="12"/>
    </row>
    <row r="29" spans="7:27" x14ac:dyDescent="0.25">
      <c r="G29" s="15" t="str">
        <f>IF(Sheet2!A29="","",Sheet2!A29)</f>
        <v/>
      </c>
      <c r="H29" s="18" t="str">
        <f>IF(Sheet2!O29="","",LEFT(Sheet2!O29, FIND(" ", Sheet2!O29)-1))</f>
        <v/>
      </c>
      <c r="I29" s="15" t="str">
        <f>IF(Sheet2!S29&lt;19,ROUND(Sheet2!I29,2)&amp;"'",IF(Sheet2!S29&lt;25,ROUND(Sheet2!J29,2)&amp;"'",IF(Sheet2!S29&lt;31,ROUND(Sheet2!K29,2)&amp;"'",IF(Sheet2!S29&lt;37,ROUND(Sheet2!L29,2)&amp;"'",""))))</f>
        <v/>
      </c>
      <c r="J29" s="13"/>
      <c r="K29" s="12"/>
      <c r="L29" s="15" t="str">
        <f>IF(Sheet2!D29="","",Sheet2!D29&amp;"''")</f>
        <v/>
      </c>
      <c r="M29" s="12"/>
      <c r="N29" s="19"/>
      <c r="O29" s="16" t="str">
        <f>IF(Sheet2!H29="","",ROUND(Sheet2!H29,2)&amp;"'")</f>
        <v/>
      </c>
      <c r="P29" s="18" t="str">
        <f>IF(Sheet2!E29="","",Sheet2!E29&amp;"''")</f>
        <v/>
      </c>
      <c r="Q29" s="12"/>
      <c r="T29" s="15" t="str">
        <f>IF(Sheet2!F29="","",Sheet2!F29&amp;"''")</f>
        <v/>
      </c>
      <c r="U29" s="12"/>
      <c r="X29" s="15" t="str">
        <f>IF(Sheet2!G29="","",Sheet2!G29&amp;"''")</f>
        <v/>
      </c>
      <c r="AA29" s="12"/>
    </row>
    <row r="30" spans="7:27" x14ac:dyDescent="0.25">
      <c r="G30" s="15" t="str">
        <f>IF(Sheet2!A30="","",Sheet2!A30)</f>
        <v/>
      </c>
      <c r="H30" s="18" t="str">
        <f>IF(Sheet2!O30="","",LEFT(Sheet2!O30, FIND(" ", Sheet2!O30)-1))</f>
        <v/>
      </c>
      <c r="I30" s="15" t="str">
        <f>IF(Sheet2!S30&lt;19,ROUND(Sheet2!I30,2)&amp;"'",IF(Sheet2!S30&lt;25,ROUND(Sheet2!J30,2)&amp;"'",IF(Sheet2!S30&lt;31,ROUND(Sheet2!K30,2)&amp;"'",IF(Sheet2!S30&lt;37,ROUND(Sheet2!L30,2)&amp;"'",""))))</f>
        <v/>
      </c>
      <c r="J30" s="13"/>
      <c r="K30" s="12"/>
      <c r="L30" s="15" t="str">
        <f>IF(Sheet2!D30="","",Sheet2!D30&amp;"''")</f>
        <v/>
      </c>
      <c r="M30" s="12"/>
      <c r="N30" s="19"/>
      <c r="O30" s="16" t="str">
        <f>IF(Sheet2!H30="","",ROUND(Sheet2!H30,2)&amp;"'")</f>
        <v/>
      </c>
      <c r="P30" s="18" t="str">
        <f>IF(Sheet2!E30="","",Sheet2!E30&amp;"''")</f>
        <v/>
      </c>
      <c r="Q30" s="12"/>
      <c r="T30" s="15" t="str">
        <f>IF(Sheet2!F30="","",Sheet2!F30&amp;"''")</f>
        <v/>
      </c>
      <c r="U30" s="12"/>
      <c r="X30" s="15" t="str">
        <f>IF(Sheet2!G30="","",Sheet2!G30&amp;"''")</f>
        <v/>
      </c>
      <c r="AA30" s="12"/>
    </row>
    <row r="31" spans="7:27" x14ac:dyDescent="0.25">
      <c r="G31" s="15" t="str">
        <f>IF(Sheet2!A31="","",Sheet2!A31)</f>
        <v/>
      </c>
      <c r="H31" s="18" t="str">
        <f>IF(Sheet2!O31="","",LEFT(Sheet2!O31, FIND(" ", Sheet2!O31)-1))</f>
        <v/>
      </c>
      <c r="I31" s="15" t="str">
        <f>IF(Sheet2!S31&lt;19,ROUND(Sheet2!I31,2)&amp;"'",IF(Sheet2!S31&lt;25,ROUND(Sheet2!J31,2)&amp;"'",IF(Sheet2!S31&lt;31,ROUND(Sheet2!K31,2)&amp;"'",IF(Sheet2!S31&lt;37,ROUND(Sheet2!L31,2)&amp;"'",""))))</f>
        <v/>
      </c>
      <c r="J31" s="13"/>
      <c r="K31" s="12"/>
      <c r="L31" s="15" t="str">
        <f>IF(Sheet2!D31="","",Sheet2!D31&amp;"''")</f>
        <v/>
      </c>
      <c r="M31" s="12"/>
      <c r="N31" s="19"/>
      <c r="O31" s="16" t="str">
        <f>IF(Sheet2!H31="","",ROUND(Sheet2!H31,2)&amp;"'")</f>
        <v/>
      </c>
      <c r="P31" s="18" t="str">
        <f>IF(Sheet2!E31="","",Sheet2!E31&amp;"''")</f>
        <v/>
      </c>
      <c r="Q31" s="12"/>
      <c r="T31" s="15" t="str">
        <f>IF(Sheet2!F31="","",Sheet2!F31&amp;"''")</f>
        <v/>
      </c>
      <c r="U31" s="12"/>
      <c r="X31" s="15" t="str">
        <f>IF(Sheet2!G31="","",Sheet2!G31&amp;"''")</f>
        <v/>
      </c>
      <c r="AA31" s="12"/>
    </row>
    <row r="32" spans="7:27" x14ac:dyDescent="0.25">
      <c r="G32" s="15" t="str">
        <f>IF(Sheet2!A32="","",Sheet2!A32)</f>
        <v/>
      </c>
      <c r="H32" s="18" t="str">
        <f>IF(Sheet2!O32="","",LEFT(Sheet2!O32, FIND(" ", Sheet2!O32)-1))</f>
        <v/>
      </c>
      <c r="I32" s="15" t="str">
        <f>IF(Sheet2!S32&lt;19,ROUND(Sheet2!I32,2)&amp;"'",IF(Sheet2!S32&lt;25,ROUND(Sheet2!J32,2)&amp;"'",IF(Sheet2!S32&lt;31,ROUND(Sheet2!K32,2)&amp;"'",IF(Sheet2!S32&lt;37,ROUND(Sheet2!L32,2)&amp;"'",""))))</f>
        <v/>
      </c>
      <c r="J32" s="13"/>
      <c r="K32" s="12"/>
      <c r="L32" s="15" t="str">
        <f>IF(Sheet2!D32="","",Sheet2!D32&amp;"''")</f>
        <v/>
      </c>
      <c r="M32" s="12"/>
      <c r="N32" s="19"/>
      <c r="O32" s="16" t="str">
        <f>IF(Sheet2!H32="","",ROUND(Sheet2!H32,2)&amp;"'")</f>
        <v/>
      </c>
      <c r="P32" s="18" t="str">
        <f>IF(Sheet2!E32="","",Sheet2!E32&amp;"''")</f>
        <v/>
      </c>
      <c r="Q32" s="12"/>
      <c r="T32" s="15" t="str">
        <f>IF(Sheet2!F32="","",Sheet2!F32&amp;"''")</f>
        <v/>
      </c>
      <c r="U32" s="12"/>
      <c r="X32" s="15" t="str">
        <f>IF(Sheet2!G32="","",Sheet2!G32&amp;"''")</f>
        <v/>
      </c>
      <c r="Y32" s="12"/>
      <c r="AA32" s="12"/>
    </row>
    <row r="33" spans="7:27" x14ac:dyDescent="0.25">
      <c r="G33" s="15" t="str">
        <f>IF(Sheet2!A33="","",Sheet2!A33)</f>
        <v/>
      </c>
      <c r="H33" s="18" t="str">
        <f>IF(Sheet2!O33="","",LEFT(Sheet2!O33, FIND(" ", Sheet2!O33)-1))</f>
        <v/>
      </c>
      <c r="I33" s="15" t="str">
        <f>IF(Sheet2!S33&lt;19,ROUND(Sheet2!I33,2)&amp;"'",IF(Sheet2!S33&lt;25,ROUND(Sheet2!J33,2)&amp;"'",IF(Sheet2!S33&lt;31,ROUND(Sheet2!K33,2)&amp;"'",IF(Sheet2!S33&lt;37,ROUND(Sheet2!L33,2)&amp;"'",""))))</f>
        <v/>
      </c>
      <c r="J33" s="13"/>
      <c r="K33" s="12"/>
      <c r="L33" s="15" t="str">
        <f>IF(Sheet2!D33="","",Sheet2!D33&amp;"''")</f>
        <v/>
      </c>
      <c r="M33" s="12"/>
      <c r="N33" s="19"/>
      <c r="O33" s="16" t="str">
        <f>IF(Sheet2!H33="","",ROUND(Sheet2!H33,2)&amp;"'")</f>
        <v/>
      </c>
      <c r="P33" s="18" t="str">
        <f>IF(Sheet2!E33="","",Sheet2!E33&amp;"''")</f>
        <v/>
      </c>
      <c r="Q33" s="12"/>
      <c r="T33" s="15" t="str">
        <f>IF(Sheet2!F33="","",Sheet2!F33&amp;"''")</f>
        <v/>
      </c>
      <c r="U33" s="12"/>
      <c r="X33" s="15" t="str">
        <f>IF(Sheet2!G33="","",Sheet2!G33&amp;"''")</f>
        <v/>
      </c>
      <c r="Y33" s="12"/>
      <c r="AA33" s="12"/>
    </row>
    <row r="34" spans="7:27" x14ac:dyDescent="0.25">
      <c r="G34" s="15" t="str">
        <f>IF(Sheet2!A34="","",Sheet2!A34)</f>
        <v/>
      </c>
      <c r="H34" s="18" t="str">
        <f>IF(Sheet2!O34="","",LEFT(Sheet2!O34, FIND(" ", Sheet2!O34)-1))</f>
        <v/>
      </c>
      <c r="I34" s="15" t="str">
        <f>IF(Sheet2!S34&lt;19,ROUND(Sheet2!I34,2)&amp;"'",IF(Sheet2!S34&lt;25,ROUND(Sheet2!J34,2)&amp;"'",IF(Sheet2!S34&lt;31,ROUND(Sheet2!K34,2)&amp;"'",IF(Sheet2!S34&lt;37,ROUND(Sheet2!L34,2)&amp;"'",""))))</f>
        <v/>
      </c>
      <c r="J34" s="13"/>
      <c r="K34" s="12"/>
      <c r="L34" s="15" t="str">
        <f>IF(Sheet2!D34="","",Sheet2!D34&amp;"''")</f>
        <v/>
      </c>
      <c r="M34" s="12"/>
      <c r="N34" s="19"/>
      <c r="O34" s="16" t="str">
        <f>IF(Sheet2!H34="","",ROUND(Sheet2!H34,2)&amp;"'")</f>
        <v/>
      </c>
      <c r="P34" s="18" t="str">
        <f>IF(Sheet2!E34="","",Sheet2!E34&amp;"''")</f>
        <v/>
      </c>
      <c r="Q34" s="12"/>
      <c r="T34" s="15" t="str">
        <f>IF(Sheet2!F34="","",Sheet2!F34&amp;"''")</f>
        <v/>
      </c>
      <c r="U34" s="12"/>
      <c r="X34" s="15" t="str">
        <f>IF(Sheet2!G34="","",Sheet2!G34&amp;"''")</f>
        <v/>
      </c>
      <c r="Y34" s="12"/>
      <c r="AA34" s="12"/>
    </row>
    <row r="35" spans="7:27" x14ac:dyDescent="0.25">
      <c r="G35" s="15" t="str">
        <f>IF(Sheet2!A35="","",Sheet2!A35)</f>
        <v/>
      </c>
      <c r="H35" s="18" t="str">
        <f>IF(Sheet2!O35="","",LEFT(Sheet2!O35, FIND(" ", Sheet2!O35)-1))</f>
        <v/>
      </c>
      <c r="I35" s="15" t="str">
        <f>IF(Sheet2!S35&lt;19,ROUND(Sheet2!I35,2)&amp;"'",IF(Sheet2!S35&lt;25,ROUND(Sheet2!J35,2)&amp;"'",IF(Sheet2!S35&lt;31,ROUND(Sheet2!K35,2)&amp;"'",IF(Sheet2!S35&lt;37,ROUND(Sheet2!L35,2)&amp;"'",""))))</f>
        <v/>
      </c>
      <c r="J35" s="13"/>
      <c r="K35" s="12"/>
      <c r="L35" s="15" t="str">
        <f>IF(Sheet2!D35="","",Sheet2!D35&amp;"''")</f>
        <v/>
      </c>
      <c r="M35" s="12"/>
      <c r="N35" s="19"/>
      <c r="O35" s="16" t="str">
        <f>IF(Sheet2!H35="","",ROUND(Sheet2!H35,2)&amp;"'")</f>
        <v/>
      </c>
      <c r="P35" s="18" t="str">
        <f>IF(Sheet2!E35="","",Sheet2!E35&amp;"''")</f>
        <v/>
      </c>
      <c r="Q35" s="12"/>
      <c r="T35" s="15" t="str">
        <f>IF(Sheet2!F35="","",Sheet2!F35&amp;"''")</f>
        <v/>
      </c>
      <c r="U35" s="12"/>
      <c r="X35" s="15" t="str">
        <f>IF(Sheet2!G35="","",Sheet2!G35&amp;"''")</f>
        <v/>
      </c>
      <c r="Y35" s="12"/>
      <c r="AA35" s="12"/>
    </row>
    <row r="36" spans="7:27" x14ac:dyDescent="0.25">
      <c r="G36" s="15" t="str">
        <f>IF(Sheet2!A36="","",Sheet2!A36)</f>
        <v/>
      </c>
      <c r="H36" s="18" t="str">
        <f>IF(Sheet2!O36="","",LEFT(Sheet2!O36, FIND(" ", Sheet2!O36)-1))</f>
        <v/>
      </c>
      <c r="I36" s="15" t="str">
        <f>IF(Sheet2!S36&lt;19,ROUND(Sheet2!I36,2)&amp;"'",IF(Sheet2!S36&lt;25,ROUND(Sheet2!J36,2)&amp;"'",IF(Sheet2!S36&lt;31,ROUND(Sheet2!K36,2)&amp;"'",IF(Sheet2!S36&lt;37,ROUND(Sheet2!L36,2)&amp;"'",""))))</f>
        <v/>
      </c>
      <c r="J36" s="13"/>
      <c r="K36" s="12"/>
      <c r="L36" s="15" t="str">
        <f>IF(Sheet2!D36="","",Sheet2!D36&amp;"''")</f>
        <v/>
      </c>
      <c r="M36" s="12"/>
      <c r="N36" s="19"/>
      <c r="O36" s="16" t="str">
        <f>IF(Sheet2!H36="","",ROUND(Sheet2!H36,2)&amp;"'")</f>
        <v/>
      </c>
      <c r="P36" s="18" t="str">
        <f>IF(Sheet2!E36="","",Sheet2!E36&amp;"''")</f>
        <v/>
      </c>
      <c r="Q36" s="12"/>
      <c r="T36" s="15" t="str">
        <f>IF(Sheet2!F36="","",Sheet2!F36&amp;"''")</f>
        <v/>
      </c>
      <c r="U36" s="12"/>
      <c r="X36" s="15" t="str">
        <f>IF(Sheet2!G36="","",Sheet2!G36&amp;"''")</f>
        <v/>
      </c>
      <c r="Y36" s="12"/>
      <c r="AA36" s="12"/>
    </row>
    <row r="37" spans="7:27" x14ac:dyDescent="0.25">
      <c r="G37" s="15" t="str">
        <f>IF(Sheet2!A37="","",Sheet2!A37)</f>
        <v/>
      </c>
      <c r="H37" s="18" t="str">
        <f>IF(Sheet2!O37="","",LEFT(Sheet2!O37, FIND(" ", Sheet2!O37)-1))</f>
        <v/>
      </c>
      <c r="I37" s="15" t="str">
        <f>IF(Sheet2!S37&lt;19,ROUND(Sheet2!I37,2)&amp;"'",IF(Sheet2!S37&lt;25,ROUND(Sheet2!J37,2)&amp;"'",IF(Sheet2!S37&lt;31,ROUND(Sheet2!K37,2)&amp;"'",IF(Sheet2!S37&lt;37,ROUND(Sheet2!L37,2)&amp;"'",""))))</f>
        <v/>
      </c>
      <c r="J37" s="13"/>
      <c r="K37" s="12"/>
      <c r="L37" s="15" t="str">
        <f>IF(Sheet2!D37="","",Sheet2!D37&amp;"''")</f>
        <v/>
      </c>
      <c r="M37" s="12"/>
      <c r="N37" s="19"/>
      <c r="O37" s="16" t="str">
        <f>IF(Sheet2!H37="","",ROUND(Sheet2!H37,2)&amp;"'")</f>
        <v/>
      </c>
      <c r="P37" s="18" t="str">
        <f>IF(Sheet2!E37="","",Sheet2!E37&amp;"''")</f>
        <v/>
      </c>
      <c r="Q37" s="12"/>
      <c r="T37" s="15" t="str">
        <f>IF(Sheet2!F37="","",Sheet2!F37&amp;"''")</f>
        <v/>
      </c>
      <c r="U37" s="12"/>
      <c r="X37" s="15" t="str">
        <f>IF(Sheet2!G37="","",Sheet2!G37&amp;"''")</f>
        <v/>
      </c>
      <c r="Y37" s="12"/>
      <c r="AA37" s="12"/>
    </row>
    <row r="38" spans="7:27" x14ac:dyDescent="0.25">
      <c r="G38" s="15" t="str">
        <f>IF(Sheet2!A38="","",Sheet2!A38)</f>
        <v/>
      </c>
      <c r="H38" s="18" t="str">
        <f>IF(Sheet2!O38="","",LEFT(Sheet2!O38, FIND(" ", Sheet2!O38)-1))</f>
        <v/>
      </c>
      <c r="I38" s="15" t="str">
        <f>IF(Sheet2!S38&lt;19,ROUND(Sheet2!I38,2)&amp;"'",IF(Sheet2!S38&lt;25,ROUND(Sheet2!J38,2)&amp;"'",IF(Sheet2!S38&lt;31,ROUND(Sheet2!K38,2)&amp;"'",IF(Sheet2!S38&lt;37,ROUND(Sheet2!L38,2)&amp;"'",""))))</f>
        <v/>
      </c>
      <c r="J38" s="13"/>
      <c r="K38" s="12"/>
      <c r="L38" s="15" t="str">
        <f>IF(Sheet2!D38="","",Sheet2!D38&amp;"''")</f>
        <v/>
      </c>
      <c r="M38" s="12"/>
      <c r="N38" s="19"/>
      <c r="O38" s="16" t="str">
        <f>IF(Sheet2!H38="","",ROUND(Sheet2!H38,2)&amp;"'")</f>
        <v/>
      </c>
      <c r="P38" s="18" t="str">
        <f>IF(Sheet2!E38="","",Sheet2!E38&amp;"''")</f>
        <v/>
      </c>
      <c r="Q38" s="12"/>
      <c r="T38" s="15" t="str">
        <f>IF(Sheet2!F38="","",Sheet2!F38&amp;"''")</f>
        <v/>
      </c>
      <c r="U38" s="12"/>
      <c r="X38" s="15" t="str">
        <f>IF(Sheet2!G38="","",Sheet2!G38&amp;"''")</f>
        <v/>
      </c>
      <c r="Y38" s="12"/>
      <c r="AA38" s="12"/>
    </row>
    <row r="39" spans="7:27" x14ac:dyDescent="0.25">
      <c r="G39" s="15" t="str">
        <f>IF(Sheet2!A39="","",Sheet2!A39)</f>
        <v/>
      </c>
      <c r="H39" s="18" t="str">
        <f>IF(Sheet2!O39="","",LEFT(Sheet2!O39, FIND(" ", Sheet2!O39)-1))</f>
        <v/>
      </c>
      <c r="I39" s="15" t="str">
        <f>IF(Sheet2!S39&lt;19,ROUND(Sheet2!I39,2)&amp;"'",IF(Sheet2!S39&lt;25,ROUND(Sheet2!J39,2)&amp;"'",IF(Sheet2!S39&lt;31,ROUND(Sheet2!K39,2)&amp;"'",IF(Sheet2!S39&lt;37,ROUND(Sheet2!L39,2)&amp;"'",""))))</f>
        <v/>
      </c>
      <c r="J39" s="13"/>
      <c r="K39" s="12"/>
      <c r="L39" s="15" t="str">
        <f>IF(Sheet2!D39="","",Sheet2!D39&amp;"''")</f>
        <v/>
      </c>
      <c r="M39" s="12"/>
      <c r="N39" s="19"/>
      <c r="O39" s="16" t="str">
        <f>IF(Sheet2!H39="","",ROUND(Sheet2!H39,2)&amp;"'")</f>
        <v/>
      </c>
      <c r="P39" s="18" t="str">
        <f>IF(Sheet2!E39="","",Sheet2!E39&amp;"''")</f>
        <v/>
      </c>
      <c r="Q39" s="12"/>
      <c r="T39" s="15" t="str">
        <f>IF(Sheet2!F39="","",Sheet2!F39&amp;"''")</f>
        <v/>
      </c>
      <c r="U39" s="12"/>
      <c r="X39" s="15" t="str">
        <f>IF(Sheet2!G39="","",Sheet2!G39&amp;"''")</f>
        <v/>
      </c>
      <c r="Y39" s="12"/>
      <c r="AA39" s="12"/>
    </row>
    <row r="40" spans="7:27" x14ac:dyDescent="0.25">
      <c r="G40" s="15" t="str">
        <f>IF(Sheet2!A40="","",Sheet2!A40)</f>
        <v/>
      </c>
      <c r="H40" s="18" t="str">
        <f>IF(Sheet2!O40="","",LEFT(Sheet2!O40, FIND(" ", Sheet2!O40)-1))</f>
        <v/>
      </c>
      <c r="I40" s="15" t="str">
        <f>IF(Sheet2!S40&lt;19,ROUND(Sheet2!I40,2)&amp;"'",IF(Sheet2!S40&lt;25,ROUND(Sheet2!J40,2)&amp;"'",IF(Sheet2!S40&lt;31,ROUND(Sheet2!K40,2)&amp;"'",IF(Sheet2!S40&lt;37,ROUND(Sheet2!L40,2)&amp;"'",""))))</f>
        <v/>
      </c>
      <c r="J40" s="13"/>
      <c r="K40" s="12"/>
      <c r="L40" s="15" t="str">
        <f>IF(Sheet2!D40="","",Sheet2!D40&amp;"''")</f>
        <v/>
      </c>
      <c r="M40" s="12"/>
      <c r="N40" s="19"/>
      <c r="O40" s="16" t="str">
        <f>IF(Sheet2!H40="","",ROUND(Sheet2!H40,2)&amp;"'")</f>
        <v/>
      </c>
      <c r="P40" s="18" t="str">
        <f>IF(Sheet2!E40="","",Sheet2!E40&amp;"''")</f>
        <v/>
      </c>
      <c r="Q40" s="12"/>
      <c r="T40" s="15" t="str">
        <f>IF(Sheet2!F40="","",Sheet2!F40&amp;"''")</f>
        <v/>
      </c>
      <c r="U40" s="12"/>
      <c r="X40" s="15" t="str">
        <f>IF(Sheet2!G40="","",Sheet2!G40&amp;"''")</f>
        <v/>
      </c>
      <c r="Y40" s="12"/>
      <c r="AA40" s="12"/>
    </row>
    <row r="41" spans="7:27" x14ac:dyDescent="0.25">
      <c r="G41" s="15" t="str">
        <f>IF(Sheet2!A41="","",Sheet2!A41)</f>
        <v/>
      </c>
      <c r="H41" s="18" t="str">
        <f>IF(Sheet2!O41="","",LEFT(Sheet2!O41, FIND(" ", Sheet2!O41)-1))</f>
        <v/>
      </c>
      <c r="I41" s="15" t="str">
        <f>IF(Sheet2!S41&lt;19,ROUND(Sheet2!I41,2)&amp;"'",IF(Sheet2!S41&lt;25,ROUND(Sheet2!J41,2)&amp;"'",IF(Sheet2!S41&lt;31,ROUND(Sheet2!K41,2)&amp;"'",IF(Sheet2!S41&lt;37,ROUND(Sheet2!L41,2)&amp;"'",""))))</f>
        <v/>
      </c>
      <c r="J41" s="13"/>
      <c r="K41" s="12"/>
      <c r="L41" s="15" t="str">
        <f>IF(Sheet2!D41="","",Sheet2!D41&amp;"''")</f>
        <v/>
      </c>
      <c r="M41" s="12"/>
      <c r="N41" s="19"/>
      <c r="O41" s="16" t="str">
        <f>IF(Sheet2!H41="","",ROUND(Sheet2!H41,2)&amp;"'")</f>
        <v/>
      </c>
      <c r="P41" s="18" t="str">
        <f>IF(Sheet2!E41="","",Sheet2!E41&amp;"''")</f>
        <v/>
      </c>
      <c r="Q41" s="12"/>
      <c r="T41" s="15" t="str">
        <f>IF(Sheet2!F41="","",Sheet2!F41&amp;"''")</f>
        <v/>
      </c>
      <c r="U41" s="12"/>
      <c r="X41" s="15" t="str">
        <f>IF(Sheet2!G41="","",Sheet2!G41&amp;"''")</f>
        <v/>
      </c>
      <c r="Y41" s="12"/>
      <c r="AA41" s="12"/>
    </row>
    <row r="42" spans="7:27" x14ac:dyDescent="0.25">
      <c r="G42" s="15" t="str">
        <f>IF(Sheet2!A42="","",Sheet2!A42)</f>
        <v/>
      </c>
      <c r="H42" s="18" t="str">
        <f>IF(Sheet2!O42="","",LEFT(Sheet2!O42, FIND(" ", Sheet2!O42)-1))</f>
        <v/>
      </c>
      <c r="I42" s="15" t="str">
        <f>IF(Sheet2!S42&lt;19,ROUND(Sheet2!I42,2)&amp;"'",IF(Sheet2!S42&lt;25,ROUND(Sheet2!J42,2)&amp;"'",IF(Sheet2!S42&lt;31,ROUND(Sheet2!K42,2)&amp;"'",IF(Sheet2!S42&lt;37,ROUND(Sheet2!L42,2)&amp;"'",""))))</f>
        <v/>
      </c>
      <c r="J42" s="13"/>
      <c r="K42" s="12"/>
      <c r="L42" s="15" t="str">
        <f>IF(Sheet2!D42="","",Sheet2!D42&amp;"''")</f>
        <v/>
      </c>
      <c r="M42" s="12"/>
      <c r="N42" s="19"/>
      <c r="O42" s="16" t="str">
        <f>IF(Sheet2!H42="","",ROUND(Sheet2!H42,2)&amp;"'")</f>
        <v/>
      </c>
      <c r="P42" s="18" t="str">
        <f>IF(Sheet2!E42="","",Sheet2!E42&amp;"''")</f>
        <v/>
      </c>
      <c r="Q42" s="12"/>
      <c r="T42" s="15" t="str">
        <f>IF(Sheet2!F42="","",Sheet2!F42&amp;"''")</f>
        <v/>
      </c>
      <c r="U42" s="12"/>
      <c r="X42" s="15" t="str">
        <f>IF(Sheet2!G42="","",Sheet2!G42&amp;"''")</f>
        <v/>
      </c>
      <c r="Y42" s="12"/>
      <c r="AA42" s="12"/>
    </row>
    <row r="43" spans="7:27" x14ac:dyDescent="0.25">
      <c r="G43" s="15" t="str">
        <f>IF(Sheet2!A43="","",Sheet2!A43)</f>
        <v/>
      </c>
      <c r="H43" s="18" t="str">
        <f>IF(Sheet2!O43="","",LEFT(Sheet2!O43, FIND(" ", Sheet2!O43)-1))</f>
        <v/>
      </c>
      <c r="I43" s="15" t="str">
        <f>IF(Sheet2!S43&lt;19,ROUND(Sheet2!I43,2)&amp;"'",IF(Sheet2!S43&lt;25,ROUND(Sheet2!J43,2)&amp;"'",IF(Sheet2!S43&lt;31,ROUND(Sheet2!K43,2)&amp;"'",IF(Sheet2!S43&lt;37,ROUND(Sheet2!L43,2)&amp;"'",""))))</f>
        <v/>
      </c>
      <c r="J43" s="13"/>
      <c r="K43" s="12"/>
      <c r="L43" s="15" t="str">
        <f>IF(Sheet2!D43="","",Sheet2!D43&amp;"''")</f>
        <v/>
      </c>
      <c r="M43" s="12"/>
      <c r="N43" s="19"/>
      <c r="O43" s="16" t="str">
        <f>IF(Sheet2!H43="","",ROUND(Sheet2!H43,2)&amp;"'")</f>
        <v/>
      </c>
      <c r="P43" s="18" t="str">
        <f>IF(Sheet2!E43="","",Sheet2!E43&amp;"''")</f>
        <v/>
      </c>
      <c r="Q43" s="12"/>
      <c r="T43" s="15" t="str">
        <f>IF(Sheet2!F43="","",Sheet2!F43&amp;"''")</f>
        <v/>
      </c>
      <c r="U43" s="12"/>
      <c r="X43" s="15" t="str">
        <f>IF(Sheet2!G43="","",Sheet2!G43&amp;"''")</f>
        <v/>
      </c>
      <c r="Y43" s="12"/>
      <c r="AA43" s="12"/>
    </row>
    <row r="44" spans="7:27" x14ac:dyDescent="0.25">
      <c r="G44" s="15" t="str">
        <f>IF(Sheet2!A44="","",Sheet2!A44)</f>
        <v/>
      </c>
      <c r="H44" s="18" t="str">
        <f>IF(Sheet2!O44="","",LEFT(Sheet2!O44, FIND(" ", Sheet2!O44)-1))</f>
        <v/>
      </c>
      <c r="I44" s="15" t="str">
        <f>IF(Sheet2!S44&lt;19,ROUND(Sheet2!I44,2)&amp;"'",IF(Sheet2!S44&lt;25,ROUND(Sheet2!J44,2)&amp;"'",IF(Sheet2!S44&lt;31,ROUND(Sheet2!K44,2)&amp;"'",IF(Sheet2!S44&lt;37,ROUND(Sheet2!L44,2)&amp;"'",""))))</f>
        <v/>
      </c>
      <c r="J44" s="13"/>
      <c r="K44" s="12"/>
      <c r="L44" s="15" t="str">
        <f>IF(Sheet2!D44="","",Sheet2!D44&amp;"''")</f>
        <v/>
      </c>
      <c r="M44" s="12"/>
      <c r="N44" s="19"/>
      <c r="O44" s="16" t="str">
        <f>IF(Sheet2!H44="","",ROUND(Sheet2!H44,2)&amp;"'")</f>
        <v/>
      </c>
      <c r="P44" s="18" t="str">
        <f>IF(Sheet2!E44="","",Sheet2!E44&amp;"''")</f>
        <v/>
      </c>
      <c r="Q44" s="12"/>
      <c r="T44" s="15" t="str">
        <f>IF(Sheet2!F44="","",Sheet2!F44&amp;"''")</f>
        <v/>
      </c>
      <c r="U44" s="12"/>
      <c r="X44" s="15" t="str">
        <f>IF(Sheet2!G44="","",Sheet2!G44&amp;"''")</f>
        <v/>
      </c>
      <c r="Y44" s="12"/>
      <c r="AA44" s="12"/>
    </row>
    <row r="45" spans="7:27" x14ac:dyDescent="0.25">
      <c r="G45" s="15" t="str">
        <f>IF(Sheet2!A45="","",Sheet2!A45)</f>
        <v/>
      </c>
      <c r="H45" s="18" t="str">
        <f>IF(Sheet2!O45="","",LEFT(Sheet2!O45, FIND(" ", Sheet2!O45)-1))</f>
        <v/>
      </c>
      <c r="I45" s="15" t="str">
        <f>IF(Sheet2!S45&lt;19,ROUND(Sheet2!I45,2)&amp;"'",IF(Sheet2!S45&lt;25,ROUND(Sheet2!J45,2)&amp;"'",IF(Sheet2!S45&lt;31,ROUND(Sheet2!K45,2)&amp;"'",IF(Sheet2!S45&lt;37,ROUND(Sheet2!L45,2)&amp;"'",""))))</f>
        <v/>
      </c>
      <c r="J45" s="13"/>
      <c r="K45" s="12"/>
      <c r="L45" s="15" t="str">
        <f>IF(Sheet2!D45="","",Sheet2!D45&amp;"''")</f>
        <v/>
      </c>
      <c r="M45" s="12"/>
      <c r="N45" s="19"/>
      <c r="O45" s="16" t="str">
        <f>IF(Sheet2!H45="","",ROUND(Sheet2!H45,2)&amp;"'")</f>
        <v/>
      </c>
      <c r="P45" s="18" t="str">
        <f>IF(Sheet2!E45="","",Sheet2!E45&amp;"''")</f>
        <v/>
      </c>
      <c r="Q45" s="12"/>
      <c r="T45" s="15" t="str">
        <f>IF(Sheet2!F45="","",Sheet2!F45&amp;"''")</f>
        <v/>
      </c>
      <c r="U45" s="12"/>
      <c r="X45" s="15" t="str">
        <f>IF(Sheet2!G45="","",Sheet2!G45&amp;"''")</f>
        <v/>
      </c>
      <c r="Y45" s="12"/>
      <c r="AA45" s="12"/>
    </row>
    <row r="46" spans="7:27" x14ac:dyDescent="0.25">
      <c r="G46" s="15" t="str">
        <f>IF(Sheet2!A46="","",Sheet2!A46)</f>
        <v/>
      </c>
      <c r="H46" s="18" t="str">
        <f>IF(Sheet2!O46="","",LEFT(Sheet2!O46, FIND(" ", Sheet2!O46)-1))</f>
        <v/>
      </c>
      <c r="I46" s="15" t="str">
        <f>IF(Sheet2!S46&lt;19,ROUND(Sheet2!I46,2)&amp;"'",IF(Sheet2!S46&lt;25,ROUND(Sheet2!J46,2)&amp;"'",IF(Sheet2!S46&lt;31,ROUND(Sheet2!K46,2)&amp;"'",IF(Sheet2!S46&lt;37,ROUND(Sheet2!L46,2)&amp;"'",""))))</f>
        <v/>
      </c>
      <c r="J46" s="13"/>
      <c r="K46" s="12"/>
      <c r="L46" s="15" t="str">
        <f>IF(Sheet2!D46="","",Sheet2!D46&amp;"''")</f>
        <v/>
      </c>
      <c r="M46" s="12"/>
      <c r="N46" s="19"/>
      <c r="O46" s="16" t="str">
        <f>IF(Sheet2!H46="","",ROUND(Sheet2!H46,2)&amp;"'")</f>
        <v/>
      </c>
      <c r="P46" s="18" t="str">
        <f>IF(Sheet2!E46="","",Sheet2!E46&amp;"''")</f>
        <v/>
      </c>
      <c r="Q46" s="12"/>
      <c r="T46" s="15" t="str">
        <f>IF(Sheet2!F46="","",Sheet2!F46&amp;"''")</f>
        <v/>
      </c>
      <c r="U46" s="12"/>
      <c r="X46" s="15" t="str">
        <f>IF(Sheet2!G46="","",Sheet2!G46&amp;"''")</f>
        <v/>
      </c>
      <c r="AA46" s="12"/>
    </row>
    <row r="47" spans="7:27" x14ac:dyDescent="0.25">
      <c r="G47" s="15" t="str">
        <f>IF(Sheet2!A47="","",Sheet2!A47)</f>
        <v/>
      </c>
      <c r="H47" s="18" t="str">
        <f>IF(Sheet2!O47="","",LEFT(Sheet2!O47, FIND(" ", Sheet2!O47)-1))</f>
        <v/>
      </c>
      <c r="I47" s="15" t="str">
        <f>IF(Sheet2!S47&lt;19,ROUND(Sheet2!I47,2)&amp;"'",IF(Sheet2!S47&lt;25,ROUND(Sheet2!J47,2)&amp;"'",IF(Sheet2!S47&lt;31,ROUND(Sheet2!K47,2)&amp;"'",IF(Sheet2!S47&lt;37,ROUND(Sheet2!L47,2)&amp;"'",""))))</f>
        <v/>
      </c>
      <c r="J47" s="13"/>
      <c r="K47" s="12"/>
      <c r="L47" s="15" t="str">
        <f>IF(Sheet2!D47="","",Sheet2!D47&amp;"''")</f>
        <v/>
      </c>
      <c r="M47" s="12"/>
      <c r="N47" s="19"/>
      <c r="O47" s="16" t="str">
        <f>IF(Sheet2!H47="","",ROUND(Sheet2!H47,2)&amp;"'")</f>
        <v/>
      </c>
      <c r="P47" s="18" t="str">
        <f>IF(Sheet2!E47="","",Sheet2!E47&amp;"''")</f>
        <v/>
      </c>
      <c r="Q47" s="12"/>
      <c r="T47" s="15" t="str">
        <f>IF(Sheet2!F47="","",Sheet2!F47&amp;"''")</f>
        <v/>
      </c>
      <c r="U47" s="12"/>
      <c r="X47" s="15" t="str">
        <f>IF(Sheet2!G47="","",Sheet2!G47&amp;"''")</f>
        <v/>
      </c>
      <c r="AA47" s="12"/>
    </row>
    <row r="48" spans="7:27" x14ac:dyDescent="0.25">
      <c r="G48" s="15" t="str">
        <f>IF(Sheet2!A48="","",Sheet2!A48)</f>
        <v/>
      </c>
      <c r="H48" s="18" t="str">
        <f>IF(Sheet2!O48="","",LEFT(Sheet2!O48, FIND(" ", Sheet2!O48)-1))</f>
        <v/>
      </c>
      <c r="I48" s="15" t="str">
        <f>IF(Sheet2!S48&lt;19,ROUND(Sheet2!I48,2)&amp;"'",IF(Sheet2!S48&lt;25,ROUND(Sheet2!J48,2)&amp;"'",IF(Sheet2!S48&lt;31,ROUND(Sheet2!K48,2)&amp;"'",IF(Sheet2!S48&lt;37,ROUND(Sheet2!L48,2)&amp;"'",""))))</f>
        <v/>
      </c>
      <c r="J48" s="13"/>
      <c r="K48" s="12"/>
      <c r="L48" s="15" t="str">
        <f>IF(Sheet2!D48="","",Sheet2!D48&amp;"''")</f>
        <v/>
      </c>
      <c r="M48" s="12"/>
      <c r="N48" s="19"/>
      <c r="O48" s="16" t="str">
        <f>IF(Sheet2!H48="","",ROUND(Sheet2!H48,2)&amp;"'")</f>
        <v/>
      </c>
      <c r="P48" s="18" t="str">
        <f>IF(Sheet2!E48="","",Sheet2!E48&amp;"''")</f>
        <v/>
      </c>
      <c r="Q48" s="12"/>
      <c r="T48" s="15" t="str">
        <f>IF(Sheet2!F48="","",Sheet2!F48&amp;"''")</f>
        <v/>
      </c>
      <c r="U48" s="12"/>
      <c r="X48" s="15" t="str">
        <f>IF(Sheet2!G48="","",Sheet2!G48&amp;"''")</f>
        <v/>
      </c>
      <c r="AA48" s="12"/>
    </row>
    <row r="49" spans="7:27" x14ac:dyDescent="0.25">
      <c r="G49" s="15" t="str">
        <f>IF(Sheet2!A49="","",Sheet2!A49)</f>
        <v/>
      </c>
      <c r="H49" s="18" t="str">
        <f>IF(Sheet2!O49="","",LEFT(Sheet2!O49, FIND(" ", Sheet2!O49)-1))</f>
        <v/>
      </c>
      <c r="I49" s="15" t="str">
        <f>IF(Sheet2!S49&lt;19,ROUND(Sheet2!I49,2)&amp;"'",IF(Sheet2!S49&lt;25,ROUND(Sheet2!J49,2)&amp;"'",IF(Sheet2!S49&lt;31,ROUND(Sheet2!K49,2)&amp;"'",IF(Sheet2!S49&lt;37,ROUND(Sheet2!L49,2)&amp;"'",""))))</f>
        <v/>
      </c>
      <c r="J49" s="13"/>
      <c r="K49" s="12"/>
      <c r="L49" s="15" t="str">
        <f>IF(Sheet2!D49="","",Sheet2!D49&amp;"''")</f>
        <v/>
      </c>
      <c r="M49" s="12"/>
      <c r="N49" s="19"/>
      <c r="O49" s="16" t="str">
        <f>IF(Sheet2!H49="","",ROUND(Sheet2!H49,2)&amp;"'")</f>
        <v/>
      </c>
      <c r="P49" s="18" t="str">
        <f>IF(Sheet2!E49="","",Sheet2!E49&amp;"''")</f>
        <v/>
      </c>
      <c r="Q49" s="12"/>
      <c r="T49" s="15" t="str">
        <f>IF(Sheet2!F49="","",Sheet2!F49&amp;"''")</f>
        <v/>
      </c>
      <c r="U49" s="12"/>
      <c r="X49" s="15" t="str">
        <f>IF(Sheet2!G49="","",Sheet2!G49&amp;"''")</f>
        <v/>
      </c>
      <c r="AA49" s="12"/>
    </row>
    <row r="50" spans="7:27" x14ac:dyDescent="0.25">
      <c r="G50" s="15" t="str">
        <f>IF(Sheet2!A50="","",Sheet2!A50)</f>
        <v/>
      </c>
      <c r="H50" s="18" t="str">
        <f>IF(Sheet2!O50="","",LEFT(Sheet2!O50, FIND(" ", Sheet2!O50)-1))</f>
        <v/>
      </c>
      <c r="I50" s="15" t="str">
        <f>IF(Sheet2!S50&lt;19,ROUND(Sheet2!I50,2)&amp;"'",IF(Sheet2!S50&lt;25,ROUND(Sheet2!J50,2)&amp;"'",IF(Sheet2!S50&lt;31,ROUND(Sheet2!K50,2)&amp;"'",IF(Sheet2!S50&lt;37,ROUND(Sheet2!L50,2)&amp;"'",""))))</f>
        <v/>
      </c>
      <c r="J50" s="13"/>
      <c r="K50" s="12"/>
      <c r="L50" s="15" t="str">
        <f>IF(Sheet2!D50="","",Sheet2!D50&amp;"''")</f>
        <v/>
      </c>
      <c r="M50" s="12"/>
      <c r="N50" s="19"/>
      <c r="O50" s="16" t="str">
        <f>IF(Sheet2!H50="","",ROUND(Sheet2!H50,2)&amp;"'")</f>
        <v/>
      </c>
      <c r="P50" s="18" t="str">
        <f>IF(Sheet2!E50="","",Sheet2!E50&amp;"''")</f>
        <v/>
      </c>
      <c r="Q50" s="12"/>
      <c r="T50" s="15" t="str">
        <f>IF(Sheet2!F50="","",Sheet2!F50&amp;"''")</f>
        <v/>
      </c>
      <c r="U50" s="12"/>
      <c r="X50" s="15" t="str">
        <f>IF(Sheet2!G50="","",Sheet2!G50&amp;"''")</f>
        <v/>
      </c>
      <c r="AA50" s="12"/>
    </row>
    <row r="51" spans="7:27" x14ac:dyDescent="0.25">
      <c r="G51" s="15" t="str">
        <f>IF(Sheet2!A51="","",Sheet2!A51)</f>
        <v/>
      </c>
      <c r="H51" s="18" t="str">
        <f>IF(Sheet2!O51="","",LEFT(Sheet2!O51, FIND(" ", Sheet2!O51)-1))</f>
        <v/>
      </c>
      <c r="I51" s="15" t="str">
        <f>IF(Sheet2!S51&lt;19,ROUND(Sheet2!I51,2)&amp;"'",IF(Sheet2!S51&lt;25,ROUND(Sheet2!J51,2)&amp;"'",IF(Sheet2!S51&lt;31,ROUND(Sheet2!K51,2)&amp;"'",IF(Sheet2!S51&lt;37,ROUND(Sheet2!L51,2)&amp;"'",""))))</f>
        <v/>
      </c>
      <c r="J51" s="13"/>
      <c r="K51" s="12"/>
      <c r="L51" s="15" t="str">
        <f>IF(Sheet2!D51="","",Sheet2!D51&amp;"''")</f>
        <v/>
      </c>
      <c r="M51" s="12"/>
      <c r="N51" s="19"/>
      <c r="O51" s="16" t="str">
        <f>IF(Sheet2!H51="","",ROUND(Sheet2!H51,2)&amp;"'")</f>
        <v/>
      </c>
      <c r="P51" s="18" t="str">
        <f>IF(Sheet2!E51="","",Sheet2!E51&amp;"''")</f>
        <v/>
      </c>
      <c r="Q51" s="12"/>
      <c r="T51" s="15" t="str">
        <f>IF(Sheet2!F51="","",Sheet2!F51&amp;"''")</f>
        <v/>
      </c>
      <c r="U51" s="12"/>
      <c r="X51" s="15" t="str">
        <f>IF(Sheet2!G51="","",Sheet2!G51&amp;"''")</f>
        <v/>
      </c>
      <c r="AA51" s="12"/>
    </row>
    <row r="52" spans="7:27" x14ac:dyDescent="0.25">
      <c r="G52" s="15" t="str">
        <f>IF(Sheet2!A52="","",Sheet2!A52)</f>
        <v/>
      </c>
      <c r="H52" s="18" t="str">
        <f>IF(Sheet2!O52="","",LEFT(Sheet2!O52, FIND(" ", Sheet2!O52)-1))</f>
        <v/>
      </c>
      <c r="I52" s="15" t="str">
        <f>IF(Sheet2!S52&lt;19,ROUND(Sheet2!I52,2)&amp;"'",IF(Sheet2!S52&lt;25,ROUND(Sheet2!J52,2)&amp;"'",IF(Sheet2!S52&lt;31,ROUND(Sheet2!K52,2)&amp;"'",IF(Sheet2!S52&lt;37,ROUND(Sheet2!L52,2)&amp;"'",""))))</f>
        <v/>
      </c>
      <c r="J52" s="13"/>
      <c r="K52" s="12"/>
      <c r="L52" s="15" t="str">
        <f>IF(Sheet2!D52="","",Sheet2!D52&amp;"''")</f>
        <v/>
      </c>
      <c r="M52" s="12"/>
      <c r="N52" s="19"/>
      <c r="O52" s="16" t="str">
        <f>IF(Sheet2!H52="","",ROUND(Sheet2!H52,2)&amp;"'")</f>
        <v/>
      </c>
      <c r="P52" s="18" t="str">
        <f>IF(Sheet2!E52="","",Sheet2!E52&amp;"''")</f>
        <v/>
      </c>
      <c r="Q52" s="12"/>
      <c r="T52" s="15" t="str">
        <f>IF(Sheet2!F52="","",Sheet2!F52&amp;"''")</f>
        <v/>
      </c>
      <c r="U52" s="12"/>
      <c r="X52" s="15" t="str">
        <f>IF(Sheet2!G52="","",Sheet2!G52&amp;"''")</f>
        <v/>
      </c>
      <c r="AA52" s="12"/>
    </row>
    <row r="53" spans="7:27" x14ac:dyDescent="0.25">
      <c r="G53" s="15" t="str">
        <f>IF(Sheet2!A53="","",Sheet2!A53)</f>
        <v/>
      </c>
      <c r="H53" s="18" t="str">
        <f>IF(Sheet2!O53="","",LEFT(Sheet2!O53, FIND(" ", Sheet2!O53)-1))</f>
        <v/>
      </c>
      <c r="I53" s="15" t="str">
        <f>IF(Sheet2!S53&lt;19,ROUND(Sheet2!I53,2)&amp;"'",IF(Sheet2!S53&lt;25,ROUND(Sheet2!J53,2)&amp;"'",IF(Sheet2!S53&lt;31,ROUND(Sheet2!K53,2)&amp;"'",IF(Sheet2!S53&lt;37,ROUND(Sheet2!L53,2)&amp;"'",""))))</f>
        <v/>
      </c>
      <c r="J53" s="13"/>
      <c r="K53" s="12"/>
      <c r="L53" s="15" t="str">
        <f>IF(Sheet2!D53="","",Sheet2!D53&amp;"''")</f>
        <v/>
      </c>
      <c r="M53" s="12"/>
      <c r="N53" s="19"/>
      <c r="O53" s="16" t="str">
        <f>IF(Sheet2!H53="","",ROUND(Sheet2!H53,2)&amp;"'")</f>
        <v/>
      </c>
      <c r="P53" s="18" t="str">
        <f>IF(Sheet2!E53="","",Sheet2!E53&amp;"''")</f>
        <v/>
      </c>
      <c r="Q53" s="12"/>
      <c r="T53" s="15" t="str">
        <f>IF(Sheet2!F53="","",Sheet2!F53&amp;"''")</f>
        <v/>
      </c>
      <c r="U53" s="12"/>
      <c r="X53" s="15" t="str">
        <f>IF(Sheet2!G53="","",Sheet2!G53&amp;"''")</f>
        <v/>
      </c>
      <c r="AA53" s="12"/>
    </row>
    <row r="54" spans="7:27" x14ac:dyDescent="0.25">
      <c r="G54" s="15" t="str">
        <f>IF(Sheet2!A54="","",Sheet2!A54)</f>
        <v/>
      </c>
      <c r="H54" s="18" t="str">
        <f>IF(Sheet2!O54="","",LEFT(Sheet2!O54, FIND(" ", Sheet2!O54)-1))</f>
        <v/>
      </c>
      <c r="I54" s="15" t="str">
        <f>IF(Sheet2!S54&lt;19,ROUND(Sheet2!I54,2)&amp;"'",IF(Sheet2!S54&lt;25,ROUND(Sheet2!J54,2)&amp;"'",IF(Sheet2!S54&lt;31,ROUND(Sheet2!K54,2)&amp;"'",IF(Sheet2!S54&lt;37,ROUND(Sheet2!L54,2)&amp;"'",""))))</f>
        <v/>
      </c>
      <c r="J54" s="13"/>
      <c r="K54" s="12"/>
      <c r="L54" s="15" t="str">
        <f>IF(Sheet2!D54="","",Sheet2!D54&amp;"''")</f>
        <v/>
      </c>
      <c r="M54" s="12"/>
      <c r="N54" s="19"/>
      <c r="O54" s="16" t="str">
        <f>IF(Sheet2!H54="","",ROUND(Sheet2!H54,2)&amp;"'")</f>
        <v/>
      </c>
      <c r="P54" s="18" t="str">
        <f>IF(Sheet2!E54="","",Sheet2!E54&amp;"''")</f>
        <v/>
      </c>
      <c r="Q54" s="12"/>
      <c r="T54" s="15" t="str">
        <f>IF(Sheet2!F54="","",Sheet2!F54&amp;"''")</f>
        <v/>
      </c>
      <c r="U54" s="12"/>
      <c r="X54" s="15" t="str">
        <f>IF(Sheet2!G54="","",Sheet2!G54&amp;"''")</f>
        <v/>
      </c>
      <c r="AA54" s="12"/>
    </row>
    <row r="55" spans="7:27" x14ac:dyDescent="0.25">
      <c r="G55" s="15" t="str">
        <f>IF(Sheet2!A55="","",Sheet2!A55)</f>
        <v/>
      </c>
      <c r="H55" s="18" t="str">
        <f>IF(Sheet2!O55="","",LEFT(Sheet2!O55, FIND(" ", Sheet2!O55)-1))</f>
        <v/>
      </c>
      <c r="I55" s="15" t="str">
        <f>IF(Sheet2!S55&lt;19,ROUND(Sheet2!I55,2)&amp;"'",IF(Sheet2!S55&lt;25,ROUND(Sheet2!J55,2)&amp;"'",IF(Sheet2!S55&lt;31,ROUND(Sheet2!K55,2)&amp;"'",IF(Sheet2!S55&lt;37,ROUND(Sheet2!L55,2)&amp;"'",""))))</f>
        <v/>
      </c>
      <c r="J55" s="13"/>
      <c r="K55" s="12"/>
      <c r="L55" s="15" t="str">
        <f>IF(Sheet2!D55="","",Sheet2!D55&amp;"''")</f>
        <v/>
      </c>
      <c r="M55" s="12"/>
      <c r="N55" s="19"/>
      <c r="O55" s="16" t="str">
        <f>IF(Sheet2!H55="","",ROUND(Sheet2!H55,2)&amp;"'")</f>
        <v/>
      </c>
      <c r="P55" s="18" t="str">
        <f>IF(Sheet2!E55="","",Sheet2!E55&amp;"''")</f>
        <v/>
      </c>
      <c r="Q55" s="12"/>
      <c r="T55" s="15" t="str">
        <f>IF(Sheet2!F55="","",Sheet2!F55&amp;"''")</f>
        <v/>
      </c>
      <c r="U55" s="12"/>
      <c r="X55" s="15" t="str">
        <f>IF(Sheet2!G55="","",Sheet2!G55&amp;"''")</f>
        <v/>
      </c>
      <c r="AA55" s="12"/>
    </row>
    <row r="56" spans="7:27" x14ac:dyDescent="0.25">
      <c r="G56" s="15" t="str">
        <f>IF(Sheet2!A56="","",Sheet2!A56)</f>
        <v/>
      </c>
      <c r="H56" s="18" t="str">
        <f>IF(Sheet2!O56="","",LEFT(Sheet2!O56, FIND(" ", Sheet2!O56)-1))</f>
        <v/>
      </c>
      <c r="I56" s="15" t="str">
        <f>IF(Sheet2!S56&lt;19,ROUND(Sheet2!I56,2)&amp;"'",IF(Sheet2!S56&lt;25,ROUND(Sheet2!J56,2)&amp;"'",IF(Sheet2!S56&lt;31,ROUND(Sheet2!K56,2)&amp;"'",IF(Sheet2!S56&lt;37,ROUND(Sheet2!L56,2)&amp;"'",""))))</f>
        <v/>
      </c>
      <c r="J56" s="13"/>
      <c r="K56" s="12"/>
      <c r="L56" s="15" t="str">
        <f>IF(Sheet2!D56="","",Sheet2!D56&amp;"''")</f>
        <v/>
      </c>
      <c r="M56" s="12"/>
      <c r="N56" s="19"/>
      <c r="O56" s="16" t="str">
        <f>IF(Sheet2!H56="","",ROUND(Sheet2!H56,2)&amp;"'")</f>
        <v/>
      </c>
      <c r="P56" s="18" t="str">
        <f>IF(Sheet2!E56="","",Sheet2!E56&amp;"''")</f>
        <v/>
      </c>
      <c r="Q56" s="12"/>
      <c r="T56" s="15" t="str">
        <f>IF(Sheet2!F56="","",Sheet2!F56&amp;"''")</f>
        <v/>
      </c>
      <c r="U56" s="12"/>
      <c r="X56" s="15" t="str">
        <f>IF(Sheet2!G56="","",Sheet2!G56&amp;"''")</f>
        <v/>
      </c>
      <c r="AA56" s="12"/>
    </row>
    <row r="57" spans="7:27" x14ac:dyDescent="0.25">
      <c r="G57" s="15" t="str">
        <f>IF(Sheet2!A57="","",Sheet2!A57)</f>
        <v/>
      </c>
      <c r="H57" s="18" t="str">
        <f>IF(Sheet2!O57="","",LEFT(Sheet2!O57, FIND(" ", Sheet2!O57)-1))</f>
        <v/>
      </c>
      <c r="I57" s="15" t="str">
        <f>IF(Sheet2!S57&lt;19,ROUND(Sheet2!I57,2)&amp;"'",IF(Sheet2!S57&lt;25,ROUND(Sheet2!J57,2)&amp;"'",IF(Sheet2!S57&lt;31,ROUND(Sheet2!K57,2)&amp;"'",IF(Sheet2!S57&lt;37,ROUND(Sheet2!L57,2)&amp;"'",""))))</f>
        <v/>
      </c>
      <c r="J57" s="13"/>
      <c r="K57" s="12"/>
      <c r="L57" s="15" t="str">
        <f>IF(Sheet2!D57="","",Sheet2!D57&amp;"''")</f>
        <v/>
      </c>
      <c r="M57" s="12"/>
      <c r="N57" s="19"/>
      <c r="O57" s="16" t="str">
        <f>IF(Sheet2!H57="","",ROUND(Sheet2!H57,2)&amp;"'")</f>
        <v/>
      </c>
      <c r="P57" s="18" t="str">
        <f>IF(Sheet2!E57="","",Sheet2!E57&amp;"''")</f>
        <v/>
      </c>
      <c r="Q57" s="12"/>
      <c r="T57" s="15" t="str">
        <f>IF(Sheet2!F57="","",Sheet2!F57&amp;"''")</f>
        <v/>
      </c>
      <c r="U57" s="12"/>
      <c r="X57" s="15" t="str">
        <f>IF(Sheet2!G57="","",Sheet2!G57&amp;"''")</f>
        <v/>
      </c>
      <c r="AA57" s="12"/>
    </row>
    <row r="58" spans="7:27" x14ac:dyDescent="0.25">
      <c r="G58" s="15" t="str">
        <f>IF(Sheet2!A58="","",Sheet2!A58)</f>
        <v/>
      </c>
      <c r="H58" s="18" t="str">
        <f>IF(Sheet2!O58="","",LEFT(Sheet2!O58, FIND(" ", Sheet2!O58)-1))</f>
        <v/>
      </c>
      <c r="I58" s="15" t="str">
        <f>IF(Sheet2!S58&lt;19,ROUND(Sheet2!I58,2)&amp;"'",IF(Sheet2!S58&lt;25,ROUND(Sheet2!J58,2)&amp;"'",IF(Sheet2!S58&lt;31,ROUND(Sheet2!K58,2)&amp;"'",IF(Sheet2!S58&lt;37,ROUND(Sheet2!L58,2)&amp;"'",""))))</f>
        <v/>
      </c>
      <c r="J58" s="13"/>
      <c r="K58" s="12"/>
      <c r="L58" s="15" t="str">
        <f>IF(Sheet2!D58="","",Sheet2!D58&amp;"''")</f>
        <v/>
      </c>
      <c r="M58" s="12"/>
      <c r="N58" s="19"/>
      <c r="O58" s="16" t="str">
        <f>IF(Sheet2!H58="","",ROUND(Sheet2!H58,2)&amp;"'")</f>
        <v/>
      </c>
      <c r="P58" s="18" t="str">
        <f>IF(Sheet2!E58="","",Sheet2!E58&amp;"''")</f>
        <v/>
      </c>
      <c r="Q58" s="12"/>
      <c r="T58" s="15" t="str">
        <f>IF(Sheet2!F58="","",Sheet2!F58&amp;"''")</f>
        <v/>
      </c>
      <c r="U58" s="12"/>
      <c r="X58" s="15" t="str">
        <f>IF(Sheet2!G58="","",Sheet2!G58&amp;"''")</f>
        <v/>
      </c>
      <c r="AA58" s="12"/>
    </row>
    <row r="59" spans="7:27" x14ac:dyDescent="0.25">
      <c r="G59" s="15" t="str">
        <f>IF(Sheet2!A59="","",Sheet2!A59)</f>
        <v/>
      </c>
      <c r="H59" s="18" t="str">
        <f>IF(Sheet2!O59="","",LEFT(Sheet2!O59, FIND(" ", Sheet2!O59)-1))</f>
        <v/>
      </c>
      <c r="I59" s="15" t="str">
        <f>IF(Sheet2!S59&lt;19,ROUND(Sheet2!I59,2)&amp;"'",IF(Sheet2!S59&lt;25,ROUND(Sheet2!J59,2)&amp;"'",IF(Sheet2!S59&lt;31,ROUND(Sheet2!K59,2)&amp;"'",IF(Sheet2!S59&lt;37,ROUND(Sheet2!L59,2)&amp;"'",""))))</f>
        <v/>
      </c>
      <c r="J59" s="13"/>
      <c r="K59" s="12"/>
      <c r="L59" s="15" t="str">
        <f>IF(Sheet2!D59="","",Sheet2!D59&amp;"''")</f>
        <v/>
      </c>
      <c r="M59" s="12"/>
      <c r="N59" s="19"/>
      <c r="O59" s="16" t="str">
        <f>IF(Sheet2!H59="","",ROUND(Sheet2!H59,2)&amp;"'")</f>
        <v/>
      </c>
      <c r="P59" s="18" t="str">
        <f>IF(Sheet2!E59="","",Sheet2!E59&amp;"''")</f>
        <v/>
      </c>
      <c r="Q59" s="12"/>
      <c r="T59" s="15" t="str">
        <f>IF(Sheet2!F59="","",Sheet2!F59&amp;"''")</f>
        <v/>
      </c>
      <c r="U59" s="12"/>
      <c r="X59" s="15" t="str">
        <f>IF(Sheet2!G59="","",Sheet2!G59&amp;"''")</f>
        <v/>
      </c>
      <c r="AA59" s="12"/>
    </row>
    <row r="60" spans="7:27" x14ac:dyDescent="0.25">
      <c r="G60" s="15" t="str">
        <f>IF(Sheet2!A60="","",Sheet2!A60)</f>
        <v/>
      </c>
      <c r="H60" s="18" t="str">
        <f>IF(Sheet2!O60="","",LEFT(Sheet2!O60, FIND(" ", Sheet2!O60)-1))</f>
        <v/>
      </c>
      <c r="I60" s="15" t="str">
        <f>IF(Sheet2!S60&lt;19,ROUND(Sheet2!I60,2)&amp;"'",IF(Sheet2!S60&lt;25,ROUND(Sheet2!J60,2)&amp;"'",IF(Sheet2!S60&lt;31,ROUND(Sheet2!K60,2)&amp;"'",IF(Sheet2!S60&lt;37,ROUND(Sheet2!L60,2)&amp;"'",""))))</f>
        <v/>
      </c>
      <c r="J60" s="13"/>
      <c r="K60" s="12"/>
      <c r="L60" s="15" t="str">
        <f>IF(Sheet2!D60="","",Sheet2!D60&amp;"''")</f>
        <v/>
      </c>
      <c r="M60" s="12"/>
      <c r="N60" s="19"/>
      <c r="O60" s="16" t="str">
        <f>IF(Sheet2!H60="","",ROUND(Sheet2!H60,2)&amp;"'")</f>
        <v/>
      </c>
      <c r="P60" s="18" t="str">
        <f>IF(Sheet2!E60="","",Sheet2!E60&amp;"''")</f>
        <v/>
      </c>
      <c r="Q60" s="12"/>
      <c r="T60" s="15" t="str">
        <f>IF(Sheet2!F60="","",Sheet2!F60&amp;"''")</f>
        <v/>
      </c>
      <c r="U60" s="12"/>
      <c r="X60" s="15" t="str">
        <f>IF(Sheet2!G60="","",Sheet2!G60&amp;"''")</f>
        <v/>
      </c>
      <c r="AA60" s="12"/>
    </row>
    <row r="61" spans="7:27" x14ac:dyDescent="0.25">
      <c r="G61" s="15" t="str">
        <f>IF(Sheet2!A61="","",Sheet2!A61)</f>
        <v/>
      </c>
      <c r="H61" s="18" t="str">
        <f>IF(Sheet2!O61="","",LEFT(Sheet2!O61, FIND(" ", Sheet2!O61)-1))</f>
        <v/>
      </c>
      <c r="I61" s="15" t="str">
        <f>IF(Sheet2!S61&lt;19,ROUND(Sheet2!I61,2)&amp;"'",IF(Sheet2!S61&lt;25,ROUND(Sheet2!J61,2)&amp;"'",IF(Sheet2!S61&lt;31,ROUND(Sheet2!K61,2)&amp;"'",IF(Sheet2!S61&lt;37,ROUND(Sheet2!L61,2)&amp;"'",""))))</f>
        <v/>
      </c>
      <c r="J61" s="13"/>
      <c r="K61" s="12"/>
      <c r="L61" s="15" t="str">
        <f>IF(Sheet2!D61="","",Sheet2!D61&amp;"''")</f>
        <v/>
      </c>
      <c r="M61" s="12"/>
      <c r="N61" s="19"/>
      <c r="O61" s="16" t="str">
        <f>IF(Sheet2!H61="","",ROUND(Sheet2!H61,2)&amp;"'")</f>
        <v/>
      </c>
      <c r="P61" s="18" t="str">
        <f>IF(Sheet2!E61="","",Sheet2!E61&amp;"''")</f>
        <v/>
      </c>
      <c r="Q61" s="12"/>
      <c r="T61" s="15" t="str">
        <f>IF(Sheet2!F61="","",Sheet2!F61&amp;"''")</f>
        <v/>
      </c>
      <c r="U61" s="12"/>
      <c r="X61" s="15" t="str">
        <f>IF(Sheet2!G61="","",Sheet2!G61&amp;"''")</f>
        <v/>
      </c>
      <c r="AA61" s="12"/>
    </row>
    <row r="62" spans="7:27" x14ac:dyDescent="0.25">
      <c r="G62" s="15" t="str">
        <f>IF(Sheet2!A62="","",Sheet2!A62)</f>
        <v/>
      </c>
      <c r="H62" s="18" t="str">
        <f>IF(Sheet2!O62="","",LEFT(Sheet2!O62, FIND(" ", Sheet2!O62)-1))</f>
        <v/>
      </c>
      <c r="I62" s="15" t="str">
        <f>IF(Sheet2!S62&lt;19,ROUND(Sheet2!I62,2)&amp;"'",IF(Sheet2!S62&lt;25,ROUND(Sheet2!J62,2)&amp;"'",IF(Sheet2!S62&lt;31,ROUND(Sheet2!K62,2)&amp;"'",IF(Sheet2!S62&lt;37,ROUND(Sheet2!L62,2)&amp;"'",""))))</f>
        <v/>
      </c>
      <c r="J62" s="13"/>
      <c r="K62" s="12"/>
      <c r="L62" s="15" t="str">
        <f>IF(Sheet2!D62="","",Sheet2!D62&amp;"''")</f>
        <v/>
      </c>
      <c r="M62" s="12"/>
      <c r="N62" s="19"/>
      <c r="O62" s="16" t="str">
        <f>IF(Sheet2!H62="","",ROUND(Sheet2!H62,2)&amp;"'")</f>
        <v/>
      </c>
      <c r="P62" s="18" t="str">
        <f>IF(Sheet2!E62="","",Sheet2!E62&amp;"''")</f>
        <v/>
      </c>
      <c r="Q62" s="12"/>
      <c r="T62" s="15" t="str">
        <f>IF(Sheet2!F62="","",Sheet2!F62&amp;"''")</f>
        <v/>
      </c>
      <c r="U62" s="12"/>
      <c r="X62" s="15" t="str">
        <f>IF(Sheet2!G62="","",Sheet2!G62&amp;"''")</f>
        <v/>
      </c>
      <c r="AA62" s="12"/>
    </row>
    <row r="63" spans="7:27" x14ac:dyDescent="0.25">
      <c r="G63" s="15" t="str">
        <f>IF(Sheet2!A63="","",Sheet2!A63)</f>
        <v/>
      </c>
      <c r="H63" s="18" t="str">
        <f>IF(Sheet2!O63="","",LEFT(Sheet2!O63, FIND(" ", Sheet2!O63)-1))</f>
        <v/>
      </c>
      <c r="I63" s="15" t="str">
        <f>IF(Sheet2!S63&lt;19,ROUND(Sheet2!I63,2)&amp;"'",IF(Sheet2!S63&lt;25,ROUND(Sheet2!J63,2)&amp;"'",IF(Sheet2!S63&lt;31,ROUND(Sheet2!K63,2)&amp;"'",IF(Sheet2!S63&lt;37,ROUND(Sheet2!L63,2)&amp;"'",""))))</f>
        <v/>
      </c>
      <c r="J63" s="13"/>
      <c r="K63" s="12"/>
      <c r="L63" s="15" t="str">
        <f>IF(Sheet2!D63="","",Sheet2!D63&amp;"''")</f>
        <v/>
      </c>
      <c r="M63" s="12"/>
      <c r="N63" s="19"/>
      <c r="O63" s="16" t="str">
        <f>IF(Sheet2!H63="","",ROUND(Sheet2!H63,2)&amp;"'")</f>
        <v/>
      </c>
      <c r="P63" s="18" t="str">
        <f>IF(Sheet2!E63="","",Sheet2!E63&amp;"''")</f>
        <v/>
      </c>
      <c r="Q63" s="12"/>
      <c r="T63" s="15" t="str">
        <f>IF(Sheet2!F63="","",Sheet2!F63&amp;"''")</f>
        <v/>
      </c>
      <c r="U63" s="12"/>
      <c r="X63" s="15" t="str">
        <f>IF(Sheet2!G63="","",Sheet2!G63&amp;"''")</f>
        <v/>
      </c>
      <c r="AA63" s="12"/>
    </row>
    <row r="64" spans="7:27" x14ac:dyDescent="0.25">
      <c r="G64" s="15" t="str">
        <f>IF(Sheet2!A64="","",Sheet2!A64)</f>
        <v/>
      </c>
      <c r="H64" s="18" t="str">
        <f>IF(Sheet2!O64="","",LEFT(Sheet2!O64, FIND(" ", Sheet2!O64)-1))</f>
        <v/>
      </c>
      <c r="I64" s="15" t="str">
        <f>IF(Sheet2!S64&lt;19,ROUND(Sheet2!I64,2)&amp;"'",IF(Sheet2!S64&lt;25,ROUND(Sheet2!J64,2)&amp;"'",IF(Sheet2!S64&lt;31,ROUND(Sheet2!K64,2)&amp;"'",IF(Sheet2!S64&lt;37,ROUND(Sheet2!L64,2)&amp;"'",""))))</f>
        <v/>
      </c>
      <c r="J64" s="13"/>
      <c r="K64" s="12"/>
      <c r="L64" s="15" t="str">
        <f>IF(Sheet2!D64="","",Sheet2!D64&amp;"''")</f>
        <v/>
      </c>
      <c r="M64" s="12"/>
      <c r="N64" s="19"/>
      <c r="O64" s="16" t="str">
        <f>IF(Sheet2!H64="","",ROUND(Sheet2!H64,2)&amp;"'")</f>
        <v/>
      </c>
      <c r="P64" s="18" t="str">
        <f>IF(Sheet2!E64="","",Sheet2!E64&amp;"''")</f>
        <v/>
      </c>
      <c r="Q64" s="12"/>
      <c r="T64" s="15" t="str">
        <f>IF(Sheet2!F64="","",Sheet2!F64&amp;"''")</f>
        <v/>
      </c>
      <c r="U64" s="12"/>
      <c r="X64" s="15" t="str">
        <f>IF(Sheet2!G64="","",Sheet2!G64&amp;"''")</f>
        <v/>
      </c>
      <c r="AA64" s="12"/>
    </row>
    <row r="65" spans="7:27" x14ac:dyDescent="0.25">
      <c r="G65" s="15" t="str">
        <f>IF(Sheet2!A65="","",Sheet2!A65)</f>
        <v/>
      </c>
      <c r="H65" s="18" t="str">
        <f>IF(Sheet2!O65="","",LEFT(Sheet2!O65, FIND(" ", Sheet2!O65)-1))</f>
        <v/>
      </c>
      <c r="I65" s="15" t="str">
        <f>IF(Sheet2!S65&lt;19,ROUND(Sheet2!I65,2)&amp;"'",IF(Sheet2!S65&lt;25,ROUND(Sheet2!J65,2)&amp;"'",IF(Sheet2!S65&lt;31,ROUND(Sheet2!K65,2)&amp;"'",IF(Sheet2!S65&lt;37,ROUND(Sheet2!L65,2)&amp;"'",""))))</f>
        <v/>
      </c>
      <c r="J65" s="13"/>
      <c r="K65" s="12"/>
      <c r="L65" s="15" t="str">
        <f>IF(Sheet2!D65="","",Sheet2!D65&amp;"''")</f>
        <v/>
      </c>
      <c r="M65" s="12"/>
      <c r="N65" s="19"/>
      <c r="O65" s="16" t="str">
        <f>IF(Sheet2!H65="","",ROUND(Sheet2!H65,2)&amp;"'")</f>
        <v/>
      </c>
      <c r="P65" s="18" t="str">
        <f>IF(Sheet2!E65="","",Sheet2!E65&amp;"''")</f>
        <v/>
      </c>
      <c r="Q65" s="12"/>
      <c r="T65" s="15" t="str">
        <f>IF(Sheet2!F65="","",Sheet2!F65&amp;"''")</f>
        <v/>
      </c>
      <c r="U65" s="12"/>
      <c r="X65" s="15" t="str">
        <f>IF(Sheet2!G65="","",Sheet2!G65&amp;"''")</f>
        <v/>
      </c>
      <c r="AA65" s="12"/>
    </row>
    <row r="66" spans="7:27" x14ac:dyDescent="0.25">
      <c r="G66" s="15" t="str">
        <f>IF(Sheet2!A66="","",Sheet2!A66)</f>
        <v/>
      </c>
      <c r="H66" s="18" t="str">
        <f>IF(Sheet2!O66="","",LEFT(Sheet2!O66, FIND(" ", Sheet2!O66)-1))</f>
        <v/>
      </c>
      <c r="I66" s="15" t="str">
        <f>IF(Sheet2!S66&lt;19,ROUND(Sheet2!I66,2)&amp;"'",IF(Sheet2!S66&lt;25,ROUND(Sheet2!J66,2)&amp;"'",IF(Sheet2!S66&lt;31,ROUND(Sheet2!K66,2)&amp;"'",IF(Sheet2!S66&lt;37,ROUND(Sheet2!L66,2)&amp;"'",""))))</f>
        <v/>
      </c>
      <c r="J66" s="13"/>
      <c r="K66" s="12"/>
      <c r="L66" s="15" t="str">
        <f>IF(Sheet2!D66="","",Sheet2!D66&amp;"''")</f>
        <v/>
      </c>
      <c r="M66" s="12"/>
      <c r="N66" s="19"/>
      <c r="O66" s="16" t="str">
        <f>IF(Sheet2!H66="","",ROUND(Sheet2!H66,2)&amp;"'")</f>
        <v/>
      </c>
      <c r="P66" s="18" t="str">
        <f>IF(Sheet2!E66="","",Sheet2!E66&amp;"''")</f>
        <v/>
      </c>
      <c r="Q66" s="12"/>
      <c r="T66" s="15" t="str">
        <f>IF(Sheet2!F66="","",Sheet2!F66&amp;"''")</f>
        <v/>
      </c>
      <c r="U66" s="12"/>
      <c r="X66" s="15" t="str">
        <f>IF(Sheet2!G66="","",Sheet2!G66&amp;"''")</f>
        <v/>
      </c>
      <c r="AA66" s="12"/>
    </row>
    <row r="67" spans="7:27" x14ac:dyDescent="0.25">
      <c r="G67" s="15" t="str">
        <f>IF(Sheet2!A67="","",Sheet2!A67)</f>
        <v/>
      </c>
      <c r="H67" s="18" t="str">
        <f>IF(Sheet2!O67="","",LEFT(Sheet2!O67, FIND(" ", Sheet2!O67)-1))</f>
        <v/>
      </c>
      <c r="I67" s="15" t="str">
        <f>IF(Sheet2!S67&lt;19,ROUND(Sheet2!I67,2)&amp;"'",IF(Sheet2!S67&lt;25,ROUND(Sheet2!J67,2)&amp;"'",IF(Sheet2!S67&lt;31,ROUND(Sheet2!K67,2)&amp;"'",IF(Sheet2!S67&lt;37,ROUND(Sheet2!L67,2)&amp;"'",""))))</f>
        <v/>
      </c>
      <c r="J67" s="13"/>
      <c r="K67" s="12"/>
      <c r="L67" s="15" t="str">
        <f>IF(Sheet2!D67="","",Sheet2!D67&amp;"''")</f>
        <v/>
      </c>
      <c r="M67" s="12"/>
      <c r="N67" s="19"/>
      <c r="O67" s="16" t="str">
        <f>IF(Sheet2!H67="","",ROUND(Sheet2!H67,2)&amp;"'")</f>
        <v/>
      </c>
      <c r="P67" s="18" t="str">
        <f>IF(Sheet2!E67="","",Sheet2!E67&amp;"''")</f>
        <v/>
      </c>
      <c r="Q67" s="12"/>
      <c r="T67" s="15" t="str">
        <f>IF(Sheet2!F67="","",Sheet2!F67&amp;"''")</f>
        <v/>
      </c>
      <c r="U67" s="12"/>
      <c r="X67" s="15" t="str">
        <f>IF(Sheet2!G67="","",Sheet2!G67&amp;"''")</f>
        <v/>
      </c>
      <c r="AA67" s="12"/>
    </row>
    <row r="68" spans="7:27" x14ac:dyDescent="0.25">
      <c r="G68" s="15" t="str">
        <f>IF(Sheet2!A68="","",Sheet2!A68)</f>
        <v/>
      </c>
      <c r="H68" s="18" t="str">
        <f>IF(Sheet2!O68="","",LEFT(Sheet2!O68, FIND(" ", Sheet2!O68)-1))</f>
        <v/>
      </c>
      <c r="I68" s="15" t="str">
        <f>IF(Sheet2!S68&lt;19,ROUND(Sheet2!I68,2)&amp;"'",IF(Sheet2!S68&lt;25,ROUND(Sheet2!J68,2)&amp;"'",IF(Sheet2!S68&lt;31,ROUND(Sheet2!K68,2)&amp;"'",IF(Sheet2!S68&lt;37,ROUND(Sheet2!L68,2)&amp;"'",""))))</f>
        <v/>
      </c>
      <c r="J68" s="13"/>
      <c r="K68" s="12"/>
      <c r="L68" s="15" t="str">
        <f>IF(Sheet2!D68="","",Sheet2!D68&amp;"''")</f>
        <v/>
      </c>
      <c r="M68" s="12"/>
      <c r="N68" s="19"/>
      <c r="O68" s="16" t="str">
        <f>IF(Sheet2!H68="","",ROUND(Sheet2!H68,2)&amp;"'")</f>
        <v/>
      </c>
      <c r="P68" s="18" t="str">
        <f>IF(Sheet2!E68="","",Sheet2!E68&amp;"''")</f>
        <v/>
      </c>
      <c r="Q68" s="12"/>
      <c r="T68" s="15" t="str">
        <f>IF(Sheet2!F68="","",Sheet2!F68&amp;"''")</f>
        <v/>
      </c>
      <c r="U68" s="12"/>
      <c r="X68" s="15" t="str">
        <f>IF(Sheet2!G68="","",Sheet2!G68&amp;"''")</f>
        <v/>
      </c>
      <c r="AA68" s="12"/>
    </row>
    <row r="69" spans="7:27" x14ac:dyDescent="0.25">
      <c r="G69" s="15" t="str">
        <f>IF(Sheet2!A69="","",Sheet2!A69)</f>
        <v/>
      </c>
      <c r="H69" s="18" t="str">
        <f>IF(Sheet2!O69="","",LEFT(Sheet2!O69, FIND(" ", Sheet2!O69)-1))</f>
        <v/>
      </c>
      <c r="I69" s="15" t="str">
        <f>IF(Sheet2!S69&lt;19,ROUND(Sheet2!I69,2)&amp;"'",IF(Sheet2!S69&lt;25,ROUND(Sheet2!J69,2)&amp;"'",IF(Sheet2!S69&lt;31,ROUND(Sheet2!K69,2)&amp;"'",IF(Sheet2!S69&lt;37,ROUND(Sheet2!L69,2)&amp;"'",""))))</f>
        <v/>
      </c>
      <c r="J69" s="13"/>
      <c r="K69" s="12"/>
      <c r="L69" s="15" t="str">
        <f>IF(Sheet2!D69="","",Sheet2!D69&amp;"''")</f>
        <v/>
      </c>
      <c r="M69" s="12"/>
      <c r="N69" s="19"/>
      <c r="O69" s="16" t="str">
        <f>IF(Sheet2!H69="","",ROUND(Sheet2!H69,2)&amp;"'")</f>
        <v/>
      </c>
      <c r="P69" s="18" t="str">
        <f>IF(Sheet2!E69="","",Sheet2!E69&amp;"''")</f>
        <v/>
      </c>
      <c r="Q69" s="12"/>
      <c r="T69" s="15" t="str">
        <f>IF(Sheet2!F69="","",Sheet2!F69&amp;"''")</f>
        <v/>
      </c>
      <c r="U69" s="12"/>
      <c r="X69" s="15" t="str">
        <f>IF(Sheet2!G69="","",Sheet2!G69&amp;"''")</f>
        <v/>
      </c>
      <c r="AA69" s="12"/>
    </row>
    <row r="70" spans="7:27" x14ac:dyDescent="0.25">
      <c r="G70" s="15" t="str">
        <f>IF(Sheet2!A70="","",Sheet2!A70)</f>
        <v/>
      </c>
      <c r="H70" s="18" t="str">
        <f>IF(Sheet2!O70="","",LEFT(Sheet2!O70, FIND(" ", Sheet2!O70)-1))</f>
        <v/>
      </c>
      <c r="I70" s="15" t="str">
        <f>IF(Sheet2!S70&lt;19,ROUND(Sheet2!I70,2)&amp;"'",IF(Sheet2!S70&lt;25,ROUND(Sheet2!J70,2)&amp;"'",IF(Sheet2!S70&lt;31,ROUND(Sheet2!K70,2)&amp;"'",IF(Sheet2!S70&lt;37,ROUND(Sheet2!L70,2)&amp;"'",""))))</f>
        <v/>
      </c>
      <c r="J70" s="13"/>
      <c r="K70" s="12"/>
      <c r="L70" s="15" t="str">
        <f>IF(Sheet2!D70="","",Sheet2!D70&amp;"''")</f>
        <v/>
      </c>
      <c r="N70" s="19"/>
      <c r="O70" s="16" t="str">
        <f>IF(Sheet2!H70="","",ROUND(Sheet2!H70,2)&amp;"'")</f>
        <v/>
      </c>
      <c r="P70" s="18" t="str">
        <f>IF(Sheet2!E70="","",Sheet2!E70&amp;"''")</f>
        <v/>
      </c>
      <c r="Q70" s="12"/>
      <c r="T70" s="15" t="str">
        <f>IF(Sheet2!F70="","",Sheet2!F70&amp;"''")</f>
        <v/>
      </c>
      <c r="U70" s="12"/>
      <c r="X70" s="15" t="str">
        <f>IF(Sheet2!G70="","",Sheet2!G70&amp;"''")</f>
        <v/>
      </c>
      <c r="AA70" s="12"/>
    </row>
    <row r="71" spans="7:27" x14ac:dyDescent="0.25">
      <c r="G71" s="15" t="str">
        <f>IF(Sheet2!A71="","",Sheet2!A71)</f>
        <v/>
      </c>
      <c r="H71" s="18" t="str">
        <f>IF(Sheet2!O71="","",LEFT(Sheet2!O71, FIND(" ", Sheet2!O71)-1))</f>
        <v/>
      </c>
      <c r="I71" s="15" t="str">
        <f>IF(Sheet2!S71&lt;19,ROUND(Sheet2!I71,2)&amp;"'",IF(Sheet2!S71&lt;25,ROUND(Sheet2!J71,2)&amp;"'",IF(Sheet2!S71&lt;31,ROUND(Sheet2!K71,2)&amp;"'",IF(Sheet2!S71&lt;37,ROUND(Sheet2!L71,2)&amp;"'",""))))</f>
        <v/>
      </c>
      <c r="J71" s="13"/>
      <c r="K71" s="12"/>
      <c r="L71" s="15" t="str">
        <f>IF(Sheet2!D71="","",Sheet2!D71&amp;"''")</f>
        <v/>
      </c>
      <c r="M71" s="12"/>
      <c r="N71" s="19"/>
      <c r="O71" s="16" t="str">
        <f>IF(Sheet2!H71="","",ROUND(Sheet2!H71,2)&amp;"'")</f>
        <v/>
      </c>
      <c r="P71" s="18" t="str">
        <f>IF(Sheet2!E71="","",Sheet2!E71&amp;"''")</f>
        <v/>
      </c>
      <c r="Q71" s="12"/>
      <c r="T71" s="15" t="str">
        <f>IF(Sheet2!F71="","",Sheet2!F71&amp;"''")</f>
        <v/>
      </c>
      <c r="U71" s="12"/>
      <c r="X71" s="15" t="str">
        <f>IF(Sheet2!G71="","",Sheet2!G71&amp;"''")</f>
        <v/>
      </c>
      <c r="AA71" s="12"/>
    </row>
    <row r="72" spans="7:27" x14ac:dyDescent="0.25">
      <c r="G72" s="15" t="str">
        <f>IF(Sheet2!A72="","",Sheet2!A72)</f>
        <v/>
      </c>
      <c r="H72" s="18" t="str">
        <f>IF(Sheet2!O72="","",LEFT(Sheet2!O72, FIND(" ", Sheet2!O72)-1))</f>
        <v/>
      </c>
      <c r="I72" s="15" t="str">
        <f>IF(Sheet2!S72&lt;19,ROUND(Sheet2!I72,2)&amp;"'",IF(Sheet2!S72&lt;25,ROUND(Sheet2!J72,2)&amp;"'",IF(Sheet2!S72&lt;31,ROUND(Sheet2!K72,2)&amp;"'",IF(Sheet2!S72&lt;37,ROUND(Sheet2!L72,2)&amp;"'",""))))</f>
        <v/>
      </c>
      <c r="J72" s="13"/>
      <c r="K72" s="12"/>
      <c r="L72" s="15" t="str">
        <f>IF(Sheet2!D72="","",Sheet2!D72&amp;"''")</f>
        <v/>
      </c>
      <c r="M72" s="12"/>
      <c r="N72" s="19"/>
      <c r="O72" s="16" t="str">
        <f>IF(Sheet2!H72="","",ROUND(Sheet2!H72,2)&amp;"'")</f>
        <v/>
      </c>
      <c r="P72" s="18" t="str">
        <f>IF(Sheet2!E72="","",Sheet2!E72&amp;"''")</f>
        <v/>
      </c>
      <c r="Q72" s="12"/>
      <c r="T72" s="15" t="str">
        <f>IF(Sheet2!F72="","",Sheet2!F72&amp;"''")</f>
        <v/>
      </c>
      <c r="U72" s="12"/>
      <c r="X72" s="15" t="str">
        <f>IF(Sheet2!G72="","",Sheet2!G72&amp;"''")</f>
        <v/>
      </c>
      <c r="AA72" s="12"/>
    </row>
    <row r="73" spans="7:27" x14ac:dyDescent="0.25">
      <c r="G73" s="15" t="str">
        <f>IF(Sheet2!A73="","",Sheet2!A73)</f>
        <v/>
      </c>
      <c r="H73" s="18" t="str">
        <f>IF(Sheet2!O73="","",LEFT(Sheet2!O73, FIND(" ", Sheet2!O73)-1))</f>
        <v/>
      </c>
      <c r="I73" s="15" t="str">
        <f>IF(Sheet2!S73&lt;19,ROUND(Sheet2!I73,2)&amp;"'",IF(Sheet2!S73&lt;25,ROUND(Sheet2!J73,2)&amp;"'",IF(Sheet2!S73&lt;31,ROUND(Sheet2!K73,2)&amp;"'",IF(Sheet2!S73&lt;37,ROUND(Sheet2!L73,2)&amp;"'",""))))</f>
        <v/>
      </c>
      <c r="J73" s="13"/>
      <c r="K73" s="12"/>
      <c r="L73" s="15" t="str">
        <f>IF(Sheet2!D73="","",Sheet2!D73&amp;"''")</f>
        <v/>
      </c>
      <c r="M73" s="12"/>
      <c r="N73" s="19"/>
      <c r="O73" s="16" t="str">
        <f>IF(Sheet2!H73="","",ROUND(Sheet2!H73,2)&amp;"'")</f>
        <v/>
      </c>
      <c r="P73" s="18" t="str">
        <f>IF(Sheet2!E73="","",Sheet2!E73&amp;"''")</f>
        <v/>
      </c>
      <c r="Q73" s="12"/>
      <c r="T73" s="15" t="str">
        <f>IF(Sheet2!F73="","",Sheet2!F73&amp;"''")</f>
        <v/>
      </c>
      <c r="U73" s="12"/>
      <c r="X73" s="15" t="str">
        <f>IF(Sheet2!G73="","",Sheet2!G73&amp;"''")</f>
        <v/>
      </c>
      <c r="AA73" s="12"/>
    </row>
    <row r="74" spans="7:27" x14ac:dyDescent="0.25">
      <c r="G74" s="15" t="str">
        <f>IF(Sheet2!A74="","",Sheet2!A74)</f>
        <v/>
      </c>
      <c r="H74" s="18" t="str">
        <f>IF(Sheet2!O74="","",LEFT(Sheet2!O74, FIND(" ", Sheet2!O74)-1))</f>
        <v/>
      </c>
      <c r="I74" s="15" t="str">
        <f>IF(Sheet2!S74&lt;19,ROUND(Sheet2!I74,2)&amp;"'",IF(Sheet2!S74&lt;25,ROUND(Sheet2!J74,2)&amp;"'",IF(Sheet2!S74&lt;31,ROUND(Sheet2!K74,2)&amp;"'",IF(Sheet2!S74&lt;37,ROUND(Sheet2!L74,2)&amp;"'",""))))</f>
        <v/>
      </c>
      <c r="J74" s="13"/>
      <c r="K74" s="12"/>
      <c r="L74" s="15" t="str">
        <f>IF(Sheet2!D74="","",Sheet2!D74&amp;"''")</f>
        <v/>
      </c>
      <c r="M74" s="12"/>
      <c r="N74" s="19"/>
      <c r="O74" s="16" t="str">
        <f>IF(Sheet2!H74="","",ROUND(Sheet2!H74,2)&amp;"'")</f>
        <v/>
      </c>
      <c r="P74" s="18" t="str">
        <f>IF(Sheet2!E74="","",Sheet2!E74&amp;"''")</f>
        <v/>
      </c>
      <c r="Q74" s="12"/>
      <c r="T74" s="15" t="str">
        <f>IF(Sheet2!F74="","",Sheet2!F74&amp;"''")</f>
        <v/>
      </c>
      <c r="U74" s="12"/>
      <c r="X74" s="15" t="str">
        <f>IF(Sheet2!G74="","",Sheet2!G74&amp;"''")</f>
        <v/>
      </c>
      <c r="AA74" s="12"/>
    </row>
    <row r="75" spans="7:27" x14ac:dyDescent="0.25">
      <c r="G75" s="15" t="str">
        <f>IF(Sheet2!A75="","",Sheet2!A75)</f>
        <v/>
      </c>
      <c r="H75" s="18" t="str">
        <f>IF(Sheet2!O75="","",LEFT(Sheet2!O75, FIND(" ", Sheet2!O75)-1))</f>
        <v/>
      </c>
      <c r="I75" s="15" t="str">
        <f>IF(Sheet2!S75&lt;19,ROUND(Sheet2!I75,2)&amp;"'",IF(Sheet2!S75&lt;25,ROUND(Sheet2!J75,2)&amp;"'",IF(Sheet2!S75&lt;31,ROUND(Sheet2!K75,2)&amp;"'",IF(Sheet2!S75&lt;37,ROUND(Sheet2!L75,2)&amp;"'",""))))</f>
        <v/>
      </c>
      <c r="J75" s="13"/>
      <c r="K75" s="12"/>
      <c r="L75" s="15" t="str">
        <f>IF(Sheet2!D75="","",Sheet2!D75&amp;"''")</f>
        <v/>
      </c>
      <c r="M75" s="12"/>
      <c r="N75" s="19"/>
      <c r="O75" s="16" t="str">
        <f>IF(Sheet2!H75="","",ROUND(Sheet2!H75,2)&amp;"'")</f>
        <v/>
      </c>
      <c r="P75" s="18" t="str">
        <f>IF(Sheet2!E75="","",Sheet2!E75&amp;"''")</f>
        <v/>
      </c>
      <c r="Q75" s="12"/>
      <c r="T75" s="15" t="str">
        <f>IF(Sheet2!F75="","",Sheet2!F75&amp;"''")</f>
        <v/>
      </c>
      <c r="U75" s="12"/>
      <c r="X75" s="15" t="str">
        <f>IF(Sheet2!G75="","",Sheet2!G75&amp;"''")</f>
        <v/>
      </c>
      <c r="AA75" s="12"/>
    </row>
    <row r="76" spans="7:27" x14ac:dyDescent="0.25">
      <c r="G76" s="15" t="str">
        <f>IF(Sheet2!A76="","",Sheet2!A76)</f>
        <v/>
      </c>
      <c r="H76" s="18" t="str">
        <f>IF(Sheet2!O76="","",LEFT(Sheet2!O76, FIND(" ", Sheet2!O76)-1))</f>
        <v/>
      </c>
      <c r="I76" s="15" t="str">
        <f>IF(Sheet2!S76&lt;19,ROUND(Sheet2!I76,2)&amp;"'",IF(Sheet2!S76&lt;25,ROUND(Sheet2!J76,2)&amp;"'",IF(Sheet2!S76&lt;31,ROUND(Sheet2!K76,2)&amp;"'",IF(Sheet2!S76&lt;37,ROUND(Sheet2!L76,2)&amp;"'",""))))</f>
        <v/>
      </c>
      <c r="J76" s="13"/>
      <c r="K76" s="12"/>
      <c r="L76" s="15" t="str">
        <f>IF(Sheet2!D76="","",Sheet2!D76&amp;"''")</f>
        <v/>
      </c>
      <c r="M76" s="12"/>
      <c r="N76" s="19"/>
      <c r="O76" s="16" t="str">
        <f>IF(Sheet2!H76="","",ROUND(Sheet2!H76,2)&amp;"'")</f>
        <v/>
      </c>
      <c r="P76" s="18" t="str">
        <f>IF(Sheet2!E76="","",Sheet2!E76&amp;"''")</f>
        <v/>
      </c>
      <c r="Q76" s="12"/>
      <c r="T76" s="15" t="str">
        <f>IF(Sheet2!F76="","",Sheet2!F76&amp;"''")</f>
        <v/>
      </c>
      <c r="U76" s="12"/>
      <c r="X76" s="15" t="str">
        <f>IF(Sheet2!G76="","",Sheet2!G76&amp;"''")</f>
        <v/>
      </c>
      <c r="AA76" s="12"/>
    </row>
    <row r="77" spans="7:27" x14ac:dyDescent="0.25">
      <c r="G77" s="15" t="str">
        <f>IF(Sheet2!A77="","",Sheet2!A77)</f>
        <v/>
      </c>
      <c r="H77" s="18" t="str">
        <f>IF(Sheet2!O77="","",LEFT(Sheet2!O77, FIND(" ", Sheet2!O77)-1))</f>
        <v/>
      </c>
      <c r="I77" s="15" t="str">
        <f>IF(Sheet2!S77&lt;19,ROUND(Sheet2!I77,2)&amp;"'",IF(Sheet2!S77&lt;25,ROUND(Sheet2!J77,2)&amp;"'",IF(Sheet2!S77&lt;31,ROUND(Sheet2!K77,2)&amp;"'",IF(Sheet2!S77&lt;37,ROUND(Sheet2!L77,2)&amp;"'",""))))</f>
        <v/>
      </c>
      <c r="J77" s="13"/>
      <c r="K77" s="12"/>
      <c r="L77" s="15" t="str">
        <f>IF(Sheet2!D77="","",Sheet2!D77&amp;"''")</f>
        <v/>
      </c>
      <c r="M77" s="12"/>
      <c r="N77" s="19"/>
      <c r="O77" s="16" t="str">
        <f>IF(Sheet2!H77="","",ROUND(Sheet2!H77,2)&amp;"'")</f>
        <v/>
      </c>
      <c r="P77" s="18" t="str">
        <f>IF(Sheet2!E77="","",Sheet2!E77&amp;"''")</f>
        <v/>
      </c>
      <c r="Q77" s="12"/>
      <c r="T77" s="15" t="str">
        <f>IF(Sheet2!F77="","",Sheet2!F77&amp;"''")</f>
        <v/>
      </c>
      <c r="U77" s="12"/>
      <c r="X77" s="15" t="str">
        <f>IF(Sheet2!G77="","",Sheet2!G77&amp;"''")</f>
        <v/>
      </c>
      <c r="AA77" s="12"/>
    </row>
    <row r="78" spans="7:27" x14ac:dyDescent="0.25">
      <c r="G78" s="15" t="str">
        <f>IF(Sheet2!A78="","",Sheet2!A78)</f>
        <v/>
      </c>
      <c r="H78" s="18" t="str">
        <f>IF(Sheet2!O78="","",LEFT(Sheet2!O78, FIND(" ", Sheet2!O78)-1))</f>
        <v/>
      </c>
      <c r="I78" s="15" t="str">
        <f>IF(Sheet2!S78&lt;19,ROUND(Sheet2!I78,2)&amp;"'",IF(Sheet2!S78&lt;25,ROUND(Sheet2!J78,2)&amp;"'",IF(Sheet2!S78&lt;31,ROUND(Sheet2!K78,2)&amp;"'",IF(Sheet2!S78&lt;37,ROUND(Sheet2!L78,2)&amp;"'",""))))</f>
        <v/>
      </c>
      <c r="J78" s="13"/>
      <c r="K78" s="12"/>
      <c r="L78" s="15" t="str">
        <f>IF(Sheet2!D78="","",Sheet2!D78&amp;"''")</f>
        <v/>
      </c>
      <c r="M78" s="12"/>
      <c r="N78" s="19"/>
      <c r="O78" s="16" t="str">
        <f>IF(Sheet2!H78="","",ROUND(Sheet2!H78,2)&amp;"'")</f>
        <v/>
      </c>
      <c r="P78" s="18" t="str">
        <f>IF(Sheet2!E78="","",Sheet2!E78&amp;"''")</f>
        <v/>
      </c>
      <c r="Q78" s="12"/>
      <c r="T78" s="15" t="str">
        <f>IF(Sheet2!F78="","",Sheet2!F78&amp;"''")</f>
        <v/>
      </c>
      <c r="U78" s="12"/>
      <c r="X78" s="15" t="str">
        <f>IF(Sheet2!G78="","",Sheet2!G78&amp;"''")</f>
        <v/>
      </c>
      <c r="AA78" s="12"/>
    </row>
    <row r="79" spans="7:27" x14ac:dyDescent="0.25">
      <c r="G79" s="15" t="str">
        <f>IF(Sheet2!A79="","",Sheet2!A79)</f>
        <v/>
      </c>
      <c r="H79" s="18" t="str">
        <f>IF(Sheet2!O79="","",LEFT(Sheet2!O79, FIND(" ", Sheet2!O79)-1))</f>
        <v/>
      </c>
      <c r="I79" s="15" t="str">
        <f>IF(Sheet2!S79&lt;19,ROUND(Sheet2!I79,2)&amp;"'",IF(Sheet2!S79&lt;25,ROUND(Sheet2!J79,2)&amp;"'",IF(Sheet2!S79&lt;31,ROUND(Sheet2!K79,2)&amp;"'",IF(Sheet2!S79&lt;37,ROUND(Sheet2!L79,2)&amp;"'",""))))</f>
        <v/>
      </c>
      <c r="J79" s="13"/>
      <c r="K79" s="12"/>
      <c r="L79" s="15" t="str">
        <f>IF(Sheet2!D79="","",Sheet2!D79&amp;"''")</f>
        <v/>
      </c>
      <c r="M79" s="12"/>
      <c r="N79" s="19"/>
      <c r="O79" s="16" t="str">
        <f>IF(Sheet2!H79="","",ROUND(Sheet2!H79,2)&amp;"'")</f>
        <v/>
      </c>
      <c r="P79" s="18" t="str">
        <f>IF(Sheet2!E79="","",Sheet2!E79&amp;"''")</f>
        <v/>
      </c>
      <c r="Q79" s="12"/>
      <c r="T79" s="15" t="str">
        <f>IF(Sheet2!F79="","",Sheet2!F79&amp;"''")</f>
        <v/>
      </c>
      <c r="U79" s="12"/>
      <c r="X79" s="15" t="str">
        <f>IF(Sheet2!G79="","",Sheet2!G79&amp;"''")</f>
        <v/>
      </c>
      <c r="AA79" s="12"/>
    </row>
    <row r="80" spans="7:27" x14ac:dyDescent="0.25">
      <c r="G80" s="15" t="str">
        <f>IF(Sheet2!A80="","",Sheet2!A80)</f>
        <v/>
      </c>
      <c r="H80" s="18" t="str">
        <f>IF(Sheet2!O80="","",LEFT(Sheet2!O80, FIND(" ", Sheet2!O80)-1))</f>
        <v/>
      </c>
      <c r="I80" s="15" t="str">
        <f>IF(Sheet2!S80&lt;19,ROUND(Sheet2!I80,2)&amp;"'",IF(Sheet2!S80&lt;25,ROUND(Sheet2!J80,2)&amp;"'",IF(Sheet2!S80&lt;31,ROUND(Sheet2!K80,2)&amp;"'",IF(Sheet2!S80&lt;37,ROUND(Sheet2!L80,2)&amp;"'",""))))</f>
        <v/>
      </c>
      <c r="J80" s="13"/>
      <c r="K80" s="12"/>
      <c r="L80" s="15" t="str">
        <f>IF(Sheet2!D80="","",Sheet2!D80&amp;"''")</f>
        <v/>
      </c>
      <c r="M80" s="12"/>
      <c r="N80" s="19"/>
      <c r="O80" s="16" t="str">
        <f>IF(Sheet2!H80="","",ROUND(Sheet2!H80,2)&amp;"'")</f>
        <v/>
      </c>
      <c r="P80" s="18" t="str">
        <f>IF(Sheet2!E80="","",Sheet2!E80&amp;"''")</f>
        <v/>
      </c>
      <c r="Q80" s="12"/>
      <c r="T80" s="15" t="str">
        <f>IF(Sheet2!F80="","",Sheet2!F80&amp;"''")</f>
        <v/>
      </c>
      <c r="U80" s="12"/>
      <c r="X80" s="15" t="str">
        <f>IF(Sheet2!G80="","",Sheet2!G80&amp;"''")</f>
        <v/>
      </c>
      <c r="AA80" s="12"/>
    </row>
    <row r="81" spans="7:27" x14ac:dyDescent="0.25">
      <c r="G81" s="15" t="str">
        <f>IF(Sheet2!A81="","",Sheet2!A81)</f>
        <v/>
      </c>
      <c r="H81" s="18" t="str">
        <f>IF(Sheet2!O81="","",LEFT(Sheet2!O81, FIND(" ", Sheet2!O81)-1))</f>
        <v/>
      </c>
      <c r="I81" s="15" t="str">
        <f>IF(Sheet2!S81&lt;19,ROUND(Sheet2!I81,2)&amp;"'",IF(Sheet2!S81&lt;25,ROUND(Sheet2!J81,2)&amp;"'",IF(Sheet2!S81&lt;31,ROUND(Sheet2!K81,2)&amp;"'",IF(Sheet2!S81&lt;37,ROUND(Sheet2!L81,2)&amp;"'",""))))</f>
        <v/>
      </c>
      <c r="J81" s="13"/>
      <c r="K81" s="12"/>
      <c r="L81" s="15" t="str">
        <f>IF(Sheet2!D81="","",Sheet2!D81&amp;"''")</f>
        <v/>
      </c>
      <c r="M81" s="12"/>
      <c r="N81" s="19"/>
      <c r="O81" s="16" t="str">
        <f>IF(Sheet2!H81="","",ROUND(Sheet2!H81,2)&amp;"'")</f>
        <v/>
      </c>
      <c r="P81" s="18" t="str">
        <f>IF(Sheet2!E81="","",Sheet2!E81&amp;"''")</f>
        <v/>
      </c>
      <c r="Q81" s="12"/>
      <c r="T81" s="15" t="str">
        <f>IF(Sheet2!F81="","",Sheet2!F81&amp;"''")</f>
        <v/>
      </c>
      <c r="U81" s="12"/>
      <c r="X81" s="15" t="str">
        <f>IF(Sheet2!G81="","",Sheet2!G81&amp;"''")</f>
        <v/>
      </c>
      <c r="AA81" s="12"/>
    </row>
    <row r="82" spans="7:27" x14ac:dyDescent="0.25">
      <c r="G82" s="15" t="str">
        <f>IF(Sheet2!A82="","",Sheet2!A82)</f>
        <v/>
      </c>
      <c r="H82" s="18" t="str">
        <f>IF(Sheet2!O82="","",LEFT(Sheet2!O82, FIND(" ", Sheet2!O82)-1))</f>
        <v/>
      </c>
      <c r="I82" s="15" t="str">
        <f>IF(Sheet2!S82&lt;19,ROUND(Sheet2!I82,2)&amp;"'",IF(Sheet2!S82&lt;25,ROUND(Sheet2!J82,2)&amp;"'",IF(Sheet2!S82&lt;31,ROUND(Sheet2!K82,2)&amp;"'",IF(Sheet2!S82&lt;37,ROUND(Sheet2!L82,2)&amp;"'",""))))</f>
        <v/>
      </c>
      <c r="J82" s="13"/>
      <c r="K82" s="12"/>
      <c r="L82" s="15" t="str">
        <f>IF(Sheet2!D82="","",Sheet2!D82&amp;"''")</f>
        <v/>
      </c>
      <c r="M82" s="12"/>
      <c r="N82" s="19"/>
      <c r="O82" s="16" t="str">
        <f>IF(Sheet2!H82="","",ROUND(Sheet2!H82,2)&amp;"'")</f>
        <v/>
      </c>
      <c r="P82" s="18" t="str">
        <f>IF(Sheet2!E82="","",Sheet2!E82&amp;"''")</f>
        <v/>
      </c>
      <c r="Q82" s="12"/>
      <c r="T82" s="15" t="str">
        <f>IF(Sheet2!F82="","",Sheet2!F82&amp;"''")</f>
        <v/>
      </c>
      <c r="U82" s="12"/>
      <c r="X82" s="15" t="str">
        <f>IF(Sheet2!G82="","",Sheet2!G82&amp;"''")</f>
        <v/>
      </c>
      <c r="AA82" s="12"/>
    </row>
    <row r="83" spans="7:27" x14ac:dyDescent="0.25">
      <c r="G83" s="15" t="str">
        <f>IF(Sheet2!A83="","",Sheet2!A83)</f>
        <v/>
      </c>
      <c r="H83" s="18" t="str">
        <f>IF(Sheet2!O83="","",LEFT(Sheet2!O83, FIND(" ", Sheet2!O83)-1))</f>
        <v/>
      </c>
      <c r="I83" s="15" t="str">
        <f>IF(Sheet2!S83&lt;19,ROUND(Sheet2!I83,2)&amp;"'",IF(Sheet2!S83&lt;25,ROUND(Sheet2!J83,2)&amp;"'",IF(Sheet2!S83&lt;31,ROUND(Sheet2!K83,2)&amp;"'",IF(Sheet2!S83&lt;37,ROUND(Sheet2!L83,2)&amp;"'",""))))</f>
        <v/>
      </c>
      <c r="J83" s="13"/>
      <c r="K83" s="12"/>
      <c r="L83" s="15" t="str">
        <f>IF(Sheet2!D83="","",Sheet2!D83&amp;"''")</f>
        <v/>
      </c>
      <c r="M83" s="12"/>
      <c r="N83" s="19"/>
      <c r="O83" s="16" t="str">
        <f>IF(Sheet2!H83="","",ROUND(Sheet2!H83,2)&amp;"'")</f>
        <v/>
      </c>
      <c r="P83" s="18" t="str">
        <f>IF(Sheet2!E83="","",Sheet2!E83&amp;"''")</f>
        <v/>
      </c>
      <c r="Q83" s="12"/>
      <c r="T83" s="15" t="str">
        <f>IF(Sheet2!F83="","",Sheet2!F83&amp;"''")</f>
        <v/>
      </c>
      <c r="U83" s="12"/>
      <c r="X83" s="15" t="str">
        <f>IF(Sheet2!G83="","",Sheet2!G83&amp;"''")</f>
        <v/>
      </c>
      <c r="AA83" s="12"/>
    </row>
    <row r="84" spans="7:27" x14ac:dyDescent="0.25">
      <c r="G84" s="15" t="str">
        <f>IF(Sheet2!A84="","",Sheet2!A84)</f>
        <v/>
      </c>
      <c r="H84" s="18" t="str">
        <f>IF(Sheet2!O84="","",LEFT(Sheet2!O84, FIND(" ", Sheet2!O84)-1))</f>
        <v/>
      </c>
      <c r="I84" s="15" t="str">
        <f>IF(Sheet2!S84&lt;19,ROUND(Sheet2!I84,2)&amp;"'",IF(Sheet2!S84&lt;25,ROUND(Sheet2!J84,2)&amp;"'",IF(Sheet2!S84&lt;31,ROUND(Sheet2!K84,2)&amp;"'",IF(Sheet2!S84&lt;37,ROUND(Sheet2!L84,2)&amp;"'",""))))</f>
        <v/>
      </c>
      <c r="J84" s="13"/>
      <c r="K84" s="12"/>
      <c r="L84" s="15" t="str">
        <f>IF(Sheet2!D84="","",Sheet2!D84&amp;"''")</f>
        <v/>
      </c>
      <c r="M84" s="12"/>
      <c r="N84" s="19"/>
      <c r="O84" s="16" t="str">
        <f>IF(Sheet2!H84="","",ROUND(Sheet2!H84,2)&amp;"'")</f>
        <v/>
      </c>
      <c r="P84" s="18" t="str">
        <f>IF(Sheet2!E84="","",Sheet2!E84&amp;"''")</f>
        <v/>
      </c>
      <c r="Q84" s="12"/>
      <c r="T84" s="15" t="str">
        <f>IF(Sheet2!F84="","",Sheet2!F84&amp;"''")</f>
        <v/>
      </c>
      <c r="U84" s="12"/>
      <c r="X84" s="15" t="str">
        <f>IF(Sheet2!G84="","",Sheet2!G84&amp;"''")</f>
        <v/>
      </c>
      <c r="AA84" s="12"/>
    </row>
    <row r="85" spans="7:27" x14ac:dyDescent="0.25">
      <c r="G85" s="15" t="str">
        <f>IF(Sheet2!A85="","",Sheet2!A85)</f>
        <v/>
      </c>
      <c r="H85" s="18" t="str">
        <f>IF(Sheet2!O85="","",LEFT(Sheet2!O85, FIND(" ", Sheet2!O85)-1))</f>
        <v/>
      </c>
      <c r="I85" s="15" t="str">
        <f>IF(Sheet2!S85&lt;19,ROUND(Sheet2!I85,2)&amp;"'",IF(Sheet2!S85&lt;25,ROUND(Sheet2!J85,2)&amp;"'",IF(Sheet2!S85&lt;31,ROUND(Sheet2!K85,2)&amp;"'",IF(Sheet2!S85&lt;37,ROUND(Sheet2!L85,2)&amp;"'",""))))</f>
        <v/>
      </c>
      <c r="J85" s="13"/>
      <c r="K85" s="12"/>
      <c r="L85" s="15" t="str">
        <f>IF(Sheet2!D85="","",Sheet2!D85&amp;"''")</f>
        <v/>
      </c>
      <c r="M85" s="12"/>
      <c r="N85" s="19"/>
      <c r="O85" s="16" t="str">
        <f>IF(Sheet2!H85="","",ROUND(Sheet2!H85,2)&amp;"'")</f>
        <v/>
      </c>
      <c r="P85" s="18" t="str">
        <f>IF(Sheet2!E85="","",Sheet2!E85&amp;"''")</f>
        <v/>
      </c>
      <c r="Q85" s="12"/>
      <c r="T85" s="15" t="str">
        <f>IF(Sheet2!F85="","",Sheet2!F85&amp;"''")</f>
        <v/>
      </c>
      <c r="U85" s="12"/>
      <c r="X85" s="15" t="str">
        <f>IF(Sheet2!G85="","",Sheet2!G85&amp;"''")</f>
        <v/>
      </c>
      <c r="AA85" s="12"/>
    </row>
    <row r="86" spans="7:27" x14ac:dyDescent="0.25">
      <c r="G86" s="15" t="str">
        <f>IF(Sheet2!A86="","",Sheet2!A86)</f>
        <v/>
      </c>
      <c r="H86" s="18" t="str">
        <f>IF(Sheet2!O86="","",LEFT(Sheet2!O86, FIND(" ", Sheet2!O86)-1))</f>
        <v/>
      </c>
      <c r="I86" s="15" t="str">
        <f>IF(Sheet2!S86&lt;19,ROUND(Sheet2!I86,2)&amp;"'",IF(Sheet2!S86&lt;25,ROUND(Sheet2!J86,2)&amp;"'",IF(Sheet2!S86&lt;31,ROUND(Sheet2!K86,2)&amp;"'",IF(Sheet2!S86&lt;37,ROUND(Sheet2!L86,2)&amp;"'",""))))</f>
        <v/>
      </c>
      <c r="J86" s="13"/>
      <c r="K86" s="12"/>
      <c r="L86" s="15" t="str">
        <f>IF(Sheet2!D86="","",Sheet2!D86&amp;"''")</f>
        <v/>
      </c>
      <c r="M86" s="12"/>
      <c r="N86" s="19"/>
      <c r="O86" s="16" t="str">
        <f>IF(Sheet2!H86="","",ROUND(Sheet2!H86,2)&amp;"'")</f>
        <v/>
      </c>
      <c r="P86" s="18" t="str">
        <f>IF(Sheet2!E86="","",Sheet2!E86&amp;"''")</f>
        <v/>
      </c>
      <c r="Q86" s="12"/>
      <c r="T86" s="15" t="str">
        <f>IF(Sheet2!F86="","",Sheet2!F86&amp;"''")</f>
        <v/>
      </c>
      <c r="U86" s="12"/>
      <c r="X86" s="15" t="str">
        <f>IF(Sheet2!G86="","",Sheet2!G86&amp;"''")</f>
        <v/>
      </c>
      <c r="AA86" s="12"/>
    </row>
    <row r="87" spans="7:27" x14ac:dyDescent="0.25">
      <c r="G87" s="15" t="str">
        <f>IF(Sheet2!A87="","",Sheet2!A87)</f>
        <v/>
      </c>
      <c r="H87" s="18" t="str">
        <f>IF(Sheet2!O87="","",LEFT(Sheet2!O87, FIND(" ", Sheet2!O87)-1))</f>
        <v/>
      </c>
      <c r="I87" s="15" t="str">
        <f>IF(Sheet2!S87&lt;19,ROUND(Sheet2!I87,2)&amp;"'",IF(Sheet2!S87&lt;25,ROUND(Sheet2!J87,2)&amp;"'",IF(Sheet2!S87&lt;31,ROUND(Sheet2!K87,2)&amp;"'",IF(Sheet2!S87&lt;37,ROUND(Sheet2!L87,2)&amp;"'",""))))</f>
        <v/>
      </c>
      <c r="J87" s="13"/>
      <c r="K87" s="12"/>
      <c r="L87" s="15" t="str">
        <f>IF(Sheet2!D87="","",Sheet2!D87&amp;"''")</f>
        <v/>
      </c>
      <c r="M87" s="12"/>
      <c r="N87" s="19"/>
      <c r="O87" s="16" t="str">
        <f>IF(Sheet2!H87="","",ROUND(Sheet2!H87,2)&amp;"'")</f>
        <v/>
      </c>
      <c r="P87" s="18" t="str">
        <f>IF(Sheet2!E87="","",Sheet2!E87&amp;"''")</f>
        <v/>
      </c>
      <c r="Q87" s="12"/>
      <c r="T87" s="15" t="str">
        <f>IF(Sheet2!F87="","",Sheet2!F87&amp;"''")</f>
        <v/>
      </c>
      <c r="U87" s="12"/>
      <c r="X87" s="15" t="str">
        <f>IF(Sheet2!G87="","",Sheet2!G87&amp;"''")</f>
        <v/>
      </c>
      <c r="AA87" s="12"/>
    </row>
    <row r="88" spans="7:27" x14ac:dyDescent="0.25">
      <c r="G88" s="15" t="str">
        <f>IF(Sheet2!A88="","",Sheet2!A88)</f>
        <v/>
      </c>
      <c r="H88" s="18" t="str">
        <f>IF(Sheet2!O88="","",LEFT(Sheet2!O88, FIND(" ", Sheet2!O88)-1))</f>
        <v/>
      </c>
      <c r="I88" s="15" t="str">
        <f>IF(Sheet2!S88&lt;19,ROUND(Sheet2!I88,2)&amp;"'",IF(Sheet2!S88&lt;25,ROUND(Sheet2!J88,2)&amp;"'",IF(Sheet2!S88&lt;31,ROUND(Sheet2!K88,2)&amp;"'",IF(Sheet2!S88&lt;37,ROUND(Sheet2!L88,2)&amp;"'",""))))</f>
        <v/>
      </c>
      <c r="J88" s="13"/>
      <c r="K88" s="12"/>
      <c r="L88" s="15" t="str">
        <f>IF(Sheet2!D88="","",Sheet2!D88&amp;"''")</f>
        <v/>
      </c>
      <c r="M88" s="12"/>
      <c r="N88" s="19"/>
      <c r="O88" s="16" t="str">
        <f>IF(Sheet2!H88="","",ROUND(Sheet2!H88,2)&amp;"'")</f>
        <v/>
      </c>
      <c r="P88" s="18" t="str">
        <f>IF(Sheet2!E88="","",Sheet2!E88&amp;"''")</f>
        <v/>
      </c>
      <c r="Q88" s="12"/>
      <c r="T88" s="15" t="str">
        <f>IF(Sheet2!F88="","",Sheet2!F88&amp;"''")</f>
        <v/>
      </c>
      <c r="U88" s="12"/>
      <c r="X88" s="15" t="str">
        <f>IF(Sheet2!G88="","",Sheet2!G88&amp;"''")</f>
        <v/>
      </c>
      <c r="AA88" s="12"/>
    </row>
    <row r="89" spans="7:27" x14ac:dyDescent="0.25">
      <c r="G89" s="15" t="str">
        <f>IF(Sheet2!A89="","",Sheet2!A89)</f>
        <v/>
      </c>
      <c r="H89" s="18" t="str">
        <f>IF(Sheet2!O89="","",LEFT(Sheet2!O89, FIND(" ", Sheet2!O89)-1))</f>
        <v/>
      </c>
      <c r="I89" s="15" t="str">
        <f>IF(Sheet2!S89&lt;19,ROUND(Sheet2!I89,2)&amp;"'",IF(Sheet2!S89&lt;25,ROUND(Sheet2!J89,2)&amp;"'",IF(Sheet2!S89&lt;31,ROUND(Sheet2!K89,2)&amp;"'",IF(Sheet2!S89&lt;37,ROUND(Sheet2!L89,2)&amp;"'",""))))</f>
        <v/>
      </c>
      <c r="J89" s="13"/>
      <c r="K89" s="12"/>
      <c r="L89" s="15" t="str">
        <f>IF(Sheet2!D89="","",Sheet2!D89&amp;"''")</f>
        <v/>
      </c>
      <c r="M89" s="12"/>
      <c r="N89" s="19"/>
      <c r="O89" s="16" t="str">
        <f>IF(Sheet2!H89="","",ROUND(Sheet2!H89,2)&amp;"'")</f>
        <v/>
      </c>
      <c r="P89" s="18" t="str">
        <f>IF(Sheet2!E89="","",Sheet2!E89&amp;"''")</f>
        <v/>
      </c>
      <c r="Q89" s="12"/>
      <c r="T89" s="15" t="str">
        <f>IF(Sheet2!F89="","",Sheet2!F89&amp;"''")</f>
        <v/>
      </c>
      <c r="U89" s="12"/>
      <c r="X89" s="15" t="str">
        <f>IF(Sheet2!G89="","",Sheet2!G89&amp;"''")</f>
        <v/>
      </c>
      <c r="AA89" s="12"/>
    </row>
    <row r="90" spans="7:27" x14ac:dyDescent="0.25">
      <c r="G90" s="15" t="str">
        <f>IF(Sheet2!A90="","",Sheet2!A90)</f>
        <v/>
      </c>
      <c r="H90" s="18" t="str">
        <f>IF(Sheet2!O90="","",LEFT(Sheet2!O90, FIND(" ", Sheet2!O90)-1))</f>
        <v/>
      </c>
      <c r="I90" s="15" t="str">
        <f>IF(Sheet2!S90&lt;19,ROUND(Sheet2!I90,2)&amp;"'",IF(Sheet2!S90&lt;25,ROUND(Sheet2!J90,2)&amp;"'",IF(Sheet2!S90&lt;31,ROUND(Sheet2!K90,2)&amp;"'",IF(Sheet2!S90&lt;37,ROUND(Sheet2!L90,2)&amp;"'",""))))</f>
        <v/>
      </c>
      <c r="J90" s="13"/>
      <c r="K90" s="12"/>
      <c r="L90" s="15" t="str">
        <f>IF(Sheet2!D90="","",Sheet2!D90&amp;"''")</f>
        <v/>
      </c>
      <c r="M90" s="12"/>
      <c r="N90" s="19"/>
      <c r="O90" s="16" t="str">
        <f>IF(Sheet2!H90="","",ROUND(Sheet2!H90,2)&amp;"'")</f>
        <v/>
      </c>
      <c r="P90" s="18" t="str">
        <f>IF(Sheet2!E90="","",Sheet2!E90&amp;"''")</f>
        <v/>
      </c>
      <c r="Q90" s="12"/>
      <c r="T90" s="15" t="str">
        <f>IF(Sheet2!F90="","",Sheet2!F90&amp;"''")</f>
        <v/>
      </c>
      <c r="U90" s="12"/>
      <c r="X90" s="15" t="str">
        <f>IF(Sheet2!G90="","",Sheet2!G90&amp;"''")</f>
        <v/>
      </c>
      <c r="AA90" s="12"/>
    </row>
    <row r="91" spans="7:27" x14ac:dyDescent="0.25">
      <c r="G91" s="15" t="str">
        <f>IF(Sheet2!A91="","",Sheet2!A91)</f>
        <v/>
      </c>
      <c r="H91" s="18" t="str">
        <f>IF(Sheet2!O91="","",LEFT(Sheet2!O91, FIND(" ", Sheet2!O91)-1))</f>
        <v/>
      </c>
      <c r="I91" s="15" t="str">
        <f>IF(Sheet2!S91&lt;19,ROUND(Sheet2!I91,2)&amp;"'",IF(Sheet2!S91&lt;25,ROUND(Sheet2!J91,2)&amp;"'",IF(Sheet2!S91&lt;31,ROUND(Sheet2!K91,2)&amp;"'",IF(Sheet2!S91&lt;37,ROUND(Sheet2!L91,2)&amp;"'",""))))</f>
        <v/>
      </c>
      <c r="L91" s="15" t="str">
        <f>IF(Sheet2!D91="","",Sheet2!D91&amp;"''")</f>
        <v/>
      </c>
      <c r="N91" s="19"/>
      <c r="O91" s="16" t="str">
        <f>IF(Sheet2!H91="","",ROUND(Sheet2!H91,2)&amp;"'")</f>
        <v/>
      </c>
      <c r="P91" s="18" t="str">
        <f>IF(Sheet2!E91="","",Sheet2!E91&amp;"''")</f>
        <v/>
      </c>
      <c r="Q91" s="12"/>
      <c r="T91" s="15" t="str">
        <f>IF(Sheet2!F91="","",Sheet2!F91&amp;"''")</f>
        <v/>
      </c>
      <c r="U91" s="12"/>
      <c r="X91" s="15" t="str">
        <f>IF(Sheet2!G91="","",Sheet2!G91&amp;"''")</f>
        <v/>
      </c>
      <c r="AA91" s="12"/>
    </row>
    <row r="92" spans="7:27" x14ac:dyDescent="0.25">
      <c r="G92" s="15" t="str">
        <f>IF(Sheet2!A92="","",Sheet2!A92)</f>
        <v/>
      </c>
      <c r="H92" s="18" t="str">
        <f>IF(Sheet2!O92="","",LEFT(Sheet2!O92, FIND(" ", Sheet2!O92)-1))</f>
        <v/>
      </c>
      <c r="I92" s="15" t="str">
        <f>IF(Sheet2!S92&lt;19,ROUND(Sheet2!I92,2)&amp;"'",IF(Sheet2!S92&lt;25,ROUND(Sheet2!J92,2)&amp;"'",IF(Sheet2!S92&lt;31,ROUND(Sheet2!K92,2)&amp;"'",IF(Sheet2!S92&lt;37,ROUND(Sheet2!L92,2)&amp;"'",""))))</f>
        <v/>
      </c>
      <c r="L92" s="15" t="str">
        <f>IF(Sheet2!D92="","",Sheet2!D92&amp;"''")</f>
        <v/>
      </c>
      <c r="N92" s="19"/>
      <c r="O92" s="16" t="str">
        <f>IF(Sheet2!H92="","",ROUND(Sheet2!H92,2)&amp;"'")</f>
        <v/>
      </c>
      <c r="P92" s="18" t="str">
        <f>IF(Sheet2!E92="","",Sheet2!E92&amp;"''")</f>
        <v/>
      </c>
      <c r="Q92" s="12"/>
      <c r="T92" s="15" t="str">
        <f>IF(Sheet2!F92="","",Sheet2!F92&amp;"''")</f>
        <v/>
      </c>
      <c r="U92" s="12"/>
      <c r="X92" s="15" t="str">
        <f>IF(Sheet2!G92="","",Sheet2!G92&amp;"''")</f>
        <v/>
      </c>
      <c r="AA92" s="12"/>
    </row>
    <row r="93" spans="7:27" x14ac:dyDescent="0.25">
      <c r="G93" s="15" t="str">
        <f>IF(Sheet2!A93="","",Sheet2!A93)</f>
        <v/>
      </c>
      <c r="H93" s="18" t="str">
        <f>IF(Sheet2!O93="","",LEFT(Sheet2!O93, FIND(" ", Sheet2!O93)-1))</f>
        <v/>
      </c>
      <c r="I93" s="15" t="str">
        <f>IF(Sheet2!S93&lt;19,ROUND(Sheet2!I93,2)&amp;"'",IF(Sheet2!S93&lt;25,ROUND(Sheet2!J93,2)&amp;"'",IF(Sheet2!S93&lt;31,ROUND(Sheet2!K93,2)&amp;"'",IF(Sheet2!S93&lt;37,ROUND(Sheet2!L93,2)&amp;"'",""))))</f>
        <v/>
      </c>
      <c r="L93" s="15" t="str">
        <f>IF(Sheet2!D93="","",Sheet2!D93&amp;"''")</f>
        <v/>
      </c>
      <c r="N93" s="19"/>
      <c r="O93" s="16" t="str">
        <f>IF(Sheet2!H93="","",ROUND(Sheet2!H93,2)&amp;"'")</f>
        <v/>
      </c>
      <c r="P93" s="18" t="str">
        <f>IF(Sheet2!E93="","",Sheet2!E93&amp;"''")</f>
        <v/>
      </c>
      <c r="Q93" s="12"/>
      <c r="T93" s="15" t="str">
        <f>IF(Sheet2!F93="","",Sheet2!F93&amp;"''")</f>
        <v/>
      </c>
      <c r="U93" s="12"/>
      <c r="X93" s="15" t="str">
        <f>IF(Sheet2!G93="","",Sheet2!G93&amp;"''")</f>
        <v/>
      </c>
      <c r="AA93" s="12"/>
    </row>
    <row r="94" spans="7:27" x14ac:dyDescent="0.25">
      <c r="G94" s="15" t="str">
        <f>IF(Sheet2!A94="","",Sheet2!A94)</f>
        <v/>
      </c>
      <c r="H94" s="18" t="str">
        <f>IF(Sheet2!O94="","",LEFT(Sheet2!O94, FIND(" ", Sheet2!O94)-1))</f>
        <v/>
      </c>
      <c r="I94" s="15" t="str">
        <f>IF(Sheet2!S94&lt;19,ROUND(Sheet2!I94,2)&amp;"'",IF(Sheet2!S94&lt;25,ROUND(Sheet2!J94,2)&amp;"'",IF(Sheet2!S94&lt;31,ROUND(Sheet2!K94,2)&amp;"'",IF(Sheet2!S94&lt;37,ROUND(Sheet2!L94,2)&amp;"'",""))))</f>
        <v/>
      </c>
      <c r="L94" s="15" t="str">
        <f>IF(Sheet2!D94="","",Sheet2!D94&amp;"''")</f>
        <v/>
      </c>
      <c r="O94" s="16" t="str">
        <f>IF(Sheet2!H94="","",ROUND(Sheet2!H94,2)&amp;"'")</f>
        <v/>
      </c>
      <c r="P94" s="18" t="str">
        <f>IF(Sheet2!E94="","",Sheet2!E94&amp;"''")</f>
        <v/>
      </c>
      <c r="Q94" s="12" t="str" cm="1">
        <f t="array" ref="Q94">IF(P94="","",_xlfn.XLOOKUP(G94,[1]Sheet1!$G:$G,[1]Sheet1!$Q:$S))</f>
        <v/>
      </c>
      <c r="T94" s="15" t="str">
        <f>IF(Sheet2!F94="","",Sheet2!F94&amp;"''")</f>
        <v/>
      </c>
      <c r="U94" s="12" t="str" cm="1">
        <f t="array" ref="U94">IF(T94="","",_xlfn.XLOOKUP(G94,[1]Sheet1!$G:$G,[1]Sheet1!$U:$W))</f>
        <v/>
      </c>
      <c r="X94" s="15" t="str">
        <f>IF(Sheet2!G94="","",Sheet2!G94&amp;"''")</f>
        <v/>
      </c>
    </row>
    <row r="95" spans="7:27" x14ac:dyDescent="0.25">
      <c r="G95" s="15" t="str">
        <f>IF(Sheet2!A95="","",Sheet2!A95)</f>
        <v/>
      </c>
      <c r="H95" s="18" t="str">
        <f>IF(Sheet2!O95="","",LEFT(Sheet2!O95, FIND(" ", Sheet2!O95)-1))</f>
        <v/>
      </c>
      <c r="I95" s="15" t="str">
        <f>IF(Sheet2!S95&lt;19,ROUND(Sheet2!I95,2)&amp;"'",IF(Sheet2!S95&lt;25,ROUND(Sheet2!J95,2)&amp;"'",IF(Sheet2!S95&lt;31,ROUND(Sheet2!K95,2)&amp;"'",IF(Sheet2!S95&lt;37,ROUND(Sheet2!L95,2)&amp;"'",""))))</f>
        <v/>
      </c>
      <c r="L95" s="15" t="str">
        <f>IF(Sheet2!D95="","",Sheet2!D95&amp;"''")</f>
        <v/>
      </c>
      <c r="O95" s="16" t="str">
        <f>IF(Sheet2!H95="","",ROUND(Sheet2!H95,2)&amp;"'")</f>
        <v/>
      </c>
      <c r="P95" s="18" t="str">
        <f>IF(Sheet2!E95="","",Sheet2!E95&amp;"''")</f>
        <v/>
      </c>
      <c r="Q95" s="12" t="str" cm="1">
        <f t="array" ref="Q95">IF(P95="","",_xlfn.XLOOKUP(G95,[1]Sheet1!$G:$G,[1]Sheet1!$Q:$S))</f>
        <v/>
      </c>
      <c r="T95" s="15" t="str">
        <f>IF(Sheet2!F95="","",Sheet2!F95&amp;"''")</f>
        <v/>
      </c>
      <c r="U95" s="12" t="str" cm="1">
        <f t="array" ref="U95">IF(T95="","",_xlfn.XLOOKUP(G95,[1]Sheet1!$G:$G,[1]Sheet1!$U:$W))</f>
        <v/>
      </c>
      <c r="X95" s="15" t="str">
        <f>IF(Sheet2!G95="","",Sheet2!G95&amp;"''")</f>
        <v/>
      </c>
    </row>
    <row r="96" spans="7:27" x14ac:dyDescent="0.25">
      <c r="G96" s="15" t="str">
        <f>IF(Sheet2!A96="","",Sheet2!A96)</f>
        <v/>
      </c>
      <c r="H96" s="18" t="str">
        <f>IF(Sheet2!O96="","",LEFT(Sheet2!O96, FIND(" ", Sheet2!O96)-1))</f>
        <v/>
      </c>
      <c r="I96" s="15" t="str">
        <f>IF(Sheet2!S96&lt;19,ROUND(Sheet2!I96,2)&amp;"'",IF(Sheet2!S96&lt;25,ROUND(Sheet2!J96,2)&amp;"'",IF(Sheet2!S96&lt;31,ROUND(Sheet2!K96,2)&amp;"'",IF(Sheet2!S96&lt;37,ROUND(Sheet2!L96,2)&amp;"'",""))))</f>
        <v/>
      </c>
      <c r="L96" s="15" t="str">
        <f>IF(Sheet2!D96="","",Sheet2!D96&amp;"''")</f>
        <v/>
      </c>
      <c r="O96" s="16" t="str">
        <f>IF(Sheet2!H96="","",ROUND(Sheet2!H96,2)&amp;"'")</f>
        <v/>
      </c>
      <c r="P96" s="18" t="str">
        <f>IF(Sheet2!E96="","",Sheet2!E96&amp;"''")</f>
        <v/>
      </c>
      <c r="Q96" s="12" t="str" cm="1">
        <f t="array" ref="Q96">IF(P96="","",_xlfn.XLOOKUP(G96,[1]Sheet1!$G:$G,[1]Sheet1!$Q:$S))</f>
        <v/>
      </c>
      <c r="T96" s="15" t="str">
        <f>IF(Sheet2!F96="","",Sheet2!F96&amp;"''")</f>
        <v/>
      </c>
      <c r="U96" s="12" t="str" cm="1">
        <f t="array" ref="U96">IF(T96="","",_xlfn.XLOOKUP(G96,[1]Sheet1!$G:$G,[1]Sheet1!$U:$W))</f>
        <v/>
      </c>
      <c r="X96" s="15" t="str">
        <f>IF(Sheet2!G96="","",Sheet2!G96&amp;"''")</f>
        <v/>
      </c>
    </row>
    <row r="97" spans="7:24" x14ac:dyDescent="0.25">
      <c r="G97" s="15" t="str">
        <f>IF(Sheet2!A97="","",Sheet2!A97)</f>
        <v/>
      </c>
      <c r="H97" s="18" t="str">
        <f>IF(Sheet2!O97="","",LEFT(Sheet2!O97, FIND(" ", Sheet2!O97)-1))</f>
        <v/>
      </c>
      <c r="I97" s="15" t="str">
        <f>IF(Sheet2!S97&lt;19,ROUND(Sheet2!I97,2)&amp;"'",IF(Sheet2!S97&lt;25,ROUND(Sheet2!J97,2)&amp;"'",IF(Sheet2!S97&lt;31,ROUND(Sheet2!K97,2)&amp;"'",IF(Sheet2!S97&lt;37,ROUND(Sheet2!L97,2)&amp;"'",""))))</f>
        <v/>
      </c>
      <c r="L97" s="15" t="str">
        <f>IF(Sheet2!D97="","",Sheet2!D97&amp;"''")</f>
        <v/>
      </c>
      <c r="O97" s="16" t="str">
        <f>IF(Sheet2!H97="","",ROUND(Sheet2!H97,2)&amp;"'")</f>
        <v/>
      </c>
      <c r="P97" s="18" t="str">
        <f>IF(Sheet2!E97="","",Sheet2!E97&amp;"''")</f>
        <v/>
      </c>
      <c r="Q97" s="12" t="str" cm="1">
        <f t="array" ref="Q97">IF(P97="","",_xlfn.XLOOKUP(G97,[1]Sheet1!$G:$G,[1]Sheet1!$Q:$S))</f>
        <v/>
      </c>
      <c r="T97" s="15" t="str">
        <f>IF(Sheet2!F97="","",Sheet2!F97&amp;"''")</f>
        <v/>
      </c>
      <c r="U97" s="12" t="str" cm="1">
        <f t="array" ref="U97">IF(T97="","",_xlfn.XLOOKUP(G97,[1]Sheet1!$G:$G,[1]Sheet1!$U:$W))</f>
        <v/>
      </c>
      <c r="X97" s="15" t="str">
        <f>IF(Sheet2!G97="","",Sheet2!G97&amp;"''")</f>
        <v/>
      </c>
    </row>
    <row r="98" spans="7:24" x14ac:dyDescent="0.25">
      <c r="G98" s="15" t="str">
        <f>IF(Sheet2!A98="","",Sheet2!A98)</f>
        <v/>
      </c>
      <c r="H98" s="18" t="str">
        <f>IF(Sheet2!O98="","",LEFT(Sheet2!O98, FIND(" ", Sheet2!O98)-1))</f>
        <v/>
      </c>
      <c r="I98" s="15" t="str">
        <f>IF(Sheet2!S98&lt;19,ROUND(Sheet2!I98,2)&amp;"'",IF(Sheet2!S98&lt;25,ROUND(Sheet2!J98,2)&amp;"'",IF(Sheet2!S98&lt;31,ROUND(Sheet2!K98,2)&amp;"'",IF(Sheet2!S98&lt;37,ROUND(Sheet2!L98,2)&amp;"'",""))))</f>
        <v/>
      </c>
      <c r="L98" s="15" t="str">
        <f>IF(Sheet2!D98="","",Sheet2!D98&amp;"''")</f>
        <v/>
      </c>
      <c r="O98" s="16" t="str">
        <f>IF(Sheet2!H98="","",ROUND(Sheet2!H98,2)&amp;"'")</f>
        <v/>
      </c>
      <c r="P98" s="18" t="str">
        <f>IF(Sheet2!E98="","",Sheet2!E98&amp;"''")</f>
        <v/>
      </c>
      <c r="Q98" s="12" t="str" cm="1">
        <f t="array" ref="Q98">IF(P98="","",_xlfn.XLOOKUP(G98,[1]Sheet1!$G:$G,[1]Sheet1!$Q:$S))</f>
        <v/>
      </c>
      <c r="T98" s="15" t="str">
        <f>IF(Sheet2!F98="","",Sheet2!F98&amp;"''")</f>
        <v/>
      </c>
      <c r="U98" s="12" t="str" cm="1">
        <f t="array" ref="U98">IF(T98="","",_xlfn.XLOOKUP(G98,[1]Sheet1!$G:$G,[1]Sheet1!$U:$W))</f>
        <v/>
      </c>
      <c r="X98" s="15" t="str">
        <f>IF(Sheet2!G98="","",Sheet2!G98&amp;"''")</f>
        <v/>
      </c>
    </row>
    <row r="99" spans="7:24" x14ac:dyDescent="0.25">
      <c r="G99" s="15" t="str">
        <f>IF(Sheet2!A99="","",Sheet2!A99)</f>
        <v/>
      </c>
      <c r="H99" s="18" t="str">
        <f>IF(Sheet2!O99="","",LEFT(Sheet2!O99, FIND(" ", Sheet2!O99)-1))</f>
        <v/>
      </c>
      <c r="I99" s="15" t="str">
        <f>IF(Sheet2!S99&lt;19,ROUND(Sheet2!I99,2)&amp;"'",IF(Sheet2!S99&lt;25,ROUND(Sheet2!J99,2)&amp;"'",IF(Sheet2!S99&lt;31,ROUND(Sheet2!K99,2)&amp;"'",IF(Sheet2!S99&lt;37,ROUND(Sheet2!L99,2)&amp;"'",""))))</f>
        <v/>
      </c>
      <c r="L99" s="15" t="str">
        <f>IF(Sheet2!D99="","",Sheet2!D99&amp;"''")</f>
        <v/>
      </c>
      <c r="O99" s="16" t="str">
        <f>IF(Sheet2!H99="","",ROUND(Sheet2!H99,2)&amp;"'")</f>
        <v/>
      </c>
      <c r="P99" s="18" t="str">
        <f>IF(Sheet2!E99="","",Sheet2!E99&amp;"''")</f>
        <v/>
      </c>
      <c r="Q99" s="12" t="str" cm="1">
        <f t="array" ref="Q99">IF(P99="","",_xlfn.XLOOKUP(G99,[1]Sheet1!$G:$G,[1]Sheet1!$Q:$S))</f>
        <v/>
      </c>
      <c r="T99" s="15" t="str">
        <f>IF(Sheet2!F99="","",Sheet2!F99&amp;"''")</f>
        <v/>
      </c>
      <c r="U99" s="12" t="str" cm="1">
        <f t="array" ref="U99">IF(T99="","",_xlfn.XLOOKUP(G99,[1]Sheet1!$G:$G,[1]Sheet1!$U:$W))</f>
        <v/>
      </c>
      <c r="X99" s="15" t="str">
        <f>IF(Sheet2!G99="","",Sheet2!G99&amp;"''")</f>
        <v/>
      </c>
    </row>
    <row r="100" spans="7:24" x14ac:dyDescent="0.25">
      <c r="G100" s="15" t="str">
        <f>IF(Sheet2!A100="","",Sheet2!A100)</f>
        <v/>
      </c>
      <c r="H100" s="18" t="str">
        <f>IF(Sheet2!O100="","",LEFT(Sheet2!O100, FIND(" ", Sheet2!O100)-1))</f>
        <v/>
      </c>
      <c r="I100" s="15" t="str">
        <f>IF(Sheet2!S100&lt;19,ROUND(Sheet2!I100,2)&amp;"'",IF(Sheet2!S100&lt;25,ROUND(Sheet2!J100,2)&amp;"'",IF(Sheet2!S100&lt;31,ROUND(Sheet2!K100,2)&amp;"'",IF(Sheet2!S100&lt;37,ROUND(Sheet2!L100,2)&amp;"'",""))))</f>
        <v/>
      </c>
      <c r="L100" s="15" t="str">
        <f>IF(Sheet2!D100="","",Sheet2!D100&amp;"''")</f>
        <v/>
      </c>
      <c r="O100" s="16" t="str">
        <f>IF(Sheet2!H100="","",ROUND(Sheet2!H100,2)&amp;"'")</f>
        <v/>
      </c>
      <c r="P100" s="18" t="str">
        <f>IF(Sheet2!E100="","",Sheet2!E100&amp;"''")</f>
        <v/>
      </c>
      <c r="Q100" s="12" t="str" cm="1">
        <f t="array" ref="Q100">IF(P100="","",_xlfn.XLOOKUP(G100,[1]Sheet1!$G:$G,[1]Sheet1!$Q:$S))</f>
        <v/>
      </c>
      <c r="T100" s="15" t="str">
        <f>IF(Sheet2!F100="","",Sheet2!F100&amp;"''")</f>
        <v/>
      </c>
      <c r="U100" s="12" t="str" cm="1">
        <f t="array" ref="U100">IF(T100="","",_xlfn.XLOOKUP(G100,[1]Sheet1!$G:$G,[1]Sheet1!$U:$W))</f>
        <v/>
      </c>
      <c r="X100" s="15" t="str">
        <f>IF(Sheet2!G100="","",Sheet2!G100&amp;"''")</f>
        <v/>
      </c>
    </row>
    <row r="101" spans="7:24" x14ac:dyDescent="0.25">
      <c r="G101" s="15" t="str">
        <f>IF(Sheet2!A101="","",Sheet2!A101)</f>
        <v/>
      </c>
      <c r="H101" s="18" t="str">
        <f>IF(Sheet2!O101="","",LEFT(Sheet2!O101, FIND(" ", Sheet2!O101)-1))</f>
        <v/>
      </c>
      <c r="I101" s="15" t="str">
        <f>IF(Sheet2!S101&lt;19,ROUND(Sheet2!I101,2)&amp;"'",IF(Sheet2!S101&lt;25,ROUND(Sheet2!J101,2)&amp;"'",IF(Sheet2!S101&lt;31,ROUND(Sheet2!K101,2)&amp;"'",IF(Sheet2!S101&lt;37,ROUND(Sheet2!L101,2)&amp;"'",""))))</f>
        <v/>
      </c>
      <c r="L101" s="15" t="str">
        <f>IF(Sheet2!D101="","",Sheet2!D101&amp;"''")</f>
        <v/>
      </c>
      <c r="O101" s="16" t="str">
        <f>IF(Sheet2!H101="","",ROUND(Sheet2!H101,2)&amp;"'")</f>
        <v/>
      </c>
      <c r="P101" s="18" t="str">
        <f>IF(Sheet2!E101="","",Sheet2!E101&amp;"''")</f>
        <v/>
      </c>
      <c r="Q101" s="12" t="str" cm="1">
        <f t="array" ref="Q101">IF(P101="","",_xlfn.XLOOKUP(G101,[1]Sheet1!$G:$G,[1]Sheet1!$Q:$S))</f>
        <v/>
      </c>
      <c r="T101" s="15" t="str">
        <f>IF(Sheet2!F101="","",Sheet2!F101&amp;"''")</f>
        <v/>
      </c>
      <c r="U101" s="12" t="str" cm="1">
        <f t="array" ref="U101">IF(T101="","",_xlfn.XLOOKUP(G101,[1]Sheet1!$G:$G,[1]Sheet1!$U:$W))</f>
        <v/>
      </c>
      <c r="X101" s="15" t="str">
        <f>IF(Sheet2!G101="","",Sheet2!G101&amp;"''")</f>
        <v/>
      </c>
    </row>
    <row r="102" spans="7:24" x14ac:dyDescent="0.25">
      <c r="G102" s="15" t="str">
        <f>IF(Sheet2!A102="","",Sheet2!A102)</f>
        <v/>
      </c>
      <c r="H102" s="18" t="str">
        <f>IF(Sheet2!O102="","",LEFT(Sheet2!O102, FIND(" ", Sheet2!O102)-1))</f>
        <v/>
      </c>
      <c r="I102" s="15" t="str">
        <f>IF(Sheet2!S102&lt;19,ROUND(Sheet2!I102,2)&amp;"'",IF(Sheet2!S102&lt;25,ROUND(Sheet2!J102,2)&amp;"'",IF(Sheet2!S102&lt;31,ROUND(Sheet2!K102,2)&amp;"'",IF(Sheet2!S102&lt;37,ROUND(Sheet2!L102,2)&amp;"'",""))))</f>
        <v/>
      </c>
      <c r="L102" s="15" t="str">
        <f>IF(Sheet2!D102="","",Sheet2!D102&amp;"''")</f>
        <v/>
      </c>
      <c r="O102" s="16" t="str">
        <f>IF(Sheet2!H102="","",ROUND(Sheet2!H102,2)&amp;"'")</f>
        <v/>
      </c>
      <c r="P102" s="18" t="str">
        <f>IF(Sheet2!E102="","",Sheet2!E102&amp;"''")</f>
        <v/>
      </c>
      <c r="Q102" s="12" t="str" cm="1">
        <f t="array" ref="Q102">IF(P102="","",_xlfn.XLOOKUP(G102,[1]Sheet1!$G:$G,[1]Sheet1!$Q:$S))</f>
        <v/>
      </c>
      <c r="T102" s="15" t="str">
        <f>IF(Sheet2!F102="","",Sheet2!F102&amp;"''")</f>
        <v/>
      </c>
      <c r="U102" s="12" t="str" cm="1">
        <f t="array" ref="U102">IF(T102="","",_xlfn.XLOOKUP(G102,[1]Sheet1!$G:$G,[1]Sheet1!$U:$W))</f>
        <v/>
      </c>
      <c r="X102" s="15" t="str">
        <f>IF(Sheet2!G102="","",Sheet2!G102&amp;"''")</f>
        <v/>
      </c>
    </row>
    <row r="103" spans="7:24" x14ac:dyDescent="0.25">
      <c r="G103" s="15" t="str">
        <f>IF(Sheet2!A103="","",Sheet2!A103)</f>
        <v/>
      </c>
      <c r="H103" s="18" t="str">
        <f>IF(Sheet2!O103="","",LEFT(Sheet2!O103, FIND(" ", Sheet2!O103)-1))</f>
        <v/>
      </c>
      <c r="I103" s="15" t="str">
        <f>IF(Sheet2!S103&lt;19,ROUND(Sheet2!I103,2)&amp;"'",IF(Sheet2!S103&lt;25,ROUND(Sheet2!J103,2)&amp;"'",IF(Sheet2!S103&lt;31,ROUND(Sheet2!K103,2)&amp;"'",IF(Sheet2!S103&lt;37,ROUND(Sheet2!L103,2)&amp;"'",""))))</f>
        <v/>
      </c>
      <c r="L103" s="15" t="str">
        <f>IF(Sheet2!D103="","",Sheet2!D103&amp;"''")</f>
        <v/>
      </c>
      <c r="O103" s="16" t="str">
        <f>IF(Sheet2!H103="","",ROUND(Sheet2!H103,2)&amp;"'")</f>
        <v/>
      </c>
      <c r="P103" s="18" t="str">
        <f>IF(Sheet2!E103="","",Sheet2!E103&amp;"''")</f>
        <v/>
      </c>
      <c r="Q103" s="12" t="str" cm="1">
        <f t="array" ref="Q103">IF(P103="","",_xlfn.XLOOKUP(G103,[1]Sheet1!$G:$G,[1]Sheet1!$Q:$S))</f>
        <v/>
      </c>
      <c r="T103" s="15" t="str">
        <f>IF(Sheet2!F103="","",Sheet2!F103&amp;"''")</f>
        <v/>
      </c>
      <c r="U103" s="12" t="str" cm="1">
        <f t="array" ref="U103">IF(T103="","",_xlfn.XLOOKUP(G103,[1]Sheet1!$G:$G,[1]Sheet1!$U:$W))</f>
        <v/>
      </c>
      <c r="X103" s="15" t="str">
        <f>IF(Sheet2!G103="","",Sheet2!G103&amp;"''")</f>
        <v/>
      </c>
    </row>
    <row r="104" spans="7:24" x14ac:dyDescent="0.25">
      <c r="G104" s="15" t="str">
        <f>IF(Sheet2!A104="","",Sheet2!A104)</f>
        <v/>
      </c>
      <c r="H104" s="18" t="str">
        <f>IF(Sheet2!O104="","",LEFT(Sheet2!O104, FIND(" ", Sheet2!O104)-1))</f>
        <v/>
      </c>
      <c r="I104" s="15" t="str">
        <f>IF(Sheet2!S104&lt;19,ROUND(Sheet2!I104,2)&amp;"'",IF(Sheet2!S104&lt;25,ROUND(Sheet2!J104,2)&amp;"'",IF(Sheet2!S104&lt;31,ROUND(Sheet2!K104,2)&amp;"'",IF(Sheet2!S104&lt;37,ROUND(Sheet2!L104,2)&amp;"'",""))))</f>
        <v/>
      </c>
      <c r="L104" s="15" t="str">
        <f>IF(Sheet2!D104="","",Sheet2!D104&amp;"''")</f>
        <v/>
      </c>
      <c r="O104" s="16" t="str">
        <f>IF(Sheet2!H104="","",ROUND(Sheet2!H104,2)&amp;"'")</f>
        <v/>
      </c>
      <c r="P104" s="18" t="str">
        <f>IF(Sheet2!E104="","",Sheet2!E104&amp;"''")</f>
        <v/>
      </c>
      <c r="Q104" s="12" t="str" cm="1">
        <f t="array" ref="Q104">IF(P104="","",_xlfn.XLOOKUP(G104,[1]Sheet1!$G:$G,[1]Sheet1!$Q:$S))</f>
        <v/>
      </c>
      <c r="T104" s="15" t="str">
        <f>IF(Sheet2!F104="","",Sheet2!F104&amp;"''")</f>
        <v/>
      </c>
      <c r="U104" s="12" t="str" cm="1">
        <f t="array" ref="U104">IF(T104="","",_xlfn.XLOOKUP(G104,[1]Sheet1!$G:$G,[1]Sheet1!$U:$W))</f>
        <v/>
      </c>
      <c r="X104" s="15" t="str">
        <f>IF(Sheet2!G104="","",Sheet2!G104&amp;"''")</f>
        <v/>
      </c>
    </row>
    <row r="105" spans="7:24" x14ac:dyDescent="0.25">
      <c r="G105" s="15" t="str">
        <f>IF(Sheet2!A105="","",Sheet2!A105)</f>
        <v/>
      </c>
      <c r="H105" s="18" t="str">
        <f>IF(Sheet2!O105="","",LEFT(Sheet2!O105, FIND(" ", Sheet2!O105)-1))</f>
        <v/>
      </c>
      <c r="I105" s="15" t="str">
        <f>IF(Sheet2!S105&lt;19,ROUND(Sheet2!I105,2)&amp;"'",IF(Sheet2!S105&lt;25,ROUND(Sheet2!J105,2)&amp;"'",IF(Sheet2!S105&lt;31,ROUND(Sheet2!K105,2)&amp;"'",IF(Sheet2!S105&lt;37,ROUND(Sheet2!L105,2)&amp;"'",""))))</f>
        <v/>
      </c>
      <c r="L105" s="15" t="str">
        <f>IF(Sheet2!D105="","",Sheet2!D105&amp;"''")</f>
        <v/>
      </c>
      <c r="O105" s="16" t="str">
        <f>IF(Sheet2!H105="","",ROUND(Sheet2!H105,2)&amp;"'")</f>
        <v/>
      </c>
      <c r="P105" s="18" t="str">
        <f>IF(Sheet2!E105="","",Sheet2!E105&amp;"''")</f>
        <v/>
      </c>
      <c r="Q105" s="12" t="str" cm="1">
        <f t="array" ref="Q105">IF(P105="","",_xlfn.XLOOKUP(G105,[1]Sheet1!$G:$G,[1]Sheet1!$Q:$S))</f>
        <v/>
      </c>
      <c r="T105" s="15" t="str">
        <f>IF(Sheet2!F105="","",Sheet2!F105&amp;"''")</f>
        <v/>
      </c>
      <c r="U105" s="12" t="str" cm="1">
        <f t="array" ref="U105">IF(T105="","",_xlfn.XLOOKUP(G105,[1]Sheet1!$G:$G,[1]Sheet1!$U:$W))</f>
        <v/>
      </c>
      <c r="X105" s="15" t="str">
        <f>IF(Sheet2!G105="","",Sheet2!G105&amp;"''")</f>
        <v/>
      </c>
    </row>
    <row r="106" spans="7:24" x14ac:dyDescent="0.25">
      <c r="G106" s="15" t="str">
        <f>IF(Sheet2!A106="","",Sheet2!A106)</f>
        <v/>
      </c>
      <c r="H106" s="18" t="str">
        <f>IF(Sheet2!O106="","",LEFT(Sheet2!O106, FIND(" ", Sheet2!O106)-1))</f>
        <v/>
      </c>
      <c r="I106" s="15" t="str">
        <f>IF(Sheet2!S106&lt;19,ROUND(Sheet2!I106,2)&amp;"'",IF(Sheet2!S106&lt;25,ROUND(Sheet2!J106,2)&amp;"'",IF(Sheet2!S106&lt;31,ROUND(Sheet2!K106,2)&amp;"'",IF(Sheet2!S106&lt;37,ROUND(Sheet2!L106,2)&amp;"'",""))))</f>
        <v/>
      </c>
      <c r="L106" s="15" t="str">
        <f>IF(Sheet2!D106="","",Sheet2!D106&amp;"''")</f>
        <v/>
      </c>
      <c r="O106" s="16" t="str">
        <f>IF(Sheet2!H106="","",ROUND(Sheet2!H106,2)&amp;"'")</f>
        <v/>
      </c>
      <c r="P106" s="18" t="str">
        <f>IF(Sheet2!E106="","",Sheet2!E106&amp;"''")</f>
        <v/>
      </c>
      <c r="Q106" s="12" t="str" cm="1">
        <f t="array" ref="Q106">IF(P106="","",_xlfn.XLOOKUP(G106,[1]Sheet1!$G:$G,[1]Sheet1!$Q:$S))</f>
        <v/>
      </c>
      <c r="T106" s="15" t="str">
        <f>IF(Sheet2!F106="","",Sheet2!F106&amp;"''")</f>
        <v/>
      </c>
      <c r="U106" s="12" t="str" cm="1">
        <f t="array" ref="U106">IF(T106="","",_xlfn.XLOOKUP(G106,[1]Sheet1!$G:$G,[1]Sheet1!$U:$W))</f>
        <v/>
      </c>
      <c r="X106" s="15" t="str">
        <f>IF(Sheet2!G106="","",Sheet2!G106&amp;"''")</f>
        <v/>
      </c>
    </row>
    <row r="107" spans="7:24" x14ac:dyDescent="0.25">
      <c r="G107" s="15" t="str">
        <f>IF(Sheet2!A107="","",Sheet2!A107)</f>
        <v/>
      </c>
      <c r="H107" s="18" t="str">
        <f>IF(Sheet2!O107="","",LEFT(Sheet2!O107, FIND(" ", Sheet2!O107)-1))</f>
        <v/>
      </c>
      <c r="I107" s="15" t="str">
        <f>IF(Sheet2!S107&lt;19,ROUND(Sheet2!I107,2)&amp;"'",IF(Sheet2!S107&lt;25,ROUND(Sheet2!J107,2)&amp;"'",IF(Sheet2!S107&lt;31,ROUND(Sheet2!K107,2)&amp;"'",IF(Sheet2!S107&lt;37,ROUND(Sheet2!L107,2)&amp;"'",""))))</f>
        <v/>
      </c>
      <c r="L107" s="15" t="str">
        <f>IF(Sheet2!D107="","",Sheet2!D107&amp;"''")</f>
        <v/>
      </c>
      <c r="O107" s="16" t="str">
        <f>IF(Sheet2!H107="","",ROUND(Sheet2!H107,2)&amp;"'")</f>
        <v/>
      </c>
      <c r="P107" s="18" t="str">
        <f>IF(Sheet2!E107="","",Sheet2!E107&amp;"''")</f>
        <v/>
      </c>
      <c r="Q107" s="12" t="str" cm="1">
        <f t="array" ref="Q107">IF(P107="","",_xlfn.XLOOKUP(G107,[1]Sheet1!$G:$G,[1]Sheet1!$Q:$S))</f>
        <v/>
      </c>
      <c r="T107" s="15" t="str">
        <f>IF(Sheet2!F107="","",Sheet2!F107&amp;"''")</f>
        <v/>
      </c>
      <c r="U107" s="12" t="str" cm="1">
        <f t="array" ref="U107">IF(T107="","",_xlfn.XLOOKUP(G107,[1]Sheet1!$G:$G,[1]Sheet1!$U:$W))</f>
        <v/>
      </c>
      <c r="X107" s="15" t="str">
        <f>IF(Sheet2!G107="","",Sheet2!G107&amp;"''")</f>
        <v/>
      </c>
    </row>
    <row r="108" spans="7:24" x14ac:dyDescent="0.25">
      <c r="G108" s="15" t="str">
        <f>IF(Sheet2!A108="","",Sheet2!A108)</f>
        <v/>
      </c>
      <c r="H108" s="18" t="str">
        <f>IF(Sheet2!O108="","",LEFT(Sheet2!O108, FIND(" ", Sheet2!O108)-1))</f>
        <v/>
      </c>
      <c r="I108" s="15" t="str">
        <f>IF(Sheet2!S108&lt;19,ROUND(Sheet2!I108,2)&amp;"'",IF(Sheet2!S108&lt;25,ROUND(Sheet2!J108,2)&amp;"'",IF(Sheet2!S108&lt;31,ROUND(Sheet2!K108,2)&amp;"'",IF(Sheet2!S108&lt;37,ROUND(Sheet2!L108,2)&amp;"'",""))))</f>
        <v/>
      </c>
      <c r="L108" s="15" t="str">
        <f>IF(Sheet2!D108="","",Sheet2!D108&amp;"''")</f>
        <v/>
      </c>
      <c r="O108" s="16" t="str">
        <f>IF(Sheet2!H108="","",ROUND(Sheet2!H108,2)&amp;"'")</f>
        <v/>
      </c>
      <c r="P108" s="18" t="str">
        <f>IF(Sheet2!E108="","",Sheet2!E108&amp;"''")</f>
        <v/>
      </c>
      <c r="Q108" s="12" t="str" cm="1">
        <f t="array" ref="Q108">IF(P108="","",_xlfn.XLOOKUP(G108,[1]Sheet1!$G:$G,[1]Sheet1!$Q:$S))</f>
        <v/>
      </c>
      <c r="T108" s="15" t="str">
        <f>IF(Sheet2!F108="","",Sheet2!F108&amp;"''")</f>
        <v/>
      </c>
      <c r="U108" s="12" t="str" cm="1">
        <f t="array" ref="U108">IF(T108="","",_xlfn.XLOOKUP(G108,[1]Sheet1!$G:$G,[1]Sheet1!$U:$W))</f>
        <v/>
      </c>
      <c r="X108" s="15" t="str">
        <f>IF(Sheet2!G108="","",Sheet2!G108&amp;"''")</f>
        <v/>
      </c>
    </row>
    <row r="109" spans="7:24" x14ac:dyDescent="0.25">
      <c r="G109" s="15" t="str">
        <f>IF(Sheet2!A109="","",Sheet2!A109)</f>
        <v/>
      </c>
      <c r="H109" s="18" t="str">
        <f>IF(Sheet2!O109="","",LEFT(Sheet2!O109, FIND(" ", Sheet2!O109)-1))</f>
        <v/>
      </c>
      <c r="I109" s="15" t="str">
        <f>IF(Sheet2!S109&lt;19,ROUND(Sheet2!I109,2)&amp;"'",IF(Sheet2!S109&lt;25,ROUND(Sheet2!J109,2)&amp;"'",IF(Sheet2!S109&lt;31,ROUND(Sheet2!K109,2)&amp;"'",IF(Sheet2!S109&lt;37,ROUND(Sheet2!L109,2)&amp;"'",""))))</f>
        <v/>
      </c>
      <c r="L109" s="15" t="str">
        <f>IF(Sheet2!D109="","",Sheet2!D109&amp;"''")</f>
        <v/>
      </c>
      <c r="O109" s="16" t="str">
        <f>IF(Sheet2!H109="","",ROUND(Sheet2!H109,2)&amp;"'")</f>
        <v/>
      </c>
      <c r="P109" s="18" t="str">
        <f>IF(Sheet2!E109="","",Sheet2!E109&amp;"''")</f>
        <v/>
      </c>
      <c r="Q109" s="12" t="str" cm="1">
        <f t="array" ref="Q109">IF(P109="","",_xlfn.XLOOKUP(G109,[1]Sheet1!$G:$G,[1]Sheet1!$Q:$S))</f>
        <v/>
      </c>
      <c r="T109" s="15" t="str">
        <f>IF(Sheet2!F109="","",Sheet2!F109&amp;"''")</f>
        <v/>
      </c>
      <c r="U109" s="12" t="str" cm="1">
        <f t="array" ref="U109">IF(T109="","",_xlfn.XLOOKUP(G109,[1]Sheet1!$G:$G,[1]Sheet1!$U:$W))</f>
        <v/>
      </c>
      <c r="X109" s="15" t="str">
        <f>IF(Sheet2!G109="","",Sheet2!G109&amp;"''")</f>
        <v/>
      </c>
    </row>
    <row r="110" spans="7:24" x14ac:dyDescent="0.25">
      <c r="G110" s="15" t="str">
        <f>IF(Sheet2!A110="","",Sheet2!A110)</f>
        <v/>
      </c>
      <c r="H110" s="18" t="str">
        <f>IF(Sheet2!O110="","",LEFT(Sheet2!O110, FIND(" ", Sheet2!O110)-1))</f>
        <v/>
      </c>
      <c r="I110" s="15" t="str">
        <f>IF(Sheet2!S110&lt;19,ROUND(Sheet2!I110,2)&amp;"'",IF(Sheet2!S110&lt;25,ROUND(Sheet2!J110,2)&amp;"'",IF(Sheet2!S110&lt;31,ROUND(Sheet2!K110,2)&amp;"'",IF(Sheet2!S110&lt;37,ROUND(Sheet2!L110,2)&amp;"'",""))))</f>
        <v/>
      </c>
      <c r="L110" s="15" t="str">
        <f>IF(Sheet2!D110="","",Sheet2!D110&amp;"''")</f>
        <v/>
      </c>
      <c r="O110" s="16" t="str">
        <f>IF(Sheet2!H110="","",ROUND(Sheet2!H110,2)&amp;"'")</f>
        <v/>
      </c>
      <c r="P110" s="18" t="str">
        <f>IF(Sheet2!E110="","",Sheet2!E110&amp;"''")</f>
        <v/>
      </c>
      <c r="Q110" s="12" t="str" cm="1">
        <f t="array" ref="Q110">IF(P110="","",_xlfn.XLOOKUP(G110,[1]Sheet1!$G:$G,[1]Sheet1!$Q:$S))</f>
        <v/>
      </c>
      <c r="T110" s="15" t="str">
        <f>IF(Sheet2!F110="","",Sheet2!F110&amp;"''")</f>
        <v/>
      </c>
      <c r="U110" s="12" t="str" cm="1">
        <f t="array" ref="U110">IF(T110="","",_xlfn.XLOOKUP(G110,[1]Sheet1!$G:$G,[1]Sheet1!$U:$W))</f>
        <v/>
      </c>
      <c r="X110" s="15" t="str">
        <f>IF(Sheet2!G110="","",Sheet2!G110&amp;"''")</f>
        <v/>
      </c>
    </row>
    <row r="111" spans="7:24" x14ac:dyDescent="0.25">
      <c r="G111" s="15" t="str">
        <f>IF(Sheet2!A111="","",Sheet2!A111)</f>
        <v/>
      </c>
      <c r="H111" s="18" t="str">
        <f>IF(Sheet2!O111="","",LEFT(Sheet2!O111, FIND(" ", Sheet2!O111)-1))</f>
        <v/>
      </c>
      <c r="I111" s="15" t="str">
        <f>IF(Sheet2!S111&lt;19,ROUND(Sheet2!I111,2)&amp;"'",IF(Sheet2!S111&lt;25,ROUND(Sheet2!J111,2)&amp;"'",IF(Sheet2!S111&lt;31,ROUND(Sheet2!K111,2)&amp;"'",IF(Sheet2!S111&lt;37,ROUND(Sheet2!L111,2)&amp;"'",""))))</f>
        <v/>
      </c>
      <c r="L111" s="15" t="str">
        <f>IF(Sheet2!D111="","",Sheet2!D111&amp;"''")</f>
        <v/>
      </c>
      <c r="O111" s="16" t="str">
        <f>IF(Sheet2!H111="","",ROUND(Sheet2!H111,2)&amp;"'")</f>
        <v/>
      </c>
      <c r="P111" s="18" t="str">
        <f>IF(Sheet2!E111="","",Sheet2!E111&amp;"''")</f>
        <v/>
      </c>
      <c r="Q111" s="12" t="str" cm="1">
        <f t="array" ref="Q111">IF(P111="","",_xlfn.XLOOKUP(G111,[1]Sheet1!$G:$G,[1]Sheet1!$Q:$S))</f>
        <v/>
      </c>
      <c r="T111" s="15" t="str">
        <f>IF(Sheet2!F111="","",Sheet2!F111&amp;"''")</f>
        <v/>
      </c>
      <c r="U111" s="12" t="str" cm="1">
        <f t="array" ref="U111">IF(T111="","",_xlfn.XLOOKUP(G111,[1]Sheet1!$G:$G,[1]Sheet1!$U:$W))</f>
        <v/>
      </c>
      <c r="X111" s="15" t="str">
        <f>IF(Sheet2!G111="","",Sheet2!G111&amp;"''")</f>
        <v/>
      </c>
    </row>
    <row r="112" spans="7:24" x14ac:dyDescent="0.25">
      <c r="G112" s="15" t="str">
        <f>IF(Sheet2!A112="","",Sheet2!A112)</f>
        <v/>
      </c>
      <c r="H112" s="18" t="str">
        <f>IF(Sheet2!O112="","",LEFT(Sheet2!O112, FIND(" ", Sheet2!O112)-1))</f>
        <v/>
      </c>
      <c r="I112" s="15" t="str">
        <f>IF(Sheet2!S112&lt;19,ROUND(Sheet2!I112,2)&amp;"'",IF(Sheet2!S112&lt;25,ROUND(Sheet2!J112,2)&amp;"'",IF(Sheet2!S112&lt;31,ROUND(Sheet2!K112,2)&amp;"'",IF(Sheet2!S112&lt;37,ROUND(Sheet2!L112,2)&amp;"'",""))))</f>
        <v/>
      </c>
      <c r="L112" s="15" t="str">
        <f>IF(Sheet2!D112="","",Sheet2!D112&amp;"''")</f>
        <v/>
      </c>
      <c r="O112" s="16" t="str">
        <f>IF(Sheet2!H112="","",ROUND(Sheet2!H112,2)&amp;"'")</f>
        <v/>
      </c>
      <c r="P112" s="18" t="str">
        <f>IF(Sheet2!E112="","",Sheet2!E112&amp;"''")</f>
        <v/>
      </c>
      <c r="Q112" s="12" t="str" cm="1">
        <f t="array" ref="Q112">IF(P112="","",_xlfn.XLOOKUP(G112,[1]Sheet1!$G:$G,[1]Sheet1!$Q:$S))</f>
        <v/>
      </c>
      <c r="T112" s="15" t="str">
        <f>IF(Sheet2!F112="","",Sheet2!F112&amp;"''")</f>
        <v/>
      </c>
      <c r="U112" s="12" t="str" cm="1">
        <f t="array" ref="U112">IF(T112="","",_xlfn.XLOOKUP(G112,[1]Sheet1!$G:$G,[1]Sheet1!$U:$W))</f>
        <v/>
      </c>
      <c r="X112" s="15" t="str">
        <f>IF(Sheet2!G112="","",Sheet2!G112&amp;"''")</f>
        <v/>
      </c>
    </row>
    <row r="113" spans="7:24" x14ac:dyDescent="0.25">
      <c r="G113" s="15" t="str">
        <f>IF(Sheet2!A113="","",Sheet2!A113)</f>
        <v/>
      </c>
      <c r="H113" s="18" t="str">
        <f>IF(Sheet2!O113="","",LEFT(Sheet2!O113, FIND(" ", Sheet2!O113)-1))</f>
        <v/>
      </c>
      <c r="I113" s="15" t="str">
        <f>IF(Sheet2!S113&lt;19,ROUND(Sheet2!I113,2)&amp;"'",IF(Sheet2!S113&lt;25,ROUND(Sheet2!J113,2)&amp;"'",IF(Sheet2!S113&lt;31,ROUND(Sheet2!K113,2)&amp;"'",IF(Sheet2!S113&lt;37,ROUND(Sheet2!L113,2)&amp;"'",""))))</f>
        <v/>
      </c>
      <c r="L113" s="15" t="str">
        <f>IF(Sheet2!D113="","",Sheet2!D113&amp;"''")</f>
        <v/>
      </c>
      <c r="O113" s="16" t="str">
        <f>IF(Sheet2!H113="","",ROUND(Sheet2!H113,2)&amp;"'")</f>
        <v/>
      </c>
      <c r="P113" s="18" t="str">
        <f>IF(Sheet2!E113="","",Sheet2!E113&amp;"''")</f>
        <v/>
      </c>
      <c r="Q113" s="12" t="str" cm="1">
        <f t="array" ref="Q113">IF(P113="","",_xlfn.XLOOKUP(G113,[1]Sheet1!$G:$G,[1]Sheet1!$Q:$S))</f>
        <v/>
      </c>
      <c r="T113" s="15" t="str">
        <f>IF(Sheet2!F113="","",Sheet2!F113&amp;"''")</f>
        <v/>
      </c>
      <c r="U113" s="12" t="str" cm="1">
        <f t="array" ref="U113">IF(T113="","",_xlfn.XLOOKUP(G113,[1]Sheet1!$G:$G,[1]Sheet1!$U:$W))</f>
        <v/>
      </c>
      <c r="X113" s="15" t="str">
        <f>IF(Sheet2!G113="","",Sheet2!G113&amp;"''")</f>
        <v/>
      </c>
    </row>
    <row r="114" spans="7:24" x14ac:dyDescent="0.25">
      <c r="G114" s="15" t="str">
        <f>IF(Sheet2!A114="","",Sheet2!A114)</f>
        <v/>
      </c>
      <c r="H114" s="18" t="str">
        <f>IF(Sheet2!O114="","",LEFT(Sheet2!O114, FIND(" ", Sheet2!O114)-1))</f>
        <v/>
      </c>
      <c r="I114" s="15" t="str">
        <f>IF(Sheet2!S114&lt;19,ROUND(Sheet2!I114,2)&amp;"'",IF(Sheet2!S114&lt;25,ROUND(Sheet2!J114,2)&amp;"'",IF(Sheet2!S114&lt;31,ROUND(Sheet2!K114,2)&amp;"'",IF(Sheet2!S114&lt;37,ROUND(Sheet2!L114,2)&amp;"'",""))))</f>
        <v/>
      </c>
      <c r="L114" s="15" t="str">
        <f>IF(Sheet2!D114="","",Sheet2!D114&amp;"''")</f>
        <v/>
      </c>
      <c r="O114" s="16" t="str">
        <f>IF(Sheet2!H114="","",ROUND(Sheet2!H114,2)&amp;"'")</f>
        <v/>
      </c>
      <c r="P114" s="18" t="str">
        <f>IF(Sheet2!E114="","",Sheet2!E114&amp;"''")</f>
        <v/>
      </c>
      <c r="Q114" s="12" t="str" cm="1">
        <f t="array" ref="Q114">IF(P114="","",_xlfn.XLOOKUP(G114,[1]Sheet1!$G:$G,[1]Sheet1!$Q:$S))</f>
        <v/>
      </c>
      <c r="T114" s="15" t="str">
        <f>IF(Sheet2!F114="","",Sheet2!F114&amp;"''")</f>
        <v/>
      </c>
      <c r="U114" s="12" t="str" cm="1">
        <f t="array" ref="U114">IF(T114="","",_xlfn.XLOOKUP(G114,[1]Sheet1!$G:$G,[1]Sheet1!$U:$W))</f>
        <v/>
      </c>
      <c r="X114" s="15" t="str">
        <f>IF(Sheet2!G114="","",Sheet2!G114&amp;"''")</f>
        <v/>
      </c>
    </row>
    <row r="115" spans="7:24" x14ac:dyDescent="0.25">
      <c r="G115" s="15" t="str">
        <f>IF(Sheet2!A115="","",Sheet2!A115)</f>
        <v/>
      </c>
      <c r="H115" s="18" t="str">
        <f>IF(Sheet2!O115="","",LEFT(Sheet2!O115, FIND(" ", Sheet2!O115)-1))</f>
        <v/>
      </c>
      <c r="I115" s="15" t="str">
        <f>IF(Sheet2!S115&lt;19,ROUND(Sheet2!I115,2)&amp;"'",IF(Sheet2!S115&lt;25,ROUND(Sheet2!J115,2)&amp;"'",IF(Sheet2!S115&lt;31,ROUND(Sheet2!K115,2)&amp;"'",IF(Sheet2!S115&lt;37,ROUND(Sheet2!L115,2)&amp;"'",""))))</f>
        <v/>
      </c>
      <c r="L115" s="15" t="str">
        <f>IF(Sheet2!D115="","",Sheet2!D115&amp;"''")</f>
        <v/>
      </c>
      <c r="O115" s="16" t="str">
        <f>IF(Sheet2!H115="","",ROUND(Sheet2!H115,2)&amp;"'")</f>
        <v/>
      </c>
      <c r="P115" s="18" t="str">
        <f>IF(Sheet2!E115="","",Sheet2!E115&amp;"''")</f>
        <v/>
      </c>
      <c r="Q115" s="12" t="str" cm="1">
        <f t="array" ref="Q115">IF(P115="","",_xlfn.XLOOKUP(G115,[1]Sheet1!$G:$G,[1]Sheet1!$Q:$S))</f>
        <v/>
      </c>
      <c r="T115" s="15" t="str">
        <f>IF(Sheet2!F115="","",Sheet2!F115&amp;"''")</f>
        <v/>
      </c>
      <c r="U115" s="12" t="str" cm="1">
        <f t="array" ref="U115">IF(T115="","",_xlfn.XLOOKUP(G115,[1]Sheet1!$G:$G,[1]Sheet1!$U:$W))</f>
        <v/>
      </c>
      <c r="X115" s="15" t="str">
        <f>IF(Sheet2!G115="","",Sheet2!G115&amp;"''")</f>
        <v/>
      </c>
    </row>
    <row r="116" spans="7:24" x14ac:dyDescent="0.25">
      <c r="G116" s="15" t="str">
        <f>IF(Sheet2!A116="","",Sheet2!A116)</f>
        <v/>
      </c>
      <c r="H116" s="18" t="str">
        <f>IF(Sheet2!O116="","",LEFT(Sheet2!O116, FIND(" ", Sheet2!O116)-1))</f>
        <v/>
      </c>
      <c r="I116" s="15" t="str">
        <f>IF(Sheet2!S116&lt;19,ROUND(Sheet2!I116,2)&amp;"'",IF(Sheet2!S116&lt;25,ROUND(Sheet2!J116,2)&amp;"'",IF(Sheet2!S116&lt;31,ROUND(Sheet2!K116,2)&amp;"'",IF(Sheet2!S116&lt;37,ROUND(Sheet2!L116,2)&amp;"'",""))))</f>
        <v/>
      </c>
      <c r="L116" s="15" t="str">
        <f>IF(Sheet2!D116="","",Sheet2!D116&amp;"''")</f>
        <v/>
      </c>
      <c r="O116" s="16" t="str">
        <f>IF(Sheet2!H116="","",ROUND(Sheet2!H116,2)&amp;"'")</f>
        <v/>
      </c>
      <c r="P116" s="18" t="str">
        <f>IF(Sheet2!E116="","",Sheet2!E116&amp;"''")</f>
        <v/>
      </c>
      <c r="Q116" s="12" t="str" cm="1">
        <f t="array" ref="Q116">IF(P116="","",_xlfn.XLOOKUP(G116,[1]Sheet1!$G:$G,[1]Sheet1!$Q:$S))</f>
        <v/>
      </c>
      <c r="T116" s="15" t="str">
        <f>IF(Sheet2!F116="","",Sheet2!F116&amp;"''")</f>
        <v/>
      </c>
      <c r="U116" s="12" t="str" cm="1">
        <f t="array" ref="U116">IF(T116="","",_xlfn.XLOOKUP(G116,[1]Sheet1!$G:$G,[1]Sheet1!$U:$W))</f>
        <v/>
      </c>
      <c r="X116" s="15" t="str">
        <f>IF(Sheet2!G116="","",Sheet2!G116&amp;"''")</f>
        <v/>
      </c>
    </row>
    <row r="117" spans="7:24" x14ac:dyDescent="0.25">
      <c r="G117" s="15" t="str">
        <f>IF(Sheet2!A117="","",Sheet2!A117)</f>
        <v/>
      </c>
      <c r="H117" s="18" t="str">
        <f>IF(Sheet2!O117="","",LEFT(Sheet2!O117, FIND(" ", Sheet2!O117)-1))</f>
        <v/>
      </c>
      <c r="I117" s="15" t="str">
        <f>IF(Sheet2!S117&lt;19,ROUND(Sheet2!I117,2)&amp;"'",IF(Sheet2!S117&lt;25,ROUND(Sheet2!J117,2)&amp;"'",IF(Sheet2!S117&lt;31,ROUND(Sheet2!K117,2)&amp;"'",IF(Sheet2!S117&lt;37,ROUND(Sheet2!L117,2)&amp;"'",""))))</f>
        <v/>
      </c>
      <c r="L117" s="15" t="str">
        <f>IF(Sheet2!D117="","",Sheet2!D117&amp;"''")</f>
        <v/>
      </c>
      <c r="O117" s="16" t="str">
        <f>IF(Sheet2!H117="","",ROUND(Sheet2!H117,2)&amp;"'")</f>
        <v/>
      </c>
      <c r="P117" s="18" t="str">
        <f>IF(Sheet2!E117="","",Sheet2!E117&amp;"''")</f>
        <v/>
      </c>
      <c r="Q117" s="12" t="str" cm="1">
        <f t="array" ref="Q117">IF(P117="","",_xlfn.XLOOKUP(G117,[1]Sheet1!$G:$G,[1]Sheet1!$Q:$S))</f>
        <v/>
      </c>
      <c r="T117" s="15" t="str">
        <f>IF(Sheet2!F117="","",Sheet2!F117&amp;"''")</f>
        <v/>
      </c>
      <c r="U117" s="12" t="str" cm="1">
        <f t="array" ref="U117">IF(T117="","",_xlfn.XLOOKUP(G117,[1]Sheet1!$G:$G,[1]Sheet1!$U:$W))</f>
        <v/>
      </c>
      <c r="X117" s="15" t="str">
        <f>IF(Sheet2!G117="","",Sheet2!G117&amp;"''")</f>
        <v/>
      </c>
    </row>
    <row r="118" spans="7:24" x14ac:dyDescent="0.25">
      <c r="G118" s="15" t="str">
        <f>IF(Sheet2!A118="","",Sheet2!A118)</f>
        <v/>
      </c>
      <c r="H118" s="18" t="str">
        <f>IF(Sheet2!O118="","",LEFT(Sheet2!O118, FIND(" ", Sheet2!O118)-1))</f>
        <v/>
      </c>
      <c r="I118" s="15" t="str">
        <f>IF(Sheet2!S118&lt;19,ROUND(Sheet2!I118,2)&amp;"'",IF(Sheet2!S118&lt;25,ROUND(Sheet2!J118,2)&amp;"'",IF(Sheet2!S118&lt;31,ROUND(Sheet2!K118,2)&amp;"'",IF(Sheet2!S118&lt;37,ROUND(Sheet2!L118,2)&amp;"'",""))))</f>
        <v/>
      </c>
      <c r="L118" s="15" t="str">
        <f>IF(Sheet2!D118="","",Sheet2!D118&amp;"''")</f>
        <v/>
      </c>
      <c r="O118" s="16" t="str">
        <f>IF(Sheet2!H118="","",ROUND(Sheet2!H118,2)&amp;"'")</f>
        <v/>
      </c>
      <c r="P118" s="18" t="str">
        <f>IF(Sheet2!E118="","",Sheet2!E118&amp;"''")</f>
        <v/>
      </c>
      <c r="Q118" s="12" t="str" cm="1">
        <f t="array" ref="Q118">IF(P118="","",_xlfn.XLOOKUP(G118,[1]Sheet1!$G:$G,[1]Sheet1!$Q:$S))</f>
        <v/>
      </c>
      <c r="T118" s="15" t="str">
        <f>IF(Sheet2!F118="","",Sheet2!F118&amp;"''")</f>
        <v/>
      </c>
      <c r="U118" s="12" t="str" cm="1">
        <f t="array" ref="U118">IF(T118="","",_xlfn.XLOOKUP(G118,[1]Sheet1!$G:$G,[1]Sheet1!$U:$W))</f>
        <v/>
      </c>
      <c r="X118" s="15" t="str">
        <f>IF(Sheet2!G118="","",Sheet2!G118&amp;"''")</f>
        <v/>
      </c>
    </row>
    <row r="119" spans="7:24" x14ac:dyDescent="0.25">
      <c r="G119" s="15" t="str">
        <f>IF(Sheet2!A119="","",Sheet2!A119)</f>
        <v/>
      </c>
      <c r="H119" s="18" t="str">
        <f>IF(Sheet2!O119="","",LEFT(Sheet2!O119, FIND(" ", Sheet2!O119)-1))</f>
        <v/>
      </c>
      <c r="I119" s="15" t="str">
        <f>IF(Sheet2!S119&lt;19,ROUND(Sheet2!I119,2)&amp;"'",IF(Sheet2!S119&lt;25,ROUND(Sheet2!J119,2)&amp;"'",IF(Sheet2!S119&lt;31,ROUND(Sheet2!K119,2)&amp;"'",IF(Sheet2!S119&lt;37,ROUND(Sheet2!L119,2)&amp;"'",""))))</f>
        <v/>
      </c>
      <c r="L119" s="15" t="str">
        <f>IF(Sheet2!D119="","",Sheet2!D119&amp;"''")</f>
        <v/>
      </c>
      <c r="O119" s="16" t="str">
        <f>IF(Sheet2!H119="","",ROUND(Sheet2!H119,2)&amp;"'")</f>
        <v/>
      </c>
      <c r="P119" s="18" t="str">
        <f>IF(Sheet2!E119="","",Sheet2!E119&amp;"''")</f>
        <v/>
      </c>
      <c r="Q119" s="12" t="str" cm="1">
        <f t="array" ref="Q119">IF(P119="","",_xlfn.XLOOKUP(G119,[1]Sheet1!$G:$G,[1]Sheet1!$Q:$S))</f>
        <v/>
      </c>
      <c r="T119" s="15" t="str">
        <f>IF(Sheet2!F119="","",Sheet2!F119&amp;"''")</f>
        <v/>
      </c>
      <c r="U119" s="12" t="str" cm="1">
        <f t="array" ref="U119">IF(T119="","",_xlfn.XLOOKUP(G119,[1]Sheet1!$G:$G,[1]Sheet1!$U:$W))</f>
        <v/>
      </c>
      <c r="X119" s="15" t="str">
        <f>IF(Sheet2!G119="","",Sheet2!G119&amp;"''")</f>
        <v/>
      </c>
    </row>
    <row r="120" spans="7:24" x14ac:dyDescent="0.25">
      <c r="G120" s="15" t="str">
        <f>IF(Sheet2!A120="","",Sheet2!A120)</f>
        <v/>
      </c>
      <c r="H120" s="18" t="str">
        <f>IF(Sheet2!O120="","",LEFT(Sheet2!O120, FIND(" ", Sheet2!O120)-1))</f>
        <v/>
      </c>
      <c r="I120" s="15" t="str">
        <f>IF(Sheet2!S120&lt;19,ROUND(Sheet2!I120,2)&amp;"'",IF(Sheet2!S120&lt;25,ROUND(Sheet2!J120,2)&amp;"'",IF(Sheet2!S120&lt;31,ROUND(Sheet2!K120,2)&amp;"'",IF(Sheet2!S120&lt;37,ROUND(Sheet2!L120,2)&amp;"'",""))))</f>
        <v/>
      </c>
      <c r="L120" s="15" t="str">
        <f>IF(Sheet2!D120="","",Sheet2!D120&amp;"''")</f>
        <v/>
      </c>
      <c r="O120" s="16" t="str">
        <f>IF(Sheet2!H120="","",ROUND(Sheet2!H120,2)&amp;"'")</f>
        <v/>
      </c>
      <c r="P120" s="18" t="str">
        <f>IF(Sheet2!E120="","",Sheet2!E120&amp;"''")</f>
        <v/>
      </c>
      <c r="Q120" s="12" t="str" cm="1">
        <f t="array" ref="Q120">IF(P120="","",_xlfn.XLOOKUP(G120,[1]Sheet1!$G:$G,[1]Sheet1!$Q:$S))</f>
        <v/>
      </c>
      <c r="T120" s="15" t="str">
        <f>IF(Sheet2!F120="","",Sheet2!F120&amp;"''")</f>
        <v/>
      </c>
      <c r="U120" s="12" t="str" cm="1">
        <f t="array" ref="U120">IF(T120="","",_xlfn.XLOOKUP(G120,[1]Sheet1!$G:$G,[1]Sheet1!$U:$W))</f>
        <v/>
      </c>
      <c r="X120" s="15" t="str">
        <f>IF(Sheet2!G120="","",Sheet2!G120&amp;"''")</f>
        <v/>
      </c>
    </row>
    <row r="121" spans="7:24" x14ac:dyDescent="0.25">
      <c r="G121" s="15" t="str">
        <f>IF(Sheet2!A121="","",Sheet2!A121)</f>
        <v/>
      </c>
      <c r="H121" s="18" t="str">
        <f>IF(Sheet2!O121="","",LEFT(Sheet2!O121, FIND(" ", Sheet2!O121)-1))</f>
        <v/>
      </c>
      <c r="I121" s="15" t="str">
        <f>IF(Sheet2!S121&lt;19,ROUND(Sheet2!I121,2)&amp;"'",IF(Sheet2!S121&lt;25,ROUND(Sheet2!J121,2)&amp;"'",IF(Sheet2!S121&lt;31,ROUND(Sheet2!K121,2)&amp;"'",IF(Sheet2!S121&lt;37,ROUND(Sheet2!L121,2)&amp;"'",""))))</f>
        <v/>
      </c>
      <c r="L121" s="15" t="str">
        <f>IF(Sheet2!D121="","",Sheet2!D121&amp;"''")</f>
        <v/>
      </c>
      <c r="O121" s="16" t="str">
        <f>IF(Sheet2!H121="","",ROUND(Sheet2!H121,2)&amp;"'")</f>
        <v/>
      </c>
      <c r="P121" s="18" t="str">
        <f>IF(Sheet2!E121="","",Sheet2!E121&amp;"''")</f>
        <v/>
      </c>
      <c r="Q121" s="12" t="str" cm="1">
        <f t="array" ref="Q121">IF(P121="","",_xlfn.XLOOKUP(G121,[1]Sheet1!$G:$G,[1]Sheet1!$Q:$S))</f>
        <v/>
      </c>
      <c r="T121" s="15" t="str">
        <f>IF(Sheet2!F121="","",Sheet2!F121&amp;"''")</f>
        <v/>
      </c>
      <c r="U121" s="12" t="str" cm="1">
        <f t="array" ref="U121">IF(T121="","",_xlfn.XLOOKUP(G121,[1]Sheet1!$G:$G,[1]Sheet1!$U:$W))</f>
        <v/>
      </c>
      <c r="X121" s="15" t="str">
        <f>IF(Sheet2!G121="","",Sheet2!G121&amp;"''")</f>
        <v/>
      </c>
    </row>
    <row r="122" spans="7:24" x14ac:dyDescent="0.25">
      <c r="G122" s="15" t="str">
        <f>IF(Sheet2!A122="","",Sheet2!A122)</f>
        <v/>
      </c>
      <c r="H122" s="18" t="str">
        <f>IF(Sheet2!O122="","",LEFT(Sheet2!O122, FIND(" ", Sheet2!O122)-1))</f>
        <v/>
      </c>
      <c r="I122" s="15" t="str">
        <f>IF(Sheet2!S122&lt;19,ROUND(Sheet2!I122,2)&amp;"'",IF(Sheet2!S122&lt;25,ROUND(Sheet2!J122,2)&amp;"'",IF(Sheet2!S122&lt;31,ROUND(Sheet2!K122,2)&amp;"'",IF(Sheet2!S122&lt;37,ROUND(Sheet2!L122,2)&amp;"'",""))))</f>
        <v/>
      </c>
      <c r="L122" s="15" t="str">
        <f>IF(Sheet2!D122="","",Sheet2!D122&amp;"''")</f>
        <v/>
      </c>
      <c r="O122" s="16" t="str">
        <f>IF(Sheet2!H122="","",ROUND(Sheet2!H122,2)&amp;"'")</f>
        <v/>
      </c>
      <c r="P122" s="18" t="str">
        <f>IF(Sheet2!E122="","",Sheet2!E122&amp;"''")</f>
        <v/>
      </c>
      <c r="Q122" s="12" t="str" cm="1">
        <f t="array" ref="Q122">IF(P122="","",_xlfn.XLOOKUP(G122,[1]Sheet1!$G:$G,[1]Sheet1!$Q:$S))</f>
        <v/>
      </c>
      <c r="T122" s="15" t="str">
        <f>IF(Sheet2!F122="","",Sheet2!F122&amp;"''")</f>
        <v/>
      </c>
      <c r="U122" s="12" t="str" cm="1">
        <f t="array" ref="U122">IF(T122="","",_xlfn.XLOOKUP(G122,[1]Sheet1!$G:$G,[1]Sheet1!$U:$W))</f>
        <v/>
      </c>
      <c r="X122" s="15" t="str">
        <f>IF(Sheet2!G122="","",Sheet2!G122&amp;"''")</f>
        <v/>
      </c>
    </row>
    <row r="123" spans="7:24" x14ac:dyDescent="0.25">
      <c r="G123" s="15" t="str">
        <f>IF(Sheet2!A123="","",Sheet2!A123)</f>
        <v/>
      </c>
      <c r="H123" s="18" t="str">
        <f>IF(Sheet2!O123="","",LEFT(Sheet2!O123, FIND(" ", Sheet2!O123)-1))</f>
        <v/>
      </c>
      <c r="I123" s="15" t="str">
        <f>IF(Sheet2!S123&lt;19,ROUND(Sheet2!I123,2)&amp;"'",IF(Sheet2!S123&lt;25,ROUND(Sheet2!J123,2)&amp;"'",IF(Sheet2!S123&lt;31,ROUND(Sheet2!K123,2)&amp;"'",IF(Sheet2!S123&lt;37,ROUND(Sheet2!L123,2)&amp;"'",""))))</f>
        <v/>
      </c>
      <c r="L123" s="15" t="str">
        <f>IF(Sheet2!D123="","",Sheet2!D123&amp;"''")</f>
        <v/>
      </c>
      <c r="O123" s="16" t="str">
        <f>IF(Sheet2!H123="","",ROUND(Sheet2!H123,2)&amp;"'")</f>
        <v/>
      </c>
      <c r="P123" s="18" t="str">
        <f>IF(Sheet2!E123="","",Sheet2!E123&amp;"''")</f>
        <v/>
      </c>
      <c r="Q123" s="12" t="str" cm="1">
        <f t="array" ref="Q123">IF(P123="","",_xlfn.XLOOKUP(G123,[1]Sheet1!$G:$G,[1]Sheet1!$Q:$S))</f>
        <v/>
      </c>
      <c r="T123" s="15" t="str">
        <f>IF(Sheet2!F123="","",Sheet2!F123&amp;"''")</f>
        <v/>
      </c>
      <c r="U123" s="12" t="str" cm="1">
        <f t="array" ref="U123">IF(T123="","",_xlfn.XLOOKUP(G123,[1]Sheet1!$G:$G,[1]Sheet1!$U:$W))</f>
        <v/>
      </c>
      <c r="X123" s="15" t="str">
        <f>IF(Sheet2!G123="","",Sheet2!G123&amp;"''")</f>
        <v/>
      </c>
    </row>
    <row r="124" spans="7:24" x14ac:dyDescent="0.25">
      <c r="G124" s="15" t="str">
        <f>IF(Sheet2!A124="","",Sheet2!A124)</f>
        <v/>
      </c>
      <c r="H124" s="18" t="str">
        <f>IF(Sheet2!O124="","",LEFT(Sheet2!O124, FIND(" ", Sheet2!O124)-1))</f>
        <v/>
      </c>
      <c r="I124" s="15" t="str">
        <f>IF(Sheet2!S124&lt;19,ROUND(Sheet2!I124,2)&amp;"'",IF(Sheet2!S124&lt;25,ROUND(Sheet2!J124,2)&amp;"'",IF(Sheet2!S124&lt;31,ROUND(Sheet2!K124,2)&amp;"'",IF(Sheet2!S124&lt;37,ROUND(Sheet2!L124,2)&amp;"'",""))))</f>
        <v/>
      </c>
      <c r="L124" s="15" t="str">
        <f>IF(Sheet2!D124="","",Sheet2!D124&amp;"''")</f>
        <v/>
      </c>
      <c r="O124" s="16" t="str">
        <f>IF(Sheet2!H124="","",ROUND(Sheet2!H124,2)&amp;"'")</f>
        <v/>
      </c>
      <c r="P124" s="18" t="str">
        <f>IF(Sheet2!E124="","",Sheet2!E124&amp;"''")</f>
        <v/>
      </c>
      <c r="Q124" s="12" t="str" cm="1">
        <f t="array" ref="Q124">IF(P124="","",_xlfn.XLOOKUP(G124,[1]Sheet1!$G:$G,[1]Sheet1!$Q:$S))</f>
        <v/>
      </c>
      <c r="T124" s="15" t="str">
        <f>IF(Sheet2!F124="","",Sheet2!F124&amp;"''")</f>
        <v/>
      </c>
      <c r="U124" s="12" t="str" cm="1">
        <f t="array" ref="U124">IF(T124="","",_xlfn.XLOOKUP(G124,[1]Sheet1!$G:$G,[1]Sheet1!$U:$W))</f>
        <v/>
      </c>
      <c r="X124" s="15" t="str">
        <f>IF(Sheet2!G124="","",Sheet2!G124&amp;"''")</f>
        <v/>
      </c>
    </row>
    <row r="125" spans="7:24" x14ac:dyDescent="0.25">
      <c r="G125" s="15" t="str">
        <f>IF(Sheet2!A125="","",Sheet2!A125)</f>
        <v/>
      </c>
      <c r="H125" s="18" t="str">
        <f>IF(Sheet2!O125="","",LEFT(Sheet2!O125, FIND(" ", Sheet2!O125)-1))</f>
        <v/>
      </c>
      <c r="I125" s="15" t="str">
        <f>IF(Sheet2!S125&lt;19,ROUND(Sheet2!I125,2)&amp;"'",IF(Sheet2!S125&lt;25,ROUND(Sheet2!J125,2)&amp;"'",IF(Sheet2!S125&lt;31,ROUND(Sheet2!K125,2)&amp;"'",IF(Sheet2!S125&lt;37,ROUND(Sheet2!L125,2)&amp;"'",""))))</f>
        <v/>
      </c>
      <c r="L125" s="15" t="str">
        <f>IF(Sheet2!D125="","",Sheet2!D125&amp;"''")</f>
        <v/>
      </c>
      <c r="O125" s="16" t="str">
        <f>IF(Sheet2!H125="","",ROUND(Sheet2!H125,2)&amp;"'")</f>
        <v/>
      </c>
      <c r="P125" s="18" t="str">
        <f>IF(Sheet2!E125="","",Sheet2!E125&amp;"''")</f>
        <v/>
      </c>
      <c r="Q125" s="12" t="str" cm="1">
        <f t="array" ref="Q125">IF(P125="","",_xlfn.XLOOKUP(G125,[1]Sheet1!$G:$G,[1]Sheet1!$Q:$S))</f>
        <v/>
      </c>
      <c r="T125" s="15" t="str">
        <f>IF(Sheet2!F125="","",Sheet2!F125&amp;"''")</f>
        <v/>
      </c>
      <c r="U125" s="12" t="str" cm="1">
        <f t="array" ref="U125">IF(T125="","",_xlfn.XLOOKUP(G125,[1]Sheet1!$G:$G,[1]Sheet1!$U:$W))</f>
        <v/>
      </c>
      <c r="X125" s="15" t="str">
        <f>IF(Sheet2!G125="","",Sheet2!G125&amp;"''")</f>
        <v/>
      </c>
    </row>
    <row r="126" spans="7:24" x14ac:dyDescent="0.25">
      <c r="G126" s="15" t="str">
        <f>IF(Sheet2!A126="","",Sheet2!A126)</f>
        <v/>
      </c>
      <c r="H126" s="18" t="str">
        <f>IF(Sheet2!O126="","",LEFT(Sheet2!O126, FIND(" ", Sheet2!O126)-1))</f>
        <v/>
      </c>
      <c r="I126" s="15" t="str">
        <f>IF(Sheet2!S126&lt;19,ROUND(Sheet2!I126,2)&amp;"'",IF(Sheet2!S126&lt;25,ROUND(Sheet2!J126,2)&amp;"'",IF(Sheet2!S126&lt;31,ROUND(Sheet2!K126,2)&amp;"'",IF(Sheet2!S126&lt;37,ROUND(Sheet2!L126,2)&amp;"'",""))))</f>
        <v/>
      </c>
      <c r="L126" s="15" t="str">
        <f>IF(Sheet2!D126="","",Sheet2!D126&amp;"''")</f>
        <v/>
      </c>
      <c r="O126" s="16" t="str">
        <f>IF(Sheet2!H126="","",ROUND(Sheet2!H126,2)&amp;"'")</f>
        <v/>
      </c>
      <c r="P126" s="18" t="str">
        <f>IF(Sheet2!E126="","",Sheet2!E126&amp;"''")</f>
        <v/>
      </c>
      <c r="Q126" s="12" t="str" cm="1">
        <f t="array" ref="Q126">IF(P126="","",_xlfn.XLOOKUP(G126,[1]Sheet1!$G:$G,[1]Sheet1!$Q:$S))</f>
        <v/>
      </c>
      <c r="T126" s="15" t="str">
        <f>IF(Sheet2!F126="","",Sheet2!F126&amp;"''")</f>
        <v/>
      </c>
      <c r="U126" s="12" t="str" cm="1">
        <f t="array" ref="U126">IF(T126="","",_xlfn.XLOOKUP(G126,[1]Sheet1!$G:$G,[1]Sheet1!$U:$W))</f>
        <v/>
      </c>
      <c r="X126" s="15" t="str">
        <f>IF(Sheet2!G126="","",Sheet2!G126&amp;"''")</f>
        <v/>
      </c>
    </row>
    <row r="127" spans="7:24" x14ac:dyDescent="0.25">
      <c r="G127" s="15" t="str">
        <f>IF(Sheet2!A127="","",Sheet2!A127)</f>
        <v/>
      </c>
      <c r="H127" s="18" t="str">
        <f>IF(Sheet2!O127="","",LEFT(Sheet2!O127, FIND(" ", Sheet2!O127)-1))</f>
        <v/>
      </c>
      <c r="I127" s="15" t="str">
        <f>IF(Sheet2!S127&lt;19,ROUND(Sheet2!I127,2)&amp;"'",IF(Sheet2!S127&lt;25,ROUND(Sheet2!J127,2)&amp;"'",IF(Sheet2!S127&lt;31,ROUND(Sheet2!K127,2)&amp;"'",IF(Sheet2!S127&lt;37,ROUND(Sheet2!L127,2)&amp;"'",""))))</f>
        <v/>
      </c>
      <c r="L127" s="15" t="str">
        <f>IF(Sheet2!D127="","",Sheet2!D127&amp;"''")</f>
        <v/>
      </c>
      <c r="O127" s="16" t="str">
        <f>IF(Sheet2!H127="","",ROUND(Sheet2!H127,2)&amp;"'")</f>
        <v/>
      </c>
      <c r="P127" s="18" t="str">
        <f>IF(Sheet2!E127="","",Sheet2!E127&amp;"''")</f>
        <v/>
      </c>
      <c r="Q127" s="12" t="str" cm="1">
        <f t="array" ref="Q127">IF(P127="","",_xlfn.XLOOKUP(G127,[1]Sheet1!$G:$G,[1]Sheet1!$Q:$S))</f>
        <v/>
      </c>
      <c r="T127" s="15" t="str">
        <f>IF(Sheet2!F127="","",Sheet2!F127&amp;"''")</f>
        <v/>
      </c>
      <c r="U127" s="12" t="str" cm="1">
        <f t="array" ref="U127">IF(T127="","",_xlfn.XLOOKUP(G127,[1]Sheet1!$G:$G,[1]Sheet1!$U:$W))</f>
        <v/>
      </c>
      <c r="X127" s="15" t="str">
        <f>IF(Sheet2!G127="","",Sheet2!G127&amp;"''")</f>
        <v/>
      </c>
    </row>
    <row r="128" spans="7:24" x14ac:dyDescent="0.25">
      <c r="G128" s="15" t="str">
        <f>IF(Sheet2!A128="","",Sheet2!A128)</f>
        <v/>
      </c>
      <c r="H128" s="18" t="str">
        <f>IF(Sheet2!O128="","",LEFT(Sheet2!O128, FIND(" ", Sheet2!O128)-1))</f>
        <v/>
      </c>
      <c r="I128" s="15" t="str">
        <f>IF(Sheet2!S128&lt;19,ROUND(Sheet2!I128,2)&amp;"'",IF(Sheet2!S128&lt;25,ROUND(Sheet2!J128,2)&amp;"'",IF(Sheet2!S128&lt;31,ROUND(Sheet2!K128,2)&amp;"'",IF(Sheet2!S128&lt;37,ROUND(Sheet2!L128,2)&amp;"'",""))))</f>
        <v/>
      </c>
      <c r="L128" s="15" t="str">
        <f>IF(Sheet2!D128="","",Sheet2!D128&amp;"''")</f>
        <v/>
      </c>
      <c r="O128" s="16" t="str">
        <f>IF(Sheet2!H128="","",ROUND(Sheet2!H128,2)&amp;"'")</f>
        <v/>
      </c>
      <c r="P128" s="18" t="str">
        <f>IF(Sheet2!E128="","",Sheet2!E128&amp;"''")</f>
        <v/>
      </c>
      <c r="Q128" s="12" t="str" cm="1">
        <f t="array" ref="Q128">IF(P128="","",_xlfn.XLOOKUP(G128,[1]Sheet1!$G:$G,[1]Sheet1!$Q:$S))</f>
        <v/>
      </c>
      <c r="T128" s="15" t="str">
        <f>IF(Sheet2!F128="","",Sheet2!F128&amp;"''")</f>
        <v/>
      </c>
      <c r="U128" s="12" t="str" cm="1">
        <f t="array" ref="U128">IF(T128="","",_xlfn.XLOOKUP(G128,[1]Sheet1!$G:$G,[1]Sheet1!$U:$W))</f>
        <v/>
      </c>
      <c r="X128" s="15" t="str">
        <f>IF(Sheet2!G128="","",Sheet2!G128&amp;"''")</f>
        <v/>
      </c>
    </row>
    <row r="129" spans="7:24" x14ac:dyDescent="0.25">
      <c r="G129" s="15" t="str">
        <f>IF(Sheet2!A129="","",Sheet2!A129)</f>
        <v/>
      </c>
      <c r="H129" s="18" t="str">
        <f>IF(Sheet2!O129="","",LEFT(Sheet2!O129, FIND(" ", Sheet2!O129)-1))</f>
        <v/>
      </c>
      <c r="I129" s="15" t="str">
        <f>IF(Sheet2!S129&lt;19,ROUND(Sheet2!I129,2)&amp;"'",IF(Sheet2!S129&lt;25,ROUND(Sheet2!J129,2)&amp;"'",IF(Sheet2!S129&lt;31,ROUND(Sheet2!K129,2)&amp;"'",IF(Sheet2!S129&lt;37,ROUND(Sheet2!L129,2)&amp;"'",""))))</f>
        <v/>
      </c>
      <c r="L129" s="15" t="str">
        <f>IF(Sheet2!D129="","",Sheet2!D129&amp;"''")</f>
        <v/>
      </c>
      <c r="O129" s="16" t="str">
        <f>IF(Sheet2!H129="","",ROUND(Sheet2!H129,2)&amp;"'")</f>
        <v/>
      </c>
      <c r="P129" s="18" t="str">
        <f>IF(Sheet2!E129="","",Sheet2!E129&amp;"''")</f>
        <v/>
      </c>
      <c r="Q129" s="12" t="str" cm="1">
        <f t="array" ref="Q129">IF(P129="","",_xlfn.XLOOKUP(G129,[1]Sheet1!$G:$G,[1]Sheet1!$Q:$S))</f>
        <v/>
      </c>
      <c r="T129" s="15" t="str">
        <f>IF(Sheet2!F129="","",Sheet2!F129&amp;"''")</f>
        <v/>
      </c>
      <c r="U129" s="12" t="str" cm="1">
        <f t="array" ref="U129">IF(T129="","",_xlfn.XLOOKUP(G129,[1]Sheet1!$G:$G,[1]Sheet1!$U:$W))</f>
        <v/>
      </c>
      <c r="X129" s="15" t="str">
        <f>IF(Sheet2!G129="","",Sheet2!G129&amp;"''")</f>
        <v/>
      </c>
    </row>
    <row r="130" spans="7:24" x14ac:dyDescent="0.25">
      <c r="G130" s="15" t="str">
        <f>IF(Sheet2!A130="","",Sheet2!A130)</f>
        <v/>
      </c>
      <c r="H130" s="18" t="str">
        <f>IF(Sheet2!O130="","",LEFT(Sheet2!O130, FIND(" ", Sheet2!O130)-1))</f>
        <v/>
      </c>
      <c r="I130" s="15" t="str">
        <f>IF(Sheet2!S130&lt;19,ROUND(Sheet2!I130,2)&amp;"'",IF(Sheet2!S130&lt;25,ROUND(Sheet2!J130,2)&amp;"'",IF(Sheet2!S130&lt;31,ROUND(Sheet2!K130,2)&amp;"'",IF(Sheet2!S130&lt;37,ROUND(Sheet2!L130,2)&amp;"'",""))))</f>
        <v/>
      </c>
      <c r="L130" s="15" t="str">
        <f>IF(Sheet2!D130="","",Sheet2!D130&amp;"''")</f>
        <v/>
      </c>
      <c r="O130" s="16" t="str">
        <f>IF(Sheet2!H130="","",ROUND(Sheet2!H130,2)&amp;"'")</f>
        <v/>
      </c>
      <c r="P130" s="18" t="str">
        <f>IF(Sheet2!E130="","",Sheet2!E130&amp;"''")</f>
        <v/>
      </c>
      <c r="Q130" s="12" t="str" cm="1">
        <f t="array" ref="Q130">IF(P130="","",_xlfn.XLOOKUP(G130,[1]Sheet1!$G:$G,[1]Sheet1!$Q:$S))</f>
        <v/>
      </c>
      <c r="T130" s="15" t="str">
        <f>IF(Sheet2!F130="","",Sheet2!F130&amp;"''")</f>
        <v/>
      </c>
      <c r="U130" s="12" t="str" cm="1">
        <f t="array" ref="U130">IF(T130="","",_xlfn.XLOOKUP(G130,[1]Sheet1!$G:$G,[1]Sheet1!$U:$W))</f>
        <v/>
      </c>
      <c r="X130" s="15" t="str">
        <f>IF(Sheet2!G130="","",Sheet2!G130&amp;"''")</f>
        <v/>
      </c>
    </row>
    <row r="131" spans="7:24" x14ac:dyDescent="0.25">
      <c r="G131" s="15" t="str">
        <f>IF(Sheet2!A131="","",Sheet2!A131)</f>
        <v/>
      </c>
      <c r="H131" s="18" t="str">
        <f>IF(Sheet2!O131="","",LEFT(Sheet2!O131, FIND(" ", Sheet2!O131)-1))</f>
        <v/>
      </c>
      <c r="I131" s="15" t="str">
        <f>IF(Sheet2!S131&lt;19,ROUND(Sheet2!I131,2)&amp;"'",IF(Sheet2!S131&lt;25,ROUND(Sheet2!J131,2)&amp;"'",IF(Sheet2!S131&lt;31,ROUND(Sheet2!K131,2)&amp;"'",IF(Sheet2!S131&lt;37,ROUND(Sheet2!L131,2)&amp;"'",""))))</f>
        <v/>
      </c>
      <c r="L131" s="15" t="str">
        <f>IF(Sheet2!D131="","",Sheet2!D131&amp;"''")</f>
        <v/>
      </c>
      <c r="O131" s="16" t="str">
        <f>IF(Sheet2!H131="","",ROUND(Sheet2!H131,2)&amp;"'")</f>
        <v/>
      </c>
      <c r="P131" s="18" t="str">
        <f>IF(Sheet2!E131="","",Sheet2!E131&amp;"''")</f>
        <v/>
      </c>
      <c r="Q131" s="12" t="str" cm="1">
        <f t="array" ref="Q131">IF(P131="","",_xlfn.XLOOKUP(G131,[1]Sheet1!$G:$G,[1]Sheet1!$Q:$S))</f>
        <v/>
      </c>
      <c r="T131" s="15" t="str">
        <f>IF(Sheet2!F131="","",Sheet2!F131&amp;"''")</f>
        <v/>
      </c>
      <c r="U131" s="12" t="str" cm="1">
        <f t="array" ref="U131">IF(T131="","",_xlfn.XLOOKUP(G131,[1]Sheet1!$G:$G,[1]Sheet1!$U:$W))</f>
        <v/>
      </c>
      <c r="X131" s="15" t="str">
        <f>IF(Sheet2!G131="","",Sheet2!G131&amp;"''")</f>
        <v/>
      </c>
    </row>
    <row r="132" spans="7:24" x14ac:dyDescent="0.25">
      <c r="G132" s="15" t="str">
        <f>IF(Sheet2!A132="","",Sheet2!A132)</f>
        <v/>
      </c>
      <c r="H132" s="18" t="str">
        <f>IF(Sheet2!O132="","",LEFT(Sheet2!O132, FIND(" ", Sheet2!O132)-1))</f>
        <v/>
      </c>
      <c r="I132" s="15" t="str">
        <f>IF(Sheet2!S132&lt;19,ROUND(Sheet2!I132,2)&amp;"'",IF(Sheet2!S132&lt;25,ROUND(Sheet2!J132,2)&amp;"'",IF(Sheet2!S132&lt;31,ROUND(Sheet2!K132,2)&amp;"'",IF(Sheet2!S132&lt;37,ROUND(Sheet2!L132,2)&amp;"'",""))))</f>
        <v/>
      </c>
      <c r="L132" s="15" t="str">
        <f>IF(Sheet2!D132="","",Sheet2!D132&amp;"''")</f>
        <v/>
      </c>
      <c r="O132" s="16" t="str">
        <f>IF(Sheet2!H132="","",ROUND(Sheet2!H132,2)&amp;"'")</f>
        <v/>
      </c>
      <c r="P132" s="18" t="str">
        <f>IF(Sheet2!E132="","",Sheet2!E132&amp;"''")</f>
        <v/>
      </c>
      <c r="Q132" s="12" t="str" cm="1">
        <f t="array" ref="Q132">IF(P132="","",_xlfn.XLOOKUP(G132,[1]Sheet1!$G:$G,[1]Sheet1!$Q:$S))</f>
        <v/>
      </c>
      <c r="T132" s="15" t="str">
        <f>IF(Sheet2!F132="","",Sheet2!F132&amp;"''")</f>
        <v/>
      </c>
      <c r="U132" s="12" t="str" cm="1">
        <f t="array" ref="U132">IF(T132="","",_xlfn.XLOOKUP(G132,[1]Sheet1!$G:$G,[1]Sheet1!$U:$W))</f>
        <v/>
      </c>
      <c r="X132" s="15" t="str">
        <f>IF(Sheet2!G132="","",Sheet2!G132&amp;"''")</f>
        <v/>
      </c>
    </row>
    <row r="133" spans="7:24" x14ac:dyDescent="0.25">
      <c r="G133" s="15" t="str">
        <f>IF(Sheet2!A133="","",Sheet2!A133)</f>
        <v/>
      </c>
      <c r="H133" s="18" t="str">
        <f>IF(Sheet2!O133="","",LEFT(Sheet2!O133, FIND(" ", Sheet2!O133)-1))</f>
        <v/>
      </c>
      <c r="I133" s="15" t="str">
        <f>IF(Sheet2!S133&lt;19,ROUND(Sheet2!I133,2)&amp;"'",IF(Sheet2!S133&lt;25,ROUND(Sheet2!J133,2)&amp;"'",IF(Sheet2!S133&lt;31,ROUND(Sheet2!K133,2)&amp;"'",IF(Sheet2!S133&lt;37,ROUND(Sheet2!L133,2)&amp;"'",""))))</f>
        <v/>
      </c>
      <c r="L133" s="15" t="str">
        <f>IF(Sheet2!D133="","",Sheet2!D133&amp;"''")</f>
        <v/>
      </c>
      <c r="O133" s="16" t="str">
        <f>IF(Sheet2!H133="","",ROUND(Sheet2!H133,2)&amp;"'")</f>
        <v/>
      </c>
      <c r="P133" s="18" t="str">
        <f>IF(Sheet2!E133="","",Sheet2!E133&amp;"''")</f>
        <v/>
      </c>
      <c r="Q133" s="12" t="str" cm="1">
        <f t="array" ref="Q133">IF(P133="","",_xlfn.XLOOKUP(G133,[1]Sheet1!$G:$G,[1]Sheet1!$Q:$S))</f>
        <v/>
      </c>
      <c r="T133" s="15" t="str">
        <f>IF(Sheet2!F133="","",Sheet2!F133&amp;"''")</f>
        <v/>
      </c>
      <c r="U133" s="12" t="str" cm="1">
        <f t="array" ref="U133">IF(T133="","",_xlfn.XLOOKUP(G133,[1]Sheet1!$G:$G,[1]Sheet1!$U:$W))</f>
        <v/>
      </c>
      <c r="X133" s="15" t="str">
        <f>IF(Sheet2!G133="","",Sheet2!G133&amp;"''")</f>
        <v/>
      </c>
    </row>
    <row r="134" spans="7:24" x14ac:dyDescent="0.25">
      <c r="G134" s="15" t="str">
        <f>IF(Sheet2!A134="","",Sheet2!A134)</f>
        <v/>
      </c>
      <c r="H134" s="18" t="str">
        <f>IF(Sheet2!O134="","",LEFT(Sheet2!O134, FIND(" ", Sheet2!O134)-1))</f>
        <v/>
      </c>
      <c r="I134" s="15" t="str">
        <f>IF(Sheet2!S134&lt;19,ROUND(Sheet2!I134,2)&amp;"'",IF(Sheet2!S134&lt;25,ROUND(Sheet2!J134,2)&amp;"'",IF(Sheet2!S134&lt;31,ROUND(Sheet2!K134,2)&amp;"'",IF(Sheet2!S134&lt;37,ROUND(Sheet2!L134,2)&amp;"'",""))))</f>
        <v/>
      </c>
      <c r="L134" s="15" t="str">
        <f>IF(Sheet2!D134="","",Sheet2!D134&amp;"''")</f>
        <v/>
      </c>
      <c r="O134" s="16" t="str">
        <f>IF(Sheet2!H134="","",ROUND(Sheet2!H134,2)&amp;"'")</f>
        <v/>
      </c>
      <c r="P134" s="18" t="str">
        <f>IF(Sheet2!E134="","",Sheet2!E134&amp;"''")</f>
        <v/>
      </c>
      <c r="Q134" s="12" t="str" cm="1">
        <f t="array" ref="Q134">IF(P134="","",_xlfn.XLOOKUP(G134,[1]Sheet1!$G:$G,[1]Sheet1!$Q:$S))</f>
        <v/>
      </c>
      <c r="T134" s="15" t="str">
        <f>IF(Sheet2!F134="","",Sheet2!F134&amp;"''")</f>
        <v/>
      </c>
      <c r="U134" s="12" t="str" cm="1">
        <f t="array" ref="U134">IF(T134="","",_xlfn.XLOOKUP(G134,[1]Sheet1!$G:$G,[1]Sheet1!$U:$W))</f>
        <v/>
      </c>
      <c r="X134" s="15" t="str">
        <f>IF(Sheet2!G134="","",Sheet2!G134&amp;"''")</f>
        <v/>
      </c>
    </row>
    <row r="135" spans="7:24" x14ac:dyDescent="0.25">
      <c r="G135" s="15" t="str">
        <f>IF(Sheet2!A135="","",Sheet2!A135)</f>
        <v/>
      </c>
      <c r="H135" s="18" t="str">
        <f>IF(Sheet2!O135="","",LEFT(Sheet2!O135, FIND(" ", Sheet2!O135)-1))</f>
        <v/>
      </c>
      <c r="I135" s="15" t="str">
        <f>IF(Sheet2!S135&lt;19,ROUND(Sheet2!I135,2)&amp;"'",IF(Sheet2!S135&lt;25,ROUND(Sheet2!J135,2)&amp;"'",IF(Sheet2!S135&lt;31,ROUND(Sheet2!K135,2)&amp;"'",IF(Sheet2!S135&lt;37,ROUND(Sheet2!L135,2)&amp;"'",""))))</f>
        <v/>
      </c>
      <c r="L135" s="15" t="str">
        <f>IF(Sheet2!D135="","",Sheet2!D135&amp;"''")</f>
        <v/>
      </c>
      <c r="O135" s="16" t="str">
        <f>IF(Sheet2!H135="","",ROUND(Sheet2!H135,2)&amp;"'")</f>
        <v/>
      </c>
      <c r="P135" s="18" t="str">
        <f>IF(Sheet2!E135="","",Sheet2!E135&amp;"''")</f>
        <v/>
      </c>
      <c r="Q135" s="12" t="str" cm="1">
        <f t="array" ref="Q135">IF(P135="","",_xlfn.XLOOKUP(G135,[1]Sheet1!$G:$G,[1]Sheet1!$Q:$S))</f>
        <v/>
      </c>
      <c r="T135" s="15" t="str">
        <f>IF(Sheet2!F135="","",Sheet2!F135&amp;"''")</f>
        <v/>
      </c>
      <c r="U135" s="12" t="str" cm="1">
        <f t="array" ref="U135">IF(T135="","",_xlfn.XLOOKUP(G135,[1]Sheet1!$G:$G,[1]Sheet1!$U:$W))</f>
        <v/>
      </c>
      <c r="X135" s="15" t="str">
        <f>IF(Sheet2!G135="","",Sheet2!G135&amp;"''")</f>
        <v/>
      </c>
    </row>
    <row r="136" spans="7:24" x14ac:dyDescent="0.25">
      <c r="G136" s="15" t="str">
        <f>IF(Sheet2!A136="","",Sheet2!A136)</f>
        <v/>
      </c>
      <c r="H136" s="18" t="str">
        <f>IF(Sheet2!O136="","",LEFT(Sheet2!O136, FIND(" ", Sheet2!O136)-1))</f>
        <v/>
      </c>
      <c r="I136" s="15" t="str">
        <f>IF(Sheet2!S136&lt;19,ROUND(Sheet2!I136,2)&amp;"'",IF(Sheet2!S136&lt;25,ROUND(Sheet2!J136,2)&amp;"'",IF(Sheet2!S136&lt;31,ROUND(Sheet2!K136,2)&amp;"'",IF(Sheet2!S136&lt;37,ROUND(Sheet2!L136,2)&amp;"'",""))))</f>
        <v/>
      </c>
      <c r="L136" s="15" t="str">
        <f>IF(Sheet2!D136="","",Sheet2!D136&amp;"''")</f>
        <v/>
      </c>
      <c r="O136" s="16" t="str">
        <f>IF(Sheet2!H136="","",ROUND(Sheet2!H136,2)&amp;"'")</f>
        <v/>
      </c>
      <c r="P136" s="18" t="str">
        <f>IF(Sheet2!E136="","",Sheet2!E136&amp;"''")</f>
        <v/>
      </c>
      <c r="Q136" s="12" t="str" cm="1">
        <f t="array" ref="Q136">IF(P136="","",_xlfn.XLOOKUP(G136,[1]Sheet1!$G:$G,[1]Sheet1!$Q:$S))</f>
        <v/>
      </c>
      <c r="T136" s="15" t="str">
        <f>IF(Sheet2!F136="","",Sheet2!F136&amp;"''")</f>
        <v/>
      </c>
      <c r="U136" s="12" t="str" cm="1">
        <f t="array" ref="U136">IF(T136="","",_xlfn.XLOOKUP(G136,[1]Sheet1!$G:$G,[1]Sheet1!$U:$W))</f>
        <v/>
      </c>
      <c r="X136" s="15" t="str">
        <f>IF(Sheet2!G136="","",Sheet2!G136&amp;"''")</f>
        <v/>
      </c>
    </row>
    <row r="137" spans="7:24" x14ac:dyDescent="0.25">
      <c r="G137" s="15" t="str">
        <f>IF(Sheet2!A137="","",Sheet2!A137)</f>
        <v/>
      </c>
      <c r="H137" s="18" t="str">
        <f>IF(Sheet2!O137="","",LEFT(Sheet2!O137, FIND(" ", Sheet2!O137)-1))</f>
        <v/>
      </c>
      <c r="I137" s="15" t="str">
        <f>IF(Sheet2!S137&lt;19,ROUND(Sheet2!I137,2)&amp;"'",IF(Sheet2!S137&lt;25,ROUND(Sheet2!J137,2)&amp;"'",IF(Sheet2!S137&lt;31,ROUND(Sheet2!K137,2)&amp;"'",IF(Sheet2!S137&lt;37,ROUND(Sheet2!L137,2)&amp;"'",""))))</f>
        <v/>
      </c>
      <c r="L137" s="15" t="str">
        <f>IF(Sheet2!D137="","",Sheet2!D137&amp;"''")</f>
        <v/>
      </c>
      <c r="O137" s="16" t="str">
        <f>IF(Sheet2!H137="","",ROUND(Sheet2!H137,2)&amp;"'")</f>
        <v/>
      </c>
      <c r="P137" s="18" t="str">
        <f>IF(Sheet2!E137="","",Sheet2!E137&amp;"''")</f>
        <v/>
      </c>
      <c r="Q137" s="12" t="str" cm="1">
        <f t="array" ref="Q137">IF(P137="","",_xlfn.XLOOKUP(G137,[1]Sheet1!$G:$G,[1]Sheet1!$Q:$S))</f>
        <v/>
      </c>
      <c r="T137" s="15" t="str">
        <f>IF(Sheet2!F137="","",Sheet2!F137&amp;"''")</f>
        <v/>
      </c>
      <c r="U137" s="12" t="str" cm="1">
        <f t="array" ref="U137">IF(T137="","",_xlfn.XLOOKUP(G137,[1]Sheet1!$G:$G,[1]Sheet1!$U:$W))</f>
        <v/>
      </c>
      <c r="X137" s="15" t="str">
        <f>IF(Sheet2!G137="","",Sheet2!G137&amp;"''")</f>
        <v/>
      </c>
    </row>
    <row r="138" spans="7:24" x14ac:dyDescent="0.25">
      <c r="G138" s="15" t="str">
        <f>IF(Sheet2!A138="","",Sheet2!A138)</f>
        <v/>
      </c>
      <c r="H138" s="18" t="str">
        <f>IF(Sheet2!O138="","",LEFT(Sheet2!O138, FIND(" ", Sheet2!O138)-1))</f>
        <v/>
      </c>
      <c r="I138" s="15" t="str">
        <f>IF(Sheet2!S138&lt;19,ROUND(Sheet2!I138,2)&amp;"'",IF(Sheet2!S138&lt;25,ROUND(Sheet2!J138,2)&amp;"'",IF(Sheet2!S138&lt;31,ROUND(Sheet2!K138,2)&amp;"'",IF(Sheet2!S138&lt;37,ROUND(Sheet2!L138,2)&amp;"'",""))))</f>
        <v/>
      </c>
      <c r="L138" s="15" t="str">
        <f>IF(Sheet2!D138="","",Sheet2!D138&amp;"''")</f>
        <v/>
      </c>
      <c r="O138" s="16" t="str">
        <f>IF(Sheet2!H138="","",ROUND(Sheet2!H138,2)&amp;"'")</f>
        <v/>
      </c>
      <c r="P138" s="18" t="str">
        <f>IF(Sheet2!E138="","",Sheet2!E138&amp;"''")</f>
        <v/>
      </c>
      <c r="Q138" s="12" t="str" cm="1">
        <f t="array" ref="Q138">IF(P138="","",_xlfn.XLOOKUP(G138,[1]Sheet1!$G:$G,[1]Sheet1!$Q:$S))</f>
        <v/>
      </c>
      <c r="T138" s="15" t="str">
        <f>IF(Sheet2!F138="","",Sheet2!F138&amp;"''")</f>
        <v/>
      </c>
      <c r="U138" s="12" t="str" cm="1">
        <f t="array" ref="U138">IF(T138="","",_xlfn.XLOOKUP(G138,[1]Sheet1!$G:$G,[1]Sheet1!$U:$W))</f>
        <v/>
      </c>
      <c r="X138" s="15" t="str">
        <f>IF(Sheet2!G138="","",Sheet2!G138&amp;"''")</f>
        <v/>
      </c>
    </row>
    <row r="139" spans="7:24" x14ac:dyDescent="0.25">
      <c r="G139" s="15" t="str">
        <f>IF(Sheet2!A139="","",Sheet2!A139)</f>
        <v/>
      </c>
      <c r="H139" s="18" t="str">
        <f>IF(Sheet2!O139="","",LEFT(Sheet2!O139, FIND(" ", Sheet2!O139)-1))</f>
        <v/>
      </c>
      <c r="I139" s="15" t="str">
        <f>IF(Sheet2!S139&lt;19,ROUND(Sheet2!I139,2)&amp;"'",IF(Sheet2!S139&lt;25,ROUND(Sheet2!J139,2)&amp;"'",IF(Sheet2!S139&lt;31,ROUND(Sheet2!K139,2)&amp;"'",IF(Sheet2!S139&lt;37,ROUND(Sheet2!L139,2)&amp;"'",""))))</f>
        <v/>
      </c>
      <c r="L139" s="15" t="str">
        <f>IF(Sheet2!D139="","",Sheet2!D139&amp;"''")</f>
        <v/>
      </c>
      <c r="O139" s="16" t="str">
        <f>IF(Sheet2!H139="","",ROUND(Sheet2!H139,2)&amp;"'")</f>
        <v/>
      </c>
      <c r="P139" s="18" t="str">
        <f>IF(Sheet2!E139="","",Sheet2!E139&amp;"''")</f>
        <v/>
      </c>
      <c r="Q139" s="12" t="str" cm="1">
        <f t="array" ref="Q139">IF(P139="","",_xlfn.XLOOKUP(G139,[1]Sheet1!$G:$G,[1]Sheet1!$Q:$S))</f>
        <v/>
      </c>
      <c r="T139" s="15" t="str">
        <f>IF(Sheet2!F139="","",Sheet2!F139&amp;"""")</f>
        <v/>
      </c>
      <c r="U139" s="12" t="str" cm="1">
        <f t="array" ref="U139">IF(T139="","",_xlfn.XLOOKUP(G139,[1]Sheet1!$G:$G,[1]Sheet1!$U:$W))</f>
        <v/>
      </c>
      <c r="X139" s="15" t="str">
        <f>IF(Sheet2!G139="","",Sheet2!G139&amp;"''")</f>
        <v/>
      </c>
    </row>
    <row r="140" spans="7:24" x14ac:dyDescent="0.25">
      <c r="G140" s="15" t="str">
        <f>IF(Sheet2!A140="","",Sheet2!A140)</f>
        <v/>
      </c>
      <c r="H140" s="18" t="str">
        <f>IF(Sheet2!O140="","",LEFT(Sheet2!O140, FIND(" ", Sheet2!O140)-1))</f>
        <v/>
      </c>
      <c r="I140" s="15" t="str">
        <f>IF(Sheet2!S140&lt;19,ROUND(Sheet2!I140,2)&amp;"'",IF(Sheet2!S140&lt;25,ROUND(Sheet2!J140,2)&amp;"'",IF(Sheet2!S140&lt;31,ROUND(Sheet2!K140,2)&amp;"'",IF(Sheet2!S140&lt;37,ROUND(Sheet2!L140,2)&amp;"'",""))))</f>
        <v/>
      </c>
      <c r="L140" s="15" t="str">
        <f>IF(Sheet2!D140="","",Sheet2!D140&amp;"''")</f>
        <v/>
      </c>
      <c r="O140" s="16" t="str">
        <f>IF(Sheet2!H140="","",ROUND(Sheet2!H140,2)&amp;"'")</f>
        <v/>
      </c>
      <c r="P140" s="18" t="str">
        <f>IF(Sheet2!E140="","",Sheet2!E140&amp;"''")</f>
        <v/>
      </c>
      <c r="Q140" s="12" t="str" cm="1">
        <f t="array" ref="Q140">IF(P140="","",_xlfn.XLOOKUP(G140,[1]Sheet1!$G:$G,[1]Sheet1!$Q:$S))</f>
        <v/>
      </c>
      <c r="T140" s="15" t="str">
        <f>IF(Sheet2!F140="","",Sheet2!F140&amp;"""")</f>
        <v/>
      </c>
      <c r="U140" s="12" t="str" cm="1">
        <f t="array" ref="U140">IF(T140="","",_xlfn.XLOOKUP(G140,[1]Sheet1!$G:$G,[1]Sheet1!$U:$W))</f>
        <v/>
      </c>
      <c r="X140" s="15" t="str">
        <f>IF(Sheet2!G140="","",Sheet2!G140&amp;"''")</f>
        <v/>
      </c>
    </row>
    <row r="141" spans="7:24" x14ac:dyDescent="0.25">
      <c r="G141" s="15" t="str">
        <f>IF(Sheet2!A141="","",Sheet2!A141)</f>
        <v/>
      </c>
      <c r="H141" s="18" t="str">
        <f>IF(Sheet2!O141="","",LEFT(Sheet2!O141, FIND(" ", Sheet2!O141)-1))</f>
        <v/>
      </c>
      <c r="I141" s="15" t="str">
        <f>IF(Sheet2!S141&lt;19,ROUND(Sheet2!I141,2)&amp;"'",IF(Sheet2!S141&lt;25,ROUND(Sheet2!J141,2)&amp;"'",IF(Sheet2!S141&lt;31,ROUND(Sheet2!K141,2)&amp;"'",IF(Sheet2!S141&lt;37,ROUND(Sheet2!L141,2)&amp;"'",""))))</f>
        <v/>
      </c>
      <c r="L141" s="15" t="str">
        <f>IF(Sheet2!D141="","",Sheet2!D141&amp;"''")</f>
        <v/>
      </c>
      <c r="O141" s="16" t="str">
        <f>IF(Sheet2!H141="","",ROUND(Sheet2!H141,2)&amp;"'")</f>
        <v/>
      </c>
      <c r="P141" s="18" t="str">
        <f>IF(Sheet2!E141="","",Sheet2!E141&amp;"''")</f>
        <v/>
      </c>
      <c r="Q141" s="12" t="str" cm="1">
        <f t="array" ref="Q141">IF(P141="","",_xlfn.XLOOKUP(G141,[1]Sheet1!$G:$G,[1]Sheet1!$Q:$S))</f>
        <v/>
      </c>
      <c r="T141" s="15" t="str">
        <f>IF(Sheet2!F141="","",Sheet2!F141&amp;"""")</f>
        <v/>
      </c>
      <c r="U141" s="12" t="str" cm="1">
        <f t="array" ref="U141">IF(T141="","",_xlfn.XLOOKUP(G141,[1]Sheet1!$G:$G,[1]Sheet1!$U:$W))</f>
        <v/>
      </c>
      <c r="X141" s="15" t="str">
        <f>IF(Sheet2!G141="","",Sheet2!G141&amp;"''")</f>
        <v/>
      </c>
    </row>
    <row r="142" spans="7:24" x14ac:dyDescent="0.25">
      <c r="G142" s="15" t="str">
        <f>IF(Sheet2!A142="","",Sheet2!A142)</f>
        <v/>
      </c>
      <c r="H142" s="18" t="str">
        <f>IF(Sheet2!O142="","",LEFT(Sheet2!O142, FIND(" ", Sheet2!O142)-1))</f>
        <v/>
      </c>
      <c r="I142" s="15" t="str">
        <f>IF(Sheet2!S142&lt;19,ROUND(Sheet2!I142,2)&amp;"'",IF(Sheet2!S142&lt;25,ROUND(Sheet2!J142,2)&amp;"'",IF(Sheet2!S142&lt;31,ROUND(Sheet2!K142,2)&amp;"'",IF(Sheet2!S142&lt;37,ROUND(Sheet2!L142,2)&amp;"'",""))))</f>
        <v/>
      </c>
      <c r="L142" s="15" t="str">
        <f>IF(Sheet2!D142="","",Sheet2!D142&amp;"''")</f>
        <v/>
      </c>
      <c r="O142" s="16" t="str">
        <f>IF(Sheet2!H142="","",ROUND(Sheet2!H142,2)&amp;"'")</f>
        <v/>
      </c>
      <c r="P142" s="18" t="str">
        <f>IF(Sheet2!E142="","",Sheet2!E142&amp;"''")</f>
        <v/>
      </c>
      <c r="Q142" s="12" t="str" cm="1">
        <f t="array" ref="Q142">IF(P142="","",_xlfn.XLOOKUP(G142,[1]Sheet1!$G:$G,[1]Sheet1!$Q:$S))</f>
        <v/>
      </c>
      <c r="T142" s="15" t="str">
        <f>IF(Sheet2!F142="","",Sheet2!F142&amp;"""")</f>
        <v/>
      </c>
      <c r="U142" s="12" t="str" cm="1">
        <f t="array" ref="U142">IF(T142="","",_xlfn.XLOOKUP(G142,[1]Sheet1!$G:$G,[1]Sheet1!$U:$W))</f>
        <v/>
      </c>
      <c r="X142" s="15" t="str">
        <f>IF(Sheet2!G142="","",Sheet2!G142&amp;"''")</f>
        <v/>
      </c>
    </row>
    <row r="143" spans="7:24" x14ac:dyDescent="0.25">
      <c r="G143" s="15" t="str">
        <f>IF(Sheet2!A143="","",Sheet2!A143)</f>
        <v/>
      </c>
      <c r="H143" s="18" t="str">
        <f>IF(Sheet2!O143="","",LEFT(Sheet2!O143, FIND(" ", Sheet2!O143)-1))</f>
        <v/>
      </c>
      <c r="I143" s="15" t="str">
        <f>IF(Sheet2!S143&lt;19,ROUND(Sheet2!I143,2)&amp;"'",IF(Sheet2!S143&lt;25,ROUND(Sheet2!J143,2)&amp;"'",IF(Sheet2!S143&lt;31,ROUND(Sheet2!K143,2)&amp;"'",IF(Sheet2!S143&lt;37,ROUND(Sheet2!L143,2)&amp;"'",""))))</f>
        <v/>
      </c>
      <c r="L143" s="15" t="str">
        <f>IF(Sheet2!D143="","",Sheet2!D143&amp;"''")</f>
        <v/>
      </c>
      <c r="O143" s="16" t="str">
        <f>IF(Sheet2!H143="","",ROUND(Sheet2!H143,2)&amp;"'")</f>
        <v/>
      </c>
      <c r="P143" s="18" t="str">
        <f>IF(Sheet2!E143="","",Sheet2!E143&amp;"''")</f>
        <v/>
      </c>
      <c r="Q143" s="12" t="str" cm="1">
        <f t="array" ref="Q143">IF(P143="","",_xlfn.XLOOKUP(G143,[1]Sheet1!$G:$G,[1]Sheet1!$Q:$S))</f>
        <v/>
      </c>
      <c r="T143" s="15" t="str">
        <f>IF(Sheet2!F143="","",Sheet2!F143&amp;"""")</f>
        <v/>
      </c>
      <c r="U143" s="12" t="str" cm="1">
        <f t="array" ref="U143">IF(T143="","",_xlfn.XLOOKUP(G143,[1]Sheet1!$G:$G,[1]Sheet1!$U:$W))</f>
        <v/>
      </c>
      <c r="X143" s="15" t="str">
        <f>IF(Sheet2!G143="","",Sheet2!G143&amp;"''")</f>
        <v/>
      </c>
    </row>
    <row r="144" spans="7:24" x14ac:dyDescent="0.25">
      <c r="G144" s="15" t="str">
        <f>IF(Sheet2!A144="","",Sheet2!A144)</f>
        <v/>
      </c>
      <c r="H144" s="18" t="str">
        <f>IF(Sheet2!O144="","",LEFT(Sheet2!O144, FIND(" ", Sheet2!O144)-1))</f>
        <v/>
      </c>
      <c r="I144" s="15" t="str">
        <f>IF(Sheet2!S144&lt;19,ROUND(Sheet2!I144,2)&amp;"'",IF(Sheet2!S144&lt;25,ROUND(Sheet2!J144,2)&amp;"'",IF(Sheet2!S144&lt;31,ROUND(Sheet2!K144,2)&amp;"'",IF(Sheet2!S144&lt;37,ROUND(Sheet2!L144,2)&amp;"'",""))))</f>
        <v/>
      </c>
      <c r="L144" s="15" t="str">
        <f>IF(Sheet2!D144="","",Sheet2!D144&amp;"''")</f>
        <v/>
      </c>
      <c r="O144" s="16" t="str">
        <f>IF(Sheet2!H144="","",ROUND(Sheet2!H144,2)&amp;"'")</f>
        <v/>
      </c>
      <c r="P144" s="18" t="str">
        <f>IF(Sheet2!E144="","",Sheet2!E144&amp;"''")</f>
        <v/>
      </c>
      <c r="Q144" s="12" t="str" cm="1">
        <f t="array" ref="Q144">IF(P144="","",_xlfn.XLOOKUP(G144,[1]Sheet1!$G:$G,[1]Sheet1!$Q:$S))</f>
        <v/>
      </c>
      <c r="T144" s="15" t="str">
        <f>IF(Sheet2!F144="","",Sheet2!F144&amp;"""")</f>
        <v/>
      </c>
      <c r="U144" s="12" t="str" cm="1">
        <f t="array" ref="U144">IF(T144="","",_xlfn.XLOOKUP(G144,[1]Sheet1!$G:$G,[1]Sheet1!$U:$W))</f>
        <v/>
      </c>
      <c r="X144" s="15" t="str">
        <f>IF(Sheet2!G144="","",Sheet2!G144&amp;"''")</f>
        <v/>
      </c>
    </row>
    <row r="145" spans="7:24" x14ac:dyDescent="0.25">
      <c r="G145" s="15" t="str">
        <f>IF(Sheet2!A145="","",Sheet2!A145)</f>
        <v/>
      </c>
      <c r="H145" s="18" t="str">
        <f>IF(Sheet2!O145="","",LEFT(Sheet2!O145, FIND(" ", Sheet2!O145)-1))</f>
        <v/>
      </c>
      <c r="I145" s="15" t="str">
        <f>IF(Sheet2!S145&lt;19,ROUND(Sheet2!I145,2)&amp;"'",IF(Sheet2!S145&lt;25,ROUND(Sheet2!J145,2)&amp;"'",IF(Sheet2!S145&lt;31,ROUND(Sheet2!K145,2)&amp;"'",IF(Sheet2!S145&lt;37,ROUND(Sheet2!L145,2)&amp;"'",""))))</f>
        <v/>
      </c>
      <c r="L145" s="15" t="str">
        <f>IF(Sheet2!D145="","",Sheet2!D145&amp;"''")</f>
        <v/>
      </c>
      <c r="O145" s="16" t="str">
        <f>IF(Sheet2!H145="","",ROUND(Sheet2!H145,2)&amp;"'")</f>
        <v/>
      </c>
      <c r="P145" s="18" t="str">
        <f>IF(Sheet2!E145="","",Sheet2!E145&amp;"''")</f>
        <v/>
      </c>
      <c r="Q145" s="12" t="str" cm="1">
        <f t="array" ref="Q145">IF(P145="","",_xlfn.XLOOKUP(G145,[1]Sheet1!$G:$G,[1]Sheet1!$Q:$S))</f>
        <v/>
      </c>
      <c r="T145" s="15" t="str">
        <f>IF(Sheet2!F145="","",Sheet2!F145&amp;"""")</f>
        <v/>
      </c>
      <c r="U145" s="12" t="str" cm="1">
        <f t="array" ref="U145">IF(T145="","",_xlfn.XLOOKUP(G145,[1]Sheet1!$G:$G,[1]Sheet1!$U:$W))</f>
        <v/>
      </c>
      <c r="X145" s="15" t="str">
        <f>IF(Sheet2!G145="","",Sheet2!G145&amp;"''")</f>
        <v/>
      </c>
    </row>
    <row r="146" spans="7:24" x14ac:dyDescent="0.25">
      <c r="G146" s="15" t="str">
        <f>IF(Sheet2!A146="","",Sheet2!A146)</f>
        <v/>
      </c>
      <c r="H146" s="18" t="str">
        <f>IF(Sheet2!O146="","",LEFT(Sheet2!O146, FIND(" ", Sheet2!O146)-1))</f>
        <v/>
      </c>
      <c r="I146" s="15" t="str">
        <f>IF(Sheet2!S146&lt;19,ROUND(Sheet2!I146,2)&amp;"'",IF(Sheet2!S146&lt;25,ROUND(Sheet2!J146,2)&amp;"'",IF(Sheet2!S146&lt;31,ROUND(Sheet2!K146,2)&amp;"'",IF(Sheet2!S146&lt;37,ROUND(Sheet2!L146,2)&amp;"'",""))))</f>
        <v/>
      </c>
      <c r="L146" s="15" t="str">
        <f>IF(Sheet2!D146="","",Sheet2!D146&amp;"''")</f>
        <v/>
      </c>
      <c r="O146" s="16" t="str">
        <f>IF(Sheet2!H146="","",ROUND(Sheet2!H146,2)&amp;"'")</f>
        <v/>
      </c>
      <c r="P146" s="18" t="str">
        <f>IF(Sheet2!E146="","",Sheet2!E146&amp;"''")</f>
        <v/>
      </c>
      <c r="Q146" s="12" t="str" cm="1">
        <f t="array" ref="Q146">IF(P146="","",_xlfn.XLOOKUP(G146,[1]Sheet1!$G:$G,[1]Sheet1!$Q:$S))</f>
        <v/>
      </c>
      <c r="T146" s="15" t="str">
        <f>IF(Sheet2!F146="","",Sheet2!F146&amp;"""")</f>
        <v/>
      </c>
      <c r="U146" s="12" t="str" cm="1">
        <f t="array" ref="U146">IF(T146="","",_xlfn.XLOOKUP(G146,[1]Sheet1!$G:$G,[1]Sheet1!$U:$W))</f>
        <v/>
      </c>
      <c r="X146" s="15" t="str">
        <f>IF(Sheet2!G146="","",Sheet2!G146&amp;"''")</f>
        <v/>
      </c>
    </row>
    <row r="147" spans="7:24" x14ac:dyDescent="0.25">
      <c r="G147" s="15" t="str">
        <f>IF(Sheet2!A147="","",Sheet2!A147)</f>
        <v/>
      </c>
      <c r="H147" s="18" t="str">
        <f>IF(Sheet2!O147="","",LEFT(Sheet2!O147, FIND(" ", Sheet2!O147)-1))</f>
        <v/>
      </c>
      <c r="I147" s="15" t="str">
        <f>IF(Sheet2!S147&lt;19,ROUND(Sheet2!I147,2)&amp;"'",IF(Sheet2!S147&lt;25,ROUND(Sheet2!J147,2)&amp;"'",IF(Sheet2!S147&lt;31,ROUND(Sheet2!K147,2)&amp;"'",IF(Sheet2!S147&lt;37,ROUND(Sheet2!L147,2)&amp;"'",""))))</f>
        <v/>
      </c>
      <c r="L147" s="15" t="str">
        <f>IF(Sheet2!D147="","",Sheet2!D147&amp;"''")</f>
        <v/>
      </c>
      <c r="O147" s="16" t="str">
        <f>IF(Sheet2!H147="","",ROUND(Sheet2!H147,2)&amp;"'")</f>
        <v/>
      </c>
      <c r="P147" s="18" t="str">
        <f>IF(Sheet2!E147="","",Sheet2!E147&amp;"''")</f>
        <v/>
      </c>
      <c r="Q147" s="12" t="str" cm="1">
        <f t="array" ref="Q147">IF(P147="","",_xlfn.XLOOKUP(G147,[1]Sheet1!$G:$G,[1]Sheet1!$Q:$S))</f>
        <v/>
      </c>
      <c r="T147" s="15" t="str">
        <f>IF(Sheet2!F147="","",Sheet2!F147&amp;"""")</f>
        <v/>
      </c>
      <c r="U147" s="12" t="str" cm="1">
        <f t="array" ref="U147">IF(T147="","",_xlfn.XLOOKUP(G147,[1]Sheet1!$G:$G,[1]Sheet1!$U:$W))</f>
        <v/>
      </c>
      <c r="X147" s="15" t="str">
        <f>IF(Sheet2!G147="","",Sheet2!G147&amp;"''")</f>
        <v/>
      </c>
    </row>
    <row r="148" spans="7:24" x14ac:dyDescent="0.25">
      <c r="G148" s="15" t="str">
        <f>IF(Sheet2!A148="","",Sheet2!A148)</f>
        <v/>
      </c>
      <c r="H148" s="18" t="str">
        <f>IF(Sheet2!O148="","",LEFT(Sheet2!O148, FIND(" ", Sheet2!O148)-1))</f>
        <v/>
      </c>
      <c r="I148" s="15" t="str">
        <f>IF(Sheet2!S148&lt;19,ROUND(Sheet2!I148,2)&amp;"'",IF(Sheet2!S148&lt;25,ROUND(Sheet2!J148,2)&amp;"'",IF(Sheet2!S148&lt;31,ROUND(Sheet2!K148,2)&amp;"'",IF(Sheet2!S148&lt;37,ROUND(Sheet2!L148,2)&amp;"'",""))))</f>
        <v/>
      </c>
      <c r="L148" s="15" t="str">
        <f>IF(Sheet2!D148="","",Sheet2!D148&amp;"''")</f>
        <v/>
      </c>
      <c r="O148" s="16" t="str">
        <f>IF(Sheet2!H148="","",ROUND(Sheet2!H148,2)&amp;"'")</f>
        <v/>
      </c>
      <c r="P148" s="18" t="str">
        <f>IF(Sheet2!E148="","",Sheet2!E148&amp;"''")</f>
        <v/>
      </c>
      <c r="Q148" s="12" t="str" cm="1">
        <f t="array" ref="Q148">IF(P148="","",_xlfn.XLOOKUP(G148,[1]Sheet1!$G:$G,[1]Sheet1!$Q:$S))</f>
        <v/>
      </c>
      <c r="T148" s="15" t="str">
        <f>IF(Sheet2!F148="","",Sheet2!F148&amp;"""")</f>
        <v/>
      </c>
      <c r="U148" s="12" t="str" cm="1">
        <f t="array" ref="U148">IF(T148="","",_xlfn.XLOOKUP(G148,[1]Sheet1!$G:$G,[1]Sheet1!$U:$W))</f>
        <v/>
      </c>
      <c r="X148" s="15" t="str">
        <f>IF(Sheet2!G148="","",Sheet2!G148&amp;"''")</f>
        <v/>
      </c>
    </row>
    <row r="149" spans="7:24" x14ac:dyDescent="0.25">
      <c r="G149" s="15" t="str">
        <f>IF(Sheet2!A149="","",Sheet2!A149)</f>
        <v/>
      </c>
      <c r="H149" s="18" t="str">
        <f>IF(Sheet2!O149="","",LEFT(Sheet2!O149, FIND(" ", Sheet2!O149)-1))</f>
        <v/>
      </c>
      <c r="I149" s="15" t="str">
        <f>IF(Sheet2!S149&lt;19,ROUND(Sheet2!I149,2)&amp;"'",IF(Sheet2!S149&lt;25,ROUND(Sheet2!J149,2)&amp;"'",IF(Sheet2!S149&lt;31,ROUND(Sheet2!K149,2)&amp;"'",IF(Sheet2!S149&lt;37,ROUND(Sheet2!L149,2)&amp;"'",""))))</f>
        <v/>
      </c>
      <c r="L149" s="15" t="str">
        <f>IF(Sheet2!D149="","",Sheet2!D149&amp;"''")</f>
        <v/>
      </c>
      <c r="O149" s="16" t="str">
        <f>IF(Sheet2!H149="","",ROUND(Sheet2!H149,2)&amp;"'")</f>
        <v/>
      </c>
      <c r="P149" s="18" t="str">
        <f>IF(Sheet2!E149="","",Sheet2!E149&amp;"''")</f>
        <v/>
      </c>
      <c r="Q149" s="12" t="str" cm="1">
        <f t="array" ref="Q149">IF(P149="","",_xlfn.XLOOKUP(G149,[1]Sheet1!$G:$G,[1]Sheet1!$Q:$S))</f>
        <v/>
      </c>
      <c r="T149" s="15" t="str">
        <f>IF(Sheet2!F149="","",Sheet2!F149&amp;"""")</f>
        <v/>
      </c>
      <c r="U149" s="12" t="str" cm="1">
        <f t="array" ref="U149">IF(T149="","",_xlfn.XLOOKUP(G149,[1]Sheet1!$G:$G,[1]Sheet1!$U:$W))</f>
        <v/>
      </c>
      <c r="X149" s="15" t="str">
        <f>IF(Sheet2!G149="","",Sheet2!G149&amp;"''")</f>
        <v/>
      </c>
    </row>
    <row r="150" spans="7:24" x14ac:dyDescent="0.25">
      <c r="G150" s="15" t="str">
        <f>IF(Sheet2!A150="","",Sheet2!A150)</f>
        <v/>
      </c>
      <c r="H150" s="18" t="str">
        <f>IF(Sheet2!O150="","",LEFT(Sheet2!O150, FIND(" ", Sheet2!O150)-1))</f>
        <v/>
      </c>
      <c r="I150" s="15" t="str">
        <f>IF(Sheet2!S150&lt;19,ROUND(Sheet2!I150,2)&amp;"'",IF(Sheet2!S150&lt;25,ROUND(Sheet2!J150,2)&amp;"'",IF(Sheet2!S150&lt;31,ROUND(Sheet2!K150,2)&amp;"'",IF(Sheet2!S150&lt;37,ROUND(Sheet2!L150,2)&amp;"'",""))))</f>
        <v/>
      </c>
      <c r="L150" s="15" t="str">
        <f>IF(Sheet2!D150="","",Sheet2!D150&amp;"''")</f>
        <v/>
      </c>
      <c r="O150" s="16" t="str">
        <f>IF(Sheet2!H150="","",ROUND(Sheet2!H150,2)&amp;"'")</f>
        <v/>
      </c>
      <c r="P150" s="18" t="str">
        <f>IF(Sheet2!E150="","",Sheet2!E150&amp;"''")</f>
        <v/>
      </c>
      <c r="Q150" s="12" t="str" cm="1">
        <f t="array" ref="Q150">IF(P150="","",_xlfn.XLOOKUP(G150,[1]Sheet1!$G:$G,[1]Sheet1!$Q:$S))</f>
        <v/>
      </c>
      <c r="T150" s="15" t="str">
        <f>IF(Sheet2!F150="","",Sheet2!F150&amp;"""")</f>
        <v/>
      </c>
      <c r="U150" s="12" t="str" cm="1">
        <f t="array" ref="U150">IF(T150="","",_xlfn.XLOOKUP(G150,[1]Sheet1!$G:$G,[1]Sheet1!$U:$W))</f>
        <v/>
      </c>
      <c r="X150" s="15" t="str">
        <f>IF(Sheet2!G150="","",Sheet2!G150&amp;"''")</f>
        <v/>
      </c>
    </row>
    <row r="151" spans="7:24" x14ac:dyDescent="0.25">
      <c r="G151" s="15" t="str">
        <f>IF(Sheet2!A151="","",Sheet2!A151)</f>
        <v/>
      </c>
      <c r="H151" s="18" t="str">
        <f>IF(Sheet2!O151="","",LEFT(Sheet2!O151, FIND(" ", Sheet2!O151)-1))</f>
        <v/>
      </c>
      <c r="I151" s="15" t="str">
        <f>IF(Sheet2!S151&lt;19,ROUND(Sheet2!I151,2)&amp;"'",IF(Sheet2!S151&lt;25,ROUND(Sheet2!J151,2)&amp;"'",IF(Sheet2!S151&lt;31,ROUND(Sheet2!K151,2)&amp;"'",IF(Sheet2!S151&lt;37,ROUND(Sheet2!L151,2)&amp;"'",""))))</f>
        <v/>
      </c>
      <c r="L151" s="15" t="str">
        <f>IF(Sheet2!D151="","",Sheet2!D151&amp;"''")</f>
        <v/>
      </c>
      <c r="O151" s="16" t="str">
        <f>IF(Sheet2!H151="","",ROUND(Sheet2!H151,2)&amp;"'")</f>
        <v/>
      </c>
      <c r="P151" s="18" t="str">
        <f>IF(Sheet2!E151="","",Sheet2!E151&amp;"''")</f>
        <v/>
      </c>
      <c r="Q151" s="12" t="str" cm="1">
        <f t="array" ref="Q151">IF(P151="","",_xlfn.XLOOKUP(G151,[1]Sheet1!$G:$G,[1]Sheet1!$Q:$S))</f>
        <v/>
      </c>
      <c r="T151" s="15" t="str">
        <f>IF(Sheet2!F151="","",Sheet2!F151&amp;"""")</f>
        <v/>
      </c>
      <c r="U151" s="12" t="str" cm="1">
        <f t="array" ref="U151">IF(T151="","",_xlfn.XLOOKUP(G151,[1]Sheet1!$G:$G,[1]Sheet1!$U:$W))</f>
        <v/>
      </c>
      <c r="X151" s="15" t="str">
        <f>IF(Sheet2!G151="","",Sheet2!G151&amp;"''")</f>
        <v/>
      </c>
    </row>
    <row r="152" spans="7:24" x14ac:dyDescent="0.25">
      <c r="G152" s="15" t="str">
        <f>IF(Sheet2!A152="","",Sheet2!A152)</f>
        <v/>
      </c>
      <c r="H152" s="18" t="str">
        <f>IF(Sheet2!O152="","",LEFT(Sheet2!O152, FIND(" ", Sheet2!O152)-1))</f>
        <v/>
      </c>
      <c r="I152" s="15" t="str">
        <f>IF(Sheet2!S152&lt;19,ROUND(Sheet2!I152,2)&amp;"'",IF(Sheet2!S152&lt;25,ROUND(Sheet2!J152,2)&amp;"'",IF(Sheet2!S152&lt;31,ROUND(Sheet2!K152,2)&amp;"'",IF(Sheet2!S152&lt;37,ROUND(Sheet2!L152,2)&amp;"'",""))))</f>
        <v/>
      </c>
      <c r="L152" s="15" t="str">
        <f>IF(Sheet2!D152="","",Sheet2!D152&amp;"''")</f>
        <v/>
      </c>
      <c r="O152" s="16" t="str">
        <f>IF(Sheet2!H152="","",ROUND(Sheet2!H152,2)&amp;"'")</f>
        <v/>
      </c>
      <c r="P152" s="18" t="str">
        <f>IF(Sheet2!E152="","",Sheet2!E152&amp;"''")</f>
        <v/>
      </c>
      <c r="Q152" s="12" t="str" cm="1">
        <f t="array" ref="Q152">IF(P152="","",_xlfn.XLOOKUP(G152,[1]Sheet1!$G:$G,[1]Sheet1!$Q:$S))</f>
        <v/>
      </c>
      <c r="T152" s="15" t="str">
        <f>IF(Sheet2!F152="","",Sheet2!F152&amp;"""")</f>
        <v/>
      </c>
      <c r="U152" s="12" t="str" cm="1">
        <f t="array" ref="U152">IF(T152="","",_xlfn.XLOOKUP(G152,[1]Sheet1!$G:$G,[1]Sheet1!$U:$W))</f>
        <v/>
      </c>
      <c r="X152" s="15" t="str">
        <f>IF(Sheet2!G152="","",Sheet2!G152&amp;"''")</f>
        <v/>
      </c>
    </row>
    <row r="153" spans="7:24" x14ac:dyDescent="0.25">
      <c r="G153" s="15" t="str">
        <f>IF(Sheet2!A153="","",Sheet2!A153)</f>
        <v/>
      </c>
      <c r="H153" s="18" t="str">
        <f>IF(Sheet2!O153="","",LEFT(Sheet2!O153, FIND(" ", Sheet2!O153)-1))</f>
        <v/>
      </c>
      <c r="I153" s="15" t="str">
        <f>IF(Sheet2!S153&lt;19,ROUND(Sheet2!I153,2)&amp;"'",IF(Sheet2!S153&lt;25,ROUND(Sheet2!J153,2)&amp;"'",IF(Sheet2!S153&lt;31,ROUND(Sheet2!K153,2)&amp;"'",IF(Sheet2!S153&lt;37,ROUND(Sheet2!L153,2)&amp;"'",""))))</f>
        <v/>
      </c>
      <c r="L153" s="15" t="str">
        <f>IF(Sheet2!D153="","",Sheet2!D153&amp;"''")</f>
        <v/>
      </c>
      <c r="O153" s="16" t="str">
        <f>IF(Sheet2!H153="","",ROUND(Sheet2!H153,2)&amp;"'")</f>
        <v/>
      </c>
      <c r="P153" s="18" t="str">
        <f>IF(Sheet2!E153="","",Sheet2!E153&amp;"''")</f>
        <v/>
      </c>
      <c r="Q153" s="12" t="str" cm="1">
        <f t="array" ref="Q153">IF(P153="","",_xlfn.XLOOKUP(G153,[1]Sheet1!$G:$G,[1]Sheet1!$Q:$S))</f>
        <v/>
      </c>
      <c r="T153" s="15" t="str">
        <f>IF(Sheet2!F153="","",Sheet2!F153&amp;"""")</f>
        <v/>
      </c>
      <c r="U153" s="12" t="str" cm="1">
        <f t="array" ref="U153">IF(T153="","",_xlfn.XLOOKUP(G153,[1]Sheet1!$G:$G,[1]Sheet1!$U:$W))</f>
        <v/>
      </c>
      <c r="X153" s="15" t="str">
        <f>IF(Sheet2!G153="","",Sheet2!G153&amp;"''")</f>
        <v/>
      </c>
    </row>
    <row r="154" spans="7:24" x14ac:dyDescent="0.25">
      <c r="G154" s="15" t="str">
        <f>IF(Sheet2!A154="","",Sheet2!A154)</f>
        <v/>
      </c>
      <c r="H154" s="18" t="str">
        <f>IF(Sheet2!O154="","",LEFT(Sheet2!O154, FIND(" ", Sheet2!O154)-1))</f>
        <v/>
      </c>
      <c r="I154" s="15" t="str">
        <f>IF(Sheet2!S154&lt;19,ROUND(Sheet2!I154,2)&amp;"'",IF(Sheet2!S154&lt;25,ROUND(Sheet2!J154,2)&amp;"'",IF(Sheet2!S154&lt;31,ROUND(Sheet2!K154,2)&amp;"'",IF(Sheet2!S154&lt;37,ROUND(Sheet2!L154,2)&amp;"'",""))))</f>
        <v/>
      </c>
      <c r="L154" s="15" t="str">
        <f>IF(Sheet2!D154="","",Sheet2!D154&amp;"''")</f>
        <v/>
      </c>
      <c r="O154" s="16" t="str">
        <f>IF(Sheet2!H154="","",ROUND(Sheet2!H154,2)&amp;"'")</f>
        <v/>
      </c>
      <c r="P154" s="18" t="str">
        <f>IF(Sheet2!E154="","",Sheet2!E154&amp;"''")</f>
        <v/>
      </c>
      <c r="Q154" s="12" t="str" cm="1">
        <f t="array" ref="Q154">IF(P154="","",_xlfn.XLOOKUP(G154,[1]Sheet1!$G:$G,[1]Sheet1!$Q:$S))</f>
        <v/>
      </c>
      <c r="T154" s="15" t="str">
        <f>IF(Sheet2!F154="","",Sheet2!F154&amp;"""")</f>
        <v/>
      </c>
      <c r="U154" s="12" t="str" cm="1">
        <f t="array" ref="U154">IF(T154="","",_xlfn.XLOOKUP(G154,[1]Sheet1!$G:$G,[1]Sheet1!$U:$W))</f>
        <v/>
      </c>
      <c r="X154" s="15" t="str">
        <f>IF(Sheet2!G154="","",Sheet2!G154&amp;"''")</f>
        <v/>
      </c>
    </row>
    <row r="155" spans="7:24" x14ac:dyDescent="0.25">
      <c r="G155" s="15" t="str">
        <f>IF(Sheet2!A155="","",Sheet2!A155)</f>
        <v/>
      </c>
      <c r="H155" s="18" t="str">
        <f>IF(Sheet2!O155="","",LEFT(Sheet2!O155, FIND(" ", Sheet2!O155)-1))</f>
        <v/>
      </c>
      <c r="I155" s="15" t="str">
        <f>IF(Sheet2!S155&lt;19,ROUND(Sheet2!I155,2)&amp;"'",IF(Sheet2!S155&lt;25,ROUND(Sheet2!J155,2)&amp;"'",IF(Sheet2!S155&lt;31,ROUND(Sheet2!K155,2)&amp;"'",IF(Sheet2!S155&lt;37,ROUND(Sheet2!L155,2)&amp;"'",""))))</f>
        <v/>
      </c>
      <c r="L155" s="15" t="str">
        <f>IF(Sheet2!D155="","",Sheet2!D155&amp;"''")</f>
        <v/>
      </c>
      <c r="O155" s="16" t="str">
        <f>IF(Sheet2!H155="","",ROUND(Sheet2!H155,2)&amp;"'")</f>
        <v/>
      </c>
      <c r="P155" s="18" t="str">
        <f>IF(Sheet2!E155="","",Sheet2!E155&amp;"''")</f>
        <v/>
      </c>
      <c r="Q155" s="12" t="str" cm="1">
        <f t="array" ref="Q155">IF(P155="","",_xlfn.XLOOKUP(G155,[1]Sheet1!$G:$G,[1]Sheet1!$Q:$S))</f>
        <v/>
      </c>
      <c r="T155" s="15" t="str">
        <f>IF(Sheet2!F155="","",Sheet2!F155&amp;"""")</f>
        <v/>
      </c>
      <c r="U155" s="12" t="str" cm="1">
        <f t="array" ref="U155">IF(T155="","",_xlfn.XLOOKUP(G155,[1]Sheet1!$G:$G,[1]Sheet1!$U:$W))</f>
        <v/>
      </c>
      <c r="X155" s="15" t="str">
        <f>IF(Sheet2!G155="","",Sheet2!G155&amp;"''")</f>
        <v/>
      </c>
    </row>
    <row r="156" spans="7:24" x14ac:dyDescent="0.25">
      <c r="G156" s="15" t="str">
        <f>IF(Sheet2!A156="","",Sheet2!A156)</f>
        <v/>
      </c>
      <c r="H156" s="18" t="str">
        <f>IF(Sheet2!O156="","",LEFT(Sheet2!O156, FIND(" ", Sheet2!O156)-1))</f>
        <v/>
      </c>
      <c r="I156" s="15" t="str">
        <f>IF(Sheet2!S156&lt;19,ROUND(Sheet2!I156,2)&amp;"'",IF(Sheet2!S156&lt;25,ROUND(Sheet2!J156,2)&amp;"'",IF(Sheet2!S156&lt;31,ROUND(Sheet2!K156,2)&amp;"'",IF(Sheet2!S156&lt;37,ROUND(Sheet2!L156,2)&amp;"'",""))))</f>
        <v/>
      </c>
      <c r="L156" s="15" t="str">
        <f>IF(Sheet2!D156="","",Sheet2!D156&amp;"''")</f>
        <v/>
      </c>
      <c r="O156" s="16" t="str">
        <f>IF(Sheet2!H156="","",ROUND(Sheet2!H156,2)&amp;"'")</f>
        <v/>
      </c>
      <c r="P156" s="18" t="str">
        <f>IF(Sheet2!E156="","",Sheet2!E156&amp;"''")</f>
        <v/>
      </c>
      <c r="Q156" s="12" t="str" cm="1">
        <f t="array" ref="Q156">IF(P156="","",_xlfn.XLOOKUP(G156,[1]Sheet1!$G:$G,[1]Sheet1!$Q:$S))</f>
        <v/>
      </c>
      <c r="T156" s="15" t="str">
        <f>IF(Sheet2!F156="","",Sheet2!F156&amp;"""")</f>
        <v/>
      </c>
      <c r="U156" s="12" t="str" cm="1">
        <f t="array" ref="U156">IF(T156="","",_xlfn.XLOOKUP(G156,[1]Sheet1!$G:$G,[1]Sheet1!$U:$W))</f>
        <v/>
      </c>
      <c r="X156" s="15" t="str">
        <f>IF(Sheet2!G156="","",Sheet2!G156&amp;"''")</f>
        <v/>
      </c>
    </row>
    <row r="157" spans="7:24" x14ac:dyDescent="0.25">
      <c r="G157" s="15" t="str">
        <f>IF(Sheet2!A157="","",Sheet2!A157)</f>
        <v/>
      </c>
      <c r="H157" s="18" t="str">
        <f>IF(Sheet2!O157="","",LEFT(Sheet2!O157, FIND(" ", Sheet2!O157)-1))</f>
        <v/>
      </c>
      <c r="I157" s="15" t="str">
        <f>IF(Sheet2!S157&lt;19,ROUND(Sheet2!I157,2)&amp;"'",IF(Sheet2!S157&lt;25,ROUND(Sheet2!J157,2)&amp;"'",IF(Sheet2!S157&lt;31,ROUND(Sheet2!K157,2)&amp;"'",IF(Sheet2!S157&lt;37,ROUND(Sheet2!L157,2)&amp;"'",""))))</f>
        <v/>
      </c>
      <c r="L157" s="15" t="str">
        <f>IF(Sheet2!D157="","",Sheet2!D157&amp;"''")</f>
        <v/>
      </c>
      <c r="O157" s="16" t="str">
        <f>IF(Sheet2!H157="","",ROUND(Sheet2!H157,2)&amp;"'")</f>
        <v/>
      </c>
      <c r="P157" s="18" t="str">
        <f>IF(Sheet2!E157="","",Sheet2!E157&amp;"''")</f>
        <v/>
      </c>
      <c r="Q157" s="12" t="str" cm="1">
        <f t="array" ref="Q157">IF(P157="","",_xlfn.XLOOKUP(G157,[1]Sheet1!$G:$G,[1]Sheet1!$Q:$S))</f>
        <v/>
      </c>
      <c r="T157" s="15" t="str">
        <f>IF(Sheet2!F157="","",Sheet2!F157&amp;"""")</f>
        <v/>
      </c>
      <c r="U157" s="12" t="str" cm="1">
        <f t="array" ref="U157">IF(T157="","",_xlfn.XLOOKUP(G157,[1]Sheet1!$G:$G,[1]Sheet1!$U:$W))</f>
        <v/>
      </c>
      <c r="X157" s="15" t="str">
        <f>IF(Sheet2!G157="","",Sheet2!G157&amp;"''")</f>
        <v/>
      </c>
    </row>
    <row r="158" spans="7:24" x14ac:dyDescent="0.25">
      <c r="G158" s="15" t="str">
        <f>IF(Sheet2!A158="","",Sheet2!A158)</f>
        <v/>
      </c>
      <c r="H158" s="18" t="str">
        <f>IF(Sheet2!O158="","",LEFT(Sheet2!O158, FIND(" ", Sheet2!O158)-1))</f>
        <v/>
      </c>
      <c r="I158" s="15" t="str">
        <f>IF(Sheet2!S158&lt;19,ROUND(Sheet2!I158,2)&amp;"'",IF(Sheet2!S158&lt;25,ROUND(Sheet2!J158,2)&amp;"'",IF(Sheet2!S158&lt;31,ROUND(Sheet2!K158,2)&amp;"'",IF(Sheet2!S158&lt;37,ROUND(Sheet2!L158,2)&amp;"'",""))))</f>
        <v/>
      </c>
      <c r="L158" s="15" t="str">
        <f>IF(Sheet2!D158="","",Sheet2!D158&amp;"''")</f>
        <v/>
      </c>
      <c r="O158" s="16" t="str">
        <f>IF(Sheet2!H158="","",ROUND(Sheet2!H158,2)&amp;"'")</f>
        <v/>
      </c>
      <c r="P158" s="18" t="str">
        <f>IF(Sheet2!E158="","",Sheet2!E158&amp;"''")</f>
        <v/>
      </c>
      <c r="Q158" s="12" t="str" cm="1">
        <f t="array" ref="Q158">IF(P158="","",_xlfn.XLOOKUP(G158,[1]Sheet1!$G:$G,[1]Sheet1!$Q:$S))</f>
        <v/>
      </c>
      <c r="T158" s="15" t="str">
        <f>IF(Sheet2!F158="","",Sheet2!F158&amp;"""")</f>
        <v/>
      </c>
      <c r="U158" s="12" t="str" cm="1">
        <f t="array" ref="U158">IF(T158="","",_xlfn.XLOOKUP(G158,[1]Sheet1!$G:$G,[1]Sheet1!$U:$W))</f>
        <v/>
      </c>
      <c r="X158" s="15" t="str">
        <f>IF(Sheet2!G158="","",Sheet2!G158&amp;"''")</f>
        <v/>
      </c>
    </row>
    <row r="159" spans="7:24" x14ac:dyDescent="0.25">
      <c r="G159" s="15" t="str">
        <f>IF(Sheet2!A159="","",Sheet2!A159)</f>
        <v/>
      </c>
      <c r="H159" s="18" t="str">
        <f>IF(Sheet2!O159="","",LEFT(Sheet2!O159, FIND(" ", Sheet2!O159)-1))</f>
        <v/>
      </c>
      <c r="I159" s="15" t="str">
        <f>IF(Sheet2!S159&lt;19,ROUND(Sheet2!I159,2)&amp;"'",IF(Sheet2!S159&lt;25,ROUND(Sheet2!J159,2)&amp;"'",IF(Sheet2!S159&lt;31,ROUND(Sheet2!K159,2)&amp;"'",IF(Sheet2!S159&lt;37,ROUND(Sheet2!L159,2)&amp;"'",""))))</f>
        <v/>
      </c>
      <c r="L159" s="15" t="str">
        <f>IF(Sheet2!D159="","",Sheet2!D159&amp;"''")</f>
        <v/>
      </c>
      <c r="O159" s="16" t="str">
        <f>IF(Sheet2!H159="","",ROUND(Sheet2!H159,2)&amp;"'")</f>
        <v/>
      </c>
      <c r="P159" s="18" t="str">
        <f>IF(Sheet2!E159="","",Sheet2!E159&amp;"''")</f>
        <v/>
      </c>
      <c r="Q159" s="12" t="str" cm="1">
        <f t="array" ref="Q159">IF(P159="","",_xlfn.XLOOKUP(G159,[1]Sheet1!$G:$G,[1]Sheet1!$Q:$S))</f>
        <v/>
      </c>
      <c r="T159" s="15" t="str">
        <f>IF(Sheet2!F159="","",Sheet2!F159&amp;"""")</f>
        <v/>
      </c>
      <c r="U159" s="12" t="str" cm="1">
        <f t="array" ref="U159">IF(T159="","",_xlfn.XLOOKUP(G159,[1]Sheet1!$G:$G,[1]Sheet1!$U:$W))</f>
        <v/>
      </c>
      <c r="X159" s="15" t="str">
        <f>IF(Sheet2!G159="","",Sheet2!G159&amp;"''")</f>
        <v/>
      </c>
    </row>
    <row r="160" spans="7:24" x14ac:dyDescent="0.25">
      <c r="G160" s="15" t="str">
        <f>IF(Sheet2!A160="","",Sheet2!A160)</f>
        <v/>
      </c>
      <c r="H160" s="18" t="str">
        <f>IF(Sheet2!O160="","",LEFT(Sheet2!O160, FIND(" ", Sheet2!O160)-1))</f>
        <v/>
      </c>
      <c r="I160" s="15" t="str">
        <f>IF(Sheet2!S160&lt;19,ROUND(Sheet2!I160,2)&amp;"'",IF(Sheet2!S160&lt;25,ROUND(Sheet2!J160,2)&amp;"'",IF(Sheet2!S160&lt;31,ROUND(Sheet2!K160,2)&amp;"'",IF(Sheet2!S160&lt;37,ROUND(Sheet2!L160,2)&amp;"'",""))))</f>
        <v/>
      </c>
      <c r="L160" s="15" t="str">
        <f>IF(Sheet2!D160="","",Sheet2!D160&amp;"''")</f>
        <v/>
      </c>
      <c r="O160" s="16" t="str">
        <f>IF(Sheet2!H160="","",ROUND(Sheet2!H160,2)&amp;"'")</f>
        <v/>
      </c>
      <c r="P160" s="18" t="str">
        <f>IF(Sheet2!E160="","",Sheet2!E160&amp;"''")</f>
        <v/>
      </c>
      <c r="Q160" s="12" t="str" cm="1">
        <f t="array" ref="Q160">IF(P160="","",_xlfn.XLOOKUP(G160,[1]Sheet1!$G:$G,[1]Sheet1!$Q:$S))</f>
        <v/>
      </c>
      <c r="T160" s="15" t="str">
        <f>IF(Sheet2!F160="","",Sheet2!F160&amp;"""")</f>
        <v/>
      </c>
      <c r="U160" s="12" t="str" cm="1">
        <f t="array" ref="U160">IF(T160="","",_xlfn.XLOOKUP(G160,[1]Sheet1!$G:$G,[1]Sheet1!$U:$W))</f>
        <v/>
      </c>
      <c r="X160" s="15" t="str">
        <f>IF(Sheet2!G160="","",Sheet2!G160&amp;"''")</f>
        <v/>
      </c>
    </row>
    <row r="161" spans="7:24" x14ac:dyDescent="0.25">
      <c r="G161" s="15" t="str">
        <f>IF(Sheet2!A161="","",Sheet2!A161)</f>
        <v/>
      </c>
      <c r="H161" s="18" t="str">
        <f>IF(Sheet2!O161="","",LEFT(Sheet2!O161, FIND(" ", Sheet2!O161)-1))</f>
        <v/>
      </c>
      <c r="I161" s="15" t="str">
        <f>IF(Sheet2!S161&lt;19,ROUND(Sheet2!I161,2)&amp;"'",IF(Sheet2!S161&lt;25,ROUND(Sheet2!J161,2)&amp;"'",IF(Sheet2!S161&lt;31,ROUND(Sheet2!K161,2)&amp;"'",IF(Sheet2!S161&lt;37,ROUND(Sheet2!L161,2)&amp;"'",""))))</f>
        <v/>
      </c>
      <c r="L161" s="15" t="str">
        <f>IF(Sheet2!D161="","",Sheet2!D161&amp;"''")</f>
        <v/>
      </c>
      <c r="O161" s="16" t="str">
        <f>IF(Sheet2!H161="","",ROUND(Sheet2!H161,2)&amp;"'")</f>
        <v/>
      </c>
      <c r="P161" s="18" t="str">
        <f>IF(Sheet2!E161="","",Sheet2!E161&amp;"''")</f>
        <v/>
      </c>
      <c r="Q161" s="12" t="str" cm="1">
        <f t="array" ref="Q161">IF(P161="","",_xlfn.XLOOKUP(G161,[1]Sheet1!$G:$G,[1]Sheet1!$Q:$S))</f>
        <v/>
      </c>
      <c r="T161" s="15" t="str">
        <f>IF(Sheet2!F161="","",Sheet2!F161&amp;"""")</f>
        <v/>
      </c>
      <c r="U161" s="12" t="str" cm="1">
        <f t="array" ref="U161">IF(T161="","",_xlfn.XLOOKUP(G161,[1]Sheet1!$G:$G,[1]Sheet1!$U:$W))</f>
        <v/>
      </c>
      <c r="X161" s="15" t="str">
        <f>IF(Sheet2!G161="","",Sheet2!G161&amp;"''")</f>
        <v/>
      </c>
    </row>
    <row r="162" spans="7:24" x14ac:dyDescent="0.25">
      <c r="G162" s="15" t="str">
        <f>IF(Sheet2!A162="","",Sheet2!A162)</f>
        <v/>
      </c>
      <c r="H162" s="18" t="str">
        <f>IF(Sheet2!O162="","",LEFT(Sheet2!O162, FIND(" ", Sheet2!O162)-1))</f>
        <v/>
      </c>
      <c r="I162" s="15" t="str">
        <f>IF(Sheet2!S162&lt;19,ROUND(Sheet2!I162,2)&amp;"'",IF(Sheet2!S162&lt;25,ROUND(Sheet2!J162,2)&amp;"'",IF(Sheet2!S162&lt;31,ROUND(Sheet2!K162,2)&amp;"'",IF(Sheet2!S162&lt;37,ROUND(Sheet2!L162,2)&amp;"'",""))))</f>
        <v/>
      </c>
      <c r="L162" s="15" t="str">
        <f>IF(Sheet2!D162="","",Sheet2!D162&amp;"''")</f>
        <v/>
      </c>
      <c r="O162" s="16" t="str">
        <f>IF(Sheet2!H162="","",ROUND(Sheet2!H162,2)&amp;"'")</f>
        <v/>
      </c>
      <c r="P162" s="18" t="str">
        <f>IF(Sheet2!E162="","",Sheet2!E162&amp;"''")</f>
        <v/>
      </c>
      <c r="Q162" s="12" t="str" cm="1">
        <f t="array" ref="Q162">IF(P162="","",_xlfn.XLOOKUP(G162,[1]Sheet1!$G:$G,[1]Sheet1!$Q:$S))</f>
        <v/>
      </c>
      <c r="T162" s="15" t="str">
        <f>IF(Sheet2!F162="","",Sheet2!F162&amp;"""")</f>
        <v/>
      </c>
      <c r="U162" s="12" t="str" cm="1">
        <f t="array" ref="U162">IF(T162="","",_xlfn.XLOOKUP(G162,[1]Sheet1!$G:$G,[1]Sheet1!$U:$W))</f>
        <v/>
      </c>
      <c r="X162" s="15" t="str">
        <f>IF(Sheet2!G162="","",Sheet2!G162&amp;"''")</f>
        <v/>
      </c>
    </row>
    <row r="163" spans="7:24" x14ac:dyDescent="0.25">
      <c r="G163" s="15" t="str">
        <f>IF(Sheet2!A163="","",Sheet2!A163)</f>
        <v/>
      </c>
      <c r="H163" s="18" t="str">
        <f>IF(Sheet2!O163="","",LEFT(Sheet2!O163, FIND(" ", Sheet2!O163)-1))</f>
        <v/>
      </c>
      <c r="I163" s="15" t="str">
        <f>IF(Sheet2!S163&lt;19,ROUND(Sheet2!I163,2)&amp;"'",IF(Sheet2!S163&lt;25,ROUND(Sheet2!J163,2)&amp;"'",IF(Sheet2!S163&lt;31,ROUND(Sheet2!K163,2)&amp;"'",IF(Sheet2!S163&lt;37,ROUND(Sheet2!L163,2)&amp;"'",""))))</f>
        <v/>
      </c>
      <c r="L163" s="15" t="str">
        <f>IF(Sheet2!D163="","",Sheet2!D163&amp;"''")</f>
        <v/>
      </c>
      <c r="O163" s="16" t="str">
        <f>IF(Sheet2!H163="","",ROUND(Sheet2!H163,2)&amp;"'")</f>
        <v/>
      </c>
      <c r="P163" s="18" t="str">
        <f>IF(Sheet2!E163="","",Sheet2!E163&amp;"''")</f>
        <v/>
      </c>
      <c r="Q163" s="12" t="str" cm="1">
        <f t="array" ref="Q163">IF(P163="","",_xlfn.XLOOKUP(G163,[1]Sheet1!$G:$G,[1]Sheet1!$Q:$S))</f>
        <v/>
      </c>
      <c r="T163" s="15" t="str">
        <f>IF(Sheet2!F163="","",Sheet2!F163&amp;"""")</f>
        <v/>
      </c>
      <c r="U163" s="12" t="str" cm="1">
        <f t="array" ref="U163">IF(T163="","",_xlfn.XLOOKUP(G163,[1]Sheet1!$G:$G,[1]Sheet1!$U:$W))</f>
        <v/>
      </c>
      <c r="X163" s="15" t="str">
        <f>IF(Sheet2!G163="","",Sheet2!G163&amp;"''")</f>
        <v/>
      </c>
    </row>
    <row r="164" spans="7:24" x14ac:dyDescent="0.25">
      <c r="G164" s="15" t="str">
        <f>IF(Sheet2!A164="","",Sheet2!A164)</f>
        <v/>
      </c>
      <c r="H164" s="18" t="str">
        <f>IF(Sheet2!O164="","",LEFT(Sheet2!O164, FIND(" ", Sheet2!O164)-1))</f>
        <v/>
      </c>
      <c r="I164" s="15" t="str">
        <f>IF(Sheet2!S164&lt;19,ROUND(Sheet2!I164,2)&amp;"'",IF(Sheet2!S164&lt;25,ROUND(Sheet2!J164,2)&amp;"'",IF(Sheet2!S164&lt;31,ROUND(Sheet2!K164,2)&amp;"'",IF(Sheet2!S164&lt;37,ROUND(Sheet2!L164,2)&amp;"'",""))))</f>
        <v/>
      </c>
      <c r="L164" s="15" t="str">
        <f>IF(Sheet2!D164="","",Sheet2!D164&amp;"''")</f>
        <v/>
      </c>
      <c r="O164" s="16" t="str">
        <f>IF(Sheet2!H164="","",ROUND(Sheet2!H164,2)&amp;"'")</f>
        <v/>
      </c>
      <c r="P164" s="18" t="str">
        <f>IF(Sheet2!E164="","",Sheet2!E164&amp;"''")</f>
        <v/>
      </c>
      <c r="Q164" s="12" t="str" cm="1">
        <f t="array" ref="Q164">IF(P164="","",_xlfn.XLOOKUP(G164,[1]Sheet1!$G:$G,[1]Sheet1!$Q:$S))</f>
        <v/>
      </c>
      <c r="T164" s="15" t="str">
        <f>IF(Sheet2!F164="","",Sheet2!F164&amp;"""")</f>
        <v/>
      </c>
      <c r="U164" s="12" t="str" cm="1">
        <f t="array" ref="U164">IF(T164="","",_xlfn.XLOOKUP(G164,[1]Sheet1!$G:$G,[1]Sheet1!$U:$W))</f>
        <v/>
      </c>
      <c r="X164" s="15" t="str">
        <f>IF(Sheet2!G164="","",Sheet2!G164&amp;"''")</f>
        <v/>
      </c>
    </row>
    <row r="165" spans="7:24" x14ac:dyDescent="0.25">
      <c r="G165" s="15" t="str">
        <f>IF(Sheet2!A165="","",Sheet2!A165)</f>
        <v/>
      </c>
      <c r="H165" s="18" t="str">
        <f>IF(Sheet2!O165="","",LEFT(Sheet2!O165, FIND(" ", Sheet2!O165)-1))</f>
        <v/>
      </c>
      <c r="I165" s="15" t="str">
        <f>IF(Sheet2!S165&lt;19,ROUND(Sheet2!I165,2)&amp;"'",IF(Sheet2!S165&lt;25,ROUND(Sheet2!J165,2)&amp;"'",IF(Sheet2!S165&lt;31,ROUND(Sheet2!K165,2)&amp;"'",IF(Sheet2!S165&lt;37,ROUND(Sheet2!L165,2)&amp;"'",""))))</f>
        <v/>
      </c>
      <c r="L165" s="15" t="str">
        <f>IF(Sheet2!D165="","",Sheet2!D165&amp;"''")</f>
        <v/>
      </c>
      <c r="O165" s="16" t="str">
        <f>IF(Sheet2!H165="","",ROUND(Sheet2!H165,2)&amp;"'")</f>
        <v/>
      </c>
      <c r="P165" s="18" t="str">
        <f>IF(Sheet2!E165="","",Sheet2!E165&amp;"''")</f>
        <v/>
      </c>
      <c r="Q165" s="12" t="str" cm="1">
        <f t="array" ref="Q165">IF(P165="","",_xlfn.XLOOKUP(G165,[1]Sheet1!$G:$G,[1]Sheet1!$Q:$S))</f>
        <v/>
      </c>
      <c r="T165" s="15" t="str">
        <f>IF(Sheet2!F165="","",Sheet2!F165&amp;"""")</f>
        <v/>
      </c>
      <c r="U165" s="12" t="str" cm="1">
        <f t="array" ref="U165">IF(T165="","",_xlfn.XLOOKUP(G165,[1]Sheet1!$G:$G,[1]Sheet1!$U:$W))</f>
        <v/>
      </c>
      <c r="X165" s="15" t="str">
        <f>IF(Sheet2!G165="","",Sheet2!G165&amp;"''")</f>
        <v/>
      </c>
    </row>
    <row r="166" spans="7:24" x14ac:dyDescent="0.25">
      <c r="G166" s="15" t="str">
        <f>IF(Sheet2!A166="","",Sheet2!A166)</f>
        <v/>
      </c>
      <c r="H166" s="18" t="str">
        <f>IF(Sheet2!O166="","",LEFT(Sheet2!O166, FIND(" ", Sheet2!O166)-1))</f>
        <v/>
      </c>
      <c r="I166" s="15" t="str">
        <f>IF(Sheet2!S166&lt;19,ROUND(Sheet2!I166,2)&amp;"'",IF(Sheet2!S166&lt;25,ROUND(Sheet2!J166,2)&amp;"'",IF(Sheet2!S166&lt;31,ROUND(Sheet2!K166,2)&amp;"'",IF(Sheet2!S166&lt;37,ROUND(Sheet2!L166,2)&amp;"'",""))))</f>
        <v/>
      </c>
      <c r="L166" s="15" t="str">
        <f>IF(Sheet2!D166="","",Sheet2!D166&amp;"''")</f>
        <v/>
      </c>
      <c r="O166" s="16" t="str">
        <f>IF(Sheet2!H166="","",ROUND(Sheet2!H166,2)&amp;"'")</f>
        <v/>
      </c>
      <c r="P166" s="18" t="str">
        <f>IF(Sheet2!E166="","",Sheet2!E166&amp;"''")</f>
        <v/>
      </c>
      <c r="Q166" s="12" t="str" cm="1">
        <f t="array" ref="Q166">IF(P166="","",_xlfn.XLOOKUP(G166,[1]Sheet1!$G:$G,[1]Sheet1!$Q:$S))</f>
        <v/>
      </c>
      <c r="T166" s="15" t="str">
        <f>IF(Sheet2!F166="","",Sheet2!F166&amp;"""")</f>
        <v/>
      </c>
      <c r="U166" s="12" t="str" cm="1">
        <f t="array" ref="U166">IF(T166="","",_xlfn.XLOOKUP(G166,[1]Sheet1!$G:$G,[1]Sheet1!$U:$W))</f>
        <v/>
      </c>
      <c r="X166" s="15" t="str">
        <f>IF(Sheet2!G166="","",Sheet2!G166&amp;"''")</f>
        <v/>
      </c>
    </row>
    <row r="167" spans="7:24" x14ac:dyDescent="0.25">
      <c r="G167" s="15" t="str">
        <f>IF(Sheet2!A167="","",Sheet2!A167)</f>
        <v/>
      </c>
      <c r="H167" s="18" t="str">
        <f>IF(Sheet2!O167="","",LEFT(Sheet2!O167, FIND(" ", Sheet2!O167)-1))</f>
        <v/>
      </c>
      <c r="I167" s="15" t="str">
        <f>IF(Sheet2!S167&lt;19,ROUND(Sheet2!I167,2)&amp;"'",IF(Sheet2!S167&lt;25,ROUND(Sheet2!J167,2)&amp;"'",IF(Sheet2!S167&lt;31,ROUND(Sheet2!K167,2)&amp;"'",IF(Sheet2!S167&lt;37,ROUND(Sheet2!L167,2)&amp;"'",""))))</f>
        <v/>
      </c>
      <c r="L167" s="15" t="str">
        <f>IF(Sheet2!D167="","",Sheet2!D167&amp;"''")</f>
        <v/>
      </c>
      <c r="O167" s="16" t="str">
        <f>IF(Sheet2!H167="","",ROUND(Sheet2!H167,2)&amp;"'")</f>
        <v/>
      </c>
      <c r="P167" s="18" t="str">
        <f>IF(Sheet2!E167="","",Sheet2!E167&amp;"''")</f>
        <v/>
      </c>
      <c r="Q167" s="12" t="str" cm="1">
        <f t="array" ref="Q167">IF(P167="","",_xlfn.XLOOKUP(G167,[1]Sheet1!$G:$G,[1]Sheet1!$Q:$S))</f>
        <v/>
      </c>
      <c r="T167" s="15" t="str">
        <f>IF(Sheet2!F167="","",Sheet2!F167&amp;"""")</f>
        <v/>
      </c>
      <c r="U167" s="12" t="str" cm="1">
        <f t="array" ref="U167">IF(T167="","",_xlfn.XLOOKUP(G167,[1]Sheet1!$G:$G,[1]Sheet1!$U:$W))</f>
        <v/>
      </c>
      <c r="X167" s="15" t="str">
        <f>IF(Sheet2!G167="","",Sheet2!G167&amp;"''")</f>
        <v/>
      </c>
    </row>
    <row r="168" spans="7:24" x14ac:dyDescent="0.25">
      <c r="G168" s="15" t="str">
        <f>IF(Sheet2!A168="","",Sheet2!A168)</f>
        <v/>
      </c>
      <c r="H168" s="18" t="str">
        <f>IF(Sheet2!O168="","",LEFT(Sheet2!O168, FIND(" ", Sheet2!O168)-1))</f>
        <v/>
      </c>
      <c r="I168" s="15" t="str">
        <f>IF(Sheet2!S168&lt;19,ROUND(Sheet2!I168,2)&amp;"'",IF(Sheet2!S168&lt;25,ROUND(Sheet2!J168,2)&amp;"'",IF(Sheet2!S168&lt;31,ROUND(Sheet2!K168,2)&amp;"'",IF(Sheet2!S168&lt;37,ROUND(Sheet2!L168,2)&amp;"'",""))))</f>
        <v/>
      </c>
      <c r="L168" s="15" t="str">
        <f>IF(Sheet2!D168="","",Sheet2!D168&amp;"''")</f>
        <v/>
      </c>
      <c r="O168" s="16" t="str">
        <f>IF(Sheet2!H168="","",ROUND(Sheet2!H168,2)&amp;"'")</f>
        <v/>
      </c>
      <c r="P168" s="18" t="str">
        <f>IF(Sheet2!E168="","",Sheet2!E168&amp;"''")</f>
        <v/>
      </c>
      <c r="Q168" s="12" t="str" cm="1">
        <f t="array" ref="Q168">IF(P168="","",_xlfn.XLOOKUP(G168,[1]Sheet1!$G:$G,[1]Sheet1!$Q:$S))</f>
        <v/>
      </c>
      <c r="T168" s="15" t="str">
        <f>IF(Sheet2!F168="","",Sheet2!F168&amp;"""")</f>
        <v/>
      </c>
      <c r="U168" s="12" t="str" cm="1">
        <f t="array" ref="U168">IF(T168="","",_xlfn.XLOOKUP(G168,[1]Sheet1!$G:$G,[1]Sheet1!$U:$W))</f>
        <v/>
      </c>
      <c r="X168" s="15" t="str">
        <f>IF(Sheet2!G168="","",Sheet2!G168&amp;"''")</f>
        <v/>
      </c>
    </row>
    <row r="169" spans="7:24" x14ac:dyDescent="0.25">
      <c r="G169" s="15" t="str">
        <f>IF(Sheet2!A169="","",Sheet2!A169)</f>
        <v/>
      </c>
      <c r="H169" s="18" t="str">
        <f>IF(Sheet2!O169="","",LEFT(Sheet2!O169, FIND(" ", Sheet2!O169)-1))</f>
        <v/>
      </c>
      <c r="I169" s="15" t="str">
        <f>IF(Sheet2!S169&lt;19,ROUND(Sheet2!I169,2)&amp;"'",IF(Sheet2!S169&lt;25,ROUND(Sheet2!J169,2)&amp;"'",IF(Sheet2!S169&lt;31,ROUND(Sheet2!K169,2)&amp;"'",IF(Sheet2!S169&lt;37,ROUND(Sheet2!L169,2)&amp;"'",""))))</f>
        <v/>
      </c>
      <c r="L169" s="15" t="str">
        <f>IF(Sheet2!D169="","",Sheet2!D169&amp;"''")</f>
        <v/>
      </c>
      <c r="O169" s="16" t="str">
        <f>IF(Sheet2!H169="","",ROUND(Sheet2!H169,2)&amp;"'")</f>
        <v/>
      </c>
      <c r="P169" s="18" t="str">
        <f>IF(Sheet2!E169="","",Sheet2!E169&amp;"''")</f>
        <v/>
      </c>
      <c r="Q169" s="12" t="str" cm="1">
        <f t="array" ref="Q169">IF(P169="","",_xlfn.XLOOKUP(G169,[1]Sheet1!$G:$G,[1]Sheet1!$Q:$S))</f>
        <v/>
      </c>
      <c r="T169" s="15" t="str">
        <f>IF(Sheet2!F169="","",Sheet2!F169&amp;"""")</f>
        <v/>
      </c>
      <c r="U169" s="12" t="str" cm="1">
        <f t="array" ref="U169">IF(T169="","",_xlfn.XLOOKUP(G169,[1]Sheet1!$G:$G,[1]Sheet1!$U:$W))</f>
        <v/>
      </c>
      <c r="X169" s="15" t="str">
        <f>IF(Sheet2!G169="","",Sheet2!G169&amp;"''")</f>
        <v/>
      </c>
    </row>
    <row r="170" spans="7:24" x14ac:dyDescent="0.25">
      <c r="G170" s="15" t="str">
        <f>IF(Sheet2!A170="","",Sheet2!A170)</f>
        <v/>
      </c>
      <c r="H170" s="18" t="str">
        <f>IF(Sheet2!O170="","",LEFT(Sheet2!O170, FIND(" ", Sheet2!O170)-1))</f>
        <v/>
      </c>
      <c r="I170" s="15" t="str">
        <f>IF(Sheet2!S170&lt;19,ROUND(Sheet2!I170,2)&amp;"'",IF(Sheet2!S170&lt;25,ROUND(Sheet2!J170,2)&amp;"'",IF(Sheet2!S170&lt;31,ROUND(Sheet2!K170,2)&amp;"'",IF(Sheet2!S170&lt;37,ROUND(Sheet2!L170,2)&amp;"'",""))))</f>
        <v/>
      </c>
      <c r="L170" s="15" t="str">
        <f>IF(Sheet2!D170="","",Sheet2!D170&amp;"''")</f>
        <v/>
      </c>
      <c r="O170" s="16" t="str">
        <f>IF(Sheet2!H170="","",ROUND(Sheet2!H170,2)&amp;"'")</f>
        <v/>
      </c>
      <c r="P170" s="18" t="str">
        <f>IF(Sheet2!E170="","",Sheet2!E170&amp;"''")</f>
        <v/>
      </c>
      <c r="Q170" s="12" t="str" cm="1">
        <f t="array" ref="Q170">IF(P170="","",_xlfn.XLOOKUP(G170,[1]Sheet1!$G:$G,[1]Sheet1!$Q:$S))</f>
        <v/>
      </c>
      <c r="T170" s="15" t="str">
        <f>IF(Sheet2!F170="","",Sheet2!F170&amp;"""")</f>
        <v/>
      </c>
      <c r="U170" s="12" t="str" cm="1">
        <f t="array" ref="U170">IF(T170="","",_xlfn.XLOOKUP(G170,[1]Sheet1!$G:$G,[1]Sheet1!$U:$W))</f>
        <v/>
      </c>
      <c r="X170" s="15" t="str">
        <f>IF(Sheet2!G170="","",Sheet2!G170&amp;"''")</f>
        <v/>
      </c>
    </row>
    <row r="171" spans="7:24" x14ac:dyDescent="0.25">
      <c r="G171" s="15" t="str">
        <f>IF(Sheet2!A171="","",Sheet2!A171)</f>
        <v/>
      </c>
      <c r="H171" s="18" t="str">
        <f>IF(Sheet2!O171="","",LEFT(Sheet2!O171, FIND(" ", Sheet2!O171)-1))</f>
        <v/>
      </c>
      <c r="I171" s="15" t="str">
        <f>IF(Sheet2!S171&lt;19,ROUND(Sheet2!I171,2)&amp;"'",IF(Sheet2!S171&lt;25,ROUND(Sheet2!J171,2)&amp;"'",IF(Sheet2!S171&lt;31,ROUND(Sheet2!K171,2)&amp;"'",IF(Sheet2!S171&lt;37,ROUND(Sheet2!L171,2)&amp;"'",""))))</f>
        <v/>
      </c>
      <c r="L171" s="15" t="str">
        <f>IF(Sheet2!D171="","",Sheet2!D171&amp;"''")</f>
        <v/>
      </c>
      <c r="O171" s="16" t="str">
        <f>IF(Sheet2!H171="","",ROUND(Sheet2!H171,2)&amp;"'")</f>
        <v/>
      </c>
      <c r="P171" s="18" t="str">
        <f>IF(Sheet2!E171="","",Sheet2!E171&amp;"''")</f>
        <v/>
      </c>
      <c r="Q171" s="12" t="str" cm="1">
        <f t="array" ref="Q171">IF(P171="","",_xlfn.XLOOKUP(G171,[1]Sheet1!$G:$G,[1]Sheet1!$Q:$S))</f>
        <v/>
      </c>
      <c r="T171" s="15" t="str">
        <f>IF(Sheet2!F171="","",Sheet2!F171&amp;"""")</f>
        <v/>
      </c>
      <c r="U171" s="12" t="str" cm="1">
        <f t="array" ref="U171">IF(T171="","",_xlfn.XLOOKUP(G171,[1]Sheet1!$G:$G,[1]Sheet1!$U:$W))</f>
        <v/>
      </c>
      <c r="X171" s="15" t="str">
        <f>IF(Sheet2!G171="","",Sheet2!G171&amp;"''")</f>
        <v/>
      </c>
    </row>
    <row r="172" spans="7:24" x14ac:dyDescent="0.25">
      <c r="G172" s="15" t="str">
        <f>IF(Sheet2!A172="","",Sheet2!A172)</f>
        <v/>
      </c>
      <c r="H172" s="18" t="str">
        <f>IF(Sheet2!O172="","",LEFT(Sheet2!O172, FIND(" ", Sheet2!O172)-1))</f>
        <v/>
      </c>
      <c r="I172" s="15" t="str">
        <f>IF(Sheet2!S172&lt;19,ROUND(Sheet2!I172,2)&amp;"'",IF(Sheet2!S172&lt;25,ROUND(Sheet2!J172,2)&amp;"'",IF(Sheet2!S172&lt;31,ROUND(Sheet2!K172,2)&amp;"'",IF(Sheet2!S172&lt;37,ROUND(Sheet2!L172,2)&amp;"'",""))))</f>
        <v/>
      </c>
      <c r="L172" s="15" t="str">
        <f>IF(Sheet2!D172="","",Sheet2!D172&amp;"''")</f>
        <v/>
      </c>
      <c r="O172" s="16" t="str">
        <f>IF(Sheet2!H172="","",ROUND(Sheet2!H172,2)&amp;"'")</f>
        <v/>
      </c>
      <c r="P172" s="18" t="str">
        <f>IF(Sheet2!E172="","",Sheet2!E172&amp;"''")</f>
        <v/>
      </c>
      <c r="Q172" s="12" t="str" cm="1">
        <f t="array" ref="Q172">IF(P172="","",_xlfn.XLOOKUP(G172,[1]Sheet1!$G:$G,[1]Sheet1!$Q:$S))</f>
        <v/>
      </c>
      <c r="T172" s="15" t="str">
        <f>IF(Sheet2!F172="","",Sheet2!F172&amp;"""")</f>
        <v/>
      </c>
      <c r="U172" s="12" t="str" cm="1">
        <f t="array" ref="U172">IF(T172="","",_xlfn.XLOOKUP(G172,[1]Sheet1!$G:$G,[1]Sheet1!$U:$W))</f>
        <v/>
      </c>
      <c r="X172" s="15" t="str">
        <f>IF(Sheet2!G172="","",Sheet2!G172&amp;"''")</f>
        <v/>
      </c>
    </row>
    <row r="173" spans="7:24" x14ac:dyDescent="0.25">
      <c r="G173" s="15" t="str">
        <f>IF(Sheet2!A173="","",Sheet2!A173)</f>
        <v/>
      </c>
      <c r="H173" s="18" t="str">
        <f>IF(Sheet2!O173="","",LEFT(Sheet2!O173, FIND(" ", Sheet2!O173)-1))</f>
        <v/>
      </c>
      <c r="I173" s="15" t="str">
        <f>IF(Sheet2!S173&lt;19,ROUND(Sheet2!I173,2)&amp;"'",IF(Sheet2!S173&lt;25,ROUND(Sheet2!J173,2)&amp;"'",IF(Sheet2!S173&lt;31,ROUND(Sheet2!K173,2)&amp;"'",IF(Sheet2!S173&lt;37,ROUND(Sheet2!L173,2)&amp;"'",""))))</f>
        <v/>
      </c>
      <c r="L173" s="15" t="str">
        <f>IF(Sheet2!D173="","",Sheet2!D173&amp;"''")</f>
        <v/>
      </c>
      <c r="O173" s="16" t="str">
        <f>IF(Sheet2!H173="","",ROUND(Sheet2!H173,2)&amp;"'")</f>
        <v/>
      </c>
      <c r="P173" s="18" t="str">
        <f>IF(Sheet2!E173="","",Sheet2!E173&amp;"''")</f>
        <v/>
      </c>
      <c r="Q173" s="12" t="str" cm="1">
        <f t="array" ref="Q173">IF(P173="","",_xlfn.XLOOKUP(G173,[1]Sheet1!$G:$G,[1]Sheet1!$Q:$S))</f>
        <v/>
      </c>
      <c r="T173" s="15" t="str">
        <f>IF(Sheet2!F173="","",Sheet2!F173&amp;"""")</f>
        <v/>
      </c>
      <c r="U173" s="12" t="str" cm="1">
        <f t="array" ref="U173">IF(T173="","",_xlfn.XLOOKUP(G173,[1]Sheet1!$G:$G,[1]Sheet1!$U:$W))</f>
        <v/>
      </c>
      <c r="X173" s="15" t="str">
        <f>IF(Sheet2!G173="","",Sheet2!G173&amp;"''")</f>
        <v/>
      </c>
    </row>
    <row r="174" spans="7:24" x14ac:dyDescent="0.25">
      <c r="G174" s="15" t="str">
        <f>IF(Sheet2!A174="","",Sheet2!A174)</f>
        <v/>
      </c>
      <c r="H174" s="18" t="str">
        <f>IF(Sheet2!O174="","",LEFT(Sheet2!O174, FIND(" ", Sheet2!O174)-1))</f>
        <v/>
      </c>
      <c r="I174" s="15" t="str">
        <f>IF(Sheet2!S174&lt;19,ROUND(Sheet2!I174,2)&amp;"'",IF(Sheet2!S174&lt;25,ROUND(Sheet2!J174,2)&amp;"'",IF(Sheet2!S174&lt;31,ROUND(Sheet2!K174,2)&amp;"'",IF(Sheet2!S174&lt;37,ROUND(Sheet2!L174,2)&amp;"'",""))))</f>
        <v/>
      </c>
      <c r="L174" s="15" t="str">
        <f>IF(Sheet2!D174="","",Sheet2!D174&amp;"''")</f>
        <v/>
      </c>
      <c r="O174" s="16" t="str">
        <f>IF(Sheet2!H174="","",ROUND(Sheet2!H174,2)&amp;"'")</f>
        <v/>
      </c>
      <c r="P174" s="18" t="str">
        <f>IF(Sheet2!E174="","",Sheet2!E174&amp;"''")</f>
        <v/>
      </c>
      <c r="Q174" s="12" t="str" cm="1">
        <f t="array" ref="Q174">IF(P174="","",_xlfn.XLOOKUP(G174,[1]Sheet1!$G:$G,[1]Sheet1!$Q:$S))</f>
        <v/>
      </c>
      <c r="T174" s="15" t="str">
        <f>IF(Sheet2!F174="","",Sheet2!F174&amp;"""")</f>
        <v/>
      </c>
      <c r="U174" s="12" t="str" cm="1">
        <f t="array" ref="U174">IF(T174="","",_xlfn.XLOOKUP(G174,[1]Sheet1!$G:$G,[1]Sheet1!$U:$W))</f>
        <v/>
      </c>
      <c r="X174" s="15" t="str">
        <f>IF(Sheet2!G174="","",Sheet2!G174&amp;"''")</f>
        <v/>
      </c>
    </row>
    <row r="175" spans="7:24" x14ac:dyDescent="0.25">
      <c r="G175" s="15" t="str">
        <f>IF(Sheet2!A175="","",Sheet2!A175)</f>
        <v/>
      </c>
      <c r="H175" s="18" t="str">
        <f>IF(Sheet2!O175="","",LEFT(Sheet2!O175, FIND(" ", Sheet2!O175)-1))</f>
        <v/>
      </c>
      <c r="I175" s="15" t="str">
        <f>IF(Sheet2!S175&lt;19,ROUND(Sheet2!I175,2)&amp;"'",IF(Sheet2!S175&lt;25,ROUND(Sheet2!J175,2)&amp;"'",IF(Sheet2!S175&lt;31,ROUND(Sheet2!K175,2)&amp;"'",IF(Sheet2!S175&lt;37,ROUND(Sheet2!L175,2)&amp;"'",""))))</f>
        <v/>
      </c>
      <c r="L175" s="15" t="str">
        <f>IF(Sheet2!D175="","",Sheet2!D175&amp;"''")</f>
        <v/>
      </c>
      <c r="O175" s="16" t="str">
        <f>IF(Sheet2!H175="","",ROUND(Sheet2!H175,2)&amp;"'")</f>
        <v/>
      </c>
      <c r="P175" s="18" t="str">
        <f>IF(Sheet2!E175="","",Sheet2!E175&amp;"''")</f>
        <v/>
      </c>
      <c r="Q175" s="12" t="str" cm="1">
        <f t="array" ref="Q175">IF(P175="","",_xlfn.XLOOKUP(G175,[1]Sheet1!$G:$G,[1]Sheet1!$Q:$S))</f>
        <v/>
      </c>
      <c r="T175" s="15" t="str">
        <f>IF(Sheet2!F175="","",Sheet2!F175&amp;"""")</f>
        <v/>
      </c>
      <c r="U175" s="12" t="str" cm="1">
        <f t="array" ref="U175">IF(T175="","",_xlfn.XLOOKUP(G175,[1]Sheet1!$G:$G,[1]Sheet1!$U:$W))</f>
        <v/>
      </c>
      <c r="X175" s="15" t="str">
        <f>IF(Sheet2!G175="","",Sheet2!G175&amp;"''")</f>
        <v/>
      </c>
    </row>
    <row r="176" spans="7:24" x14ac:dyDescent="0.25">
      <c r="G176" s="15" t="str">
        <f>IF(Sheet2!A176="","",Sheet2!A176)</f>
        <v/>
      </c>
      <c r="H176" s="18" t="str">
        <f>IF(Sheet2!O176="","",LEFT(Sheet2!O176, FIND(" ", Sheet2!O176)-1))</f>
        <v/>
      </c>
      <c r="I176" s="15" t="str">
        <f>IF(Sheet2!S176&lt;19,ROUND(Sheet2!I176,2)&amp;"'",IF(Sheet2!S176&lt;25,ROUND(Sheet2!J176,2)&amp;"'",IF(Sheet2!S176&lt;31,ROUND(Sheet2!K176,2)&amp;"'",IF(Sheet2!S176&lt;37,ROUND(Sheet2!L176,2)&amp;"'",""))))</f>
        <v/>
      </c>
      <c r="L176" s="15" t="str">
        <f>IF(Sheet2!D176="","",Sheet2!D176&amp;"''")</f>
        <v/>
      </c>
      <c r="O176" s="16" t="str">
        <f>IF(Sheet2!H176="","",ROUND(Sheet2!H176,2)&amp;"'")</f>
        <v/>
      </c>
      <c r="P176" s="18" t="str">
        <f>IF(Sheet2!E176="","",Sheet2!E176&amp;"''")</f>
        <v/>
      </c>
      <c r="Q176" s="12" t="str" cm="1">
        <f t="array" ref="Q176">IF(P176="","",_xlfn.XLOOKUP(G176,[1]Sheet1!$G:$G,[1]Sheet1!$Q:$S))</f>
        <v/>
      </c>
      <c r="T176" s="15" t="str">
        <f>IF(Sheet2!F176="","",Sheet2!F176&amp;"""")</f>
        <v/>
      </c>
      <c r="U176" s="12" t="str" cm="1">
        <f t="array" ref="U176">IF(T176="","",_xlfn.XLOOKUP(G176,[1]Sheet1!$G:$G,[1]Sheet1!$U:$W))</f>
        <v/>
      </c>
      <c r="X176" s="15" t="str">
        <f>IF(Sheet2!G176="","",Sheet2!G176&amp;"''")</f>
        <v/>
      </c>
    </row>
    <row r="177" spans="7:24" x14ac:dyDescent="0.25">
      <c r="G177" s="15" t="str">
        <f>IF(Sheet2!A177="","",Sheet2!A177)</f>
        <v/>
      </c>
      <c r="H177" s="18" t="str">
        <f>IF(Sheet2!O177="","",LEFT(Sheet2!O177, FIND(" ", Sheet2!O177)-1))</f>
        <v/>
      </c>
      <c r="I177" s="15" t="str">
        <f>IF(Sheet2!S177&lt;19,ROUND(Sheet2!I177,2)&amp;"'",IF(Sheet2!S177&lt;25,ROUND(Sheet2!J177,2)&amp;"'",IF(Sheet2!S177&lt;31,ROUND(Sheet2!K177,2)&amp;"'",IF(Sheet2!S177&lt;37,ROUND(Sheet2!L177,2)&amp;"'",""))))</f>
        <v/>
      </c>
      <c r="L177" s="15" t="str">
        <f>IF(Sheet2!D177="","",Sheet2!D177&amp;"''")</f>
        <v/>
      </c>
      <c r="O177" s="16" t="str">
        <f>IF(Sheet2!H177="","",ROUND(Sheet2!H177,2)&amp;"'")</f>
        <v/>
      </c>
      <c r="P177" s="18" t="str">
        <f>IF(Sheet2!E177="","",Sheet2!E177&amp;"''")</f>
        <v/>
      </c>
      <c r="Q177" s="12" t="str" cm="1">
        <f t="array" ref="Q177">IF(P177="","",_xlfn.XLOOKUP(G177,[1]Sheet1!$G:$G,[1]Sheet1!$Q:$S))</f>
        <v/>
      </c>
      <c r="T177" s="15" t="str">
        <f>IF(Sheet2!F177="","",Sheet2!F177&amp;"""")</f>
        <v/>
      </c>
      <c r="U177" s="12" t="str" cm="1">
        <f t="array" ref="U177">IF(T177="","",_xlfn.XLOOKUP(G177,[1]Sheet1!$G:$G,[1]Sheet1!$U:$W))</f>
        <v/>
      </c>
      <c r="X177" s="15" t="str">
        <f>IF(Sheet2!G177="","",Sheet2!G177&amp;"''")</f>
        <v/>
      </c>
    </row>
    <row r="178" spans="7:24" x14ac:dyDescent="0.25">
      <c r="G178" s="15" t="str">
        <f>IF(Sheet2!A178="","",Sheet2!A178)</f>
        <v/>
      </c>
      <c r="H178" s="18" t="str">
        <f>IF(Sheet2!O178="","",LEFT(Sheet2!O178, FIND(" ", Sheet2!O178)-1))</f>
        <v/>
      </c>
      <c r="I178" s="15" t="str">
        <f>IF(Sheet2!S178&lt;19,ROUND(Sheet2!I178,2)&amp;"'",IF(Sheet2!S178&lt;25,ROUND(Sheet2!J178,2)&amp;"'",IF(Sheet2!S178&lt;31,ROUND(Sheet2!K178,2)&amp;"'",IF(Sheet2!S178&lt;37,ROUND(Sheet2!L178,2)&amp;"'",""))))</f>
        <v/>
      </c>
      <c r="L178" s="15" t="str">
        <f>IF(Sheet2!D178="","",Sheet2!D178&amp;"''")</f>
        <v/>
      </c>
      <c r="O178" s="16" t="str">
        <f>IF(Sheet2!H178="","",ROUND(Sheet2!H178,2)&amp;"'")</f>
        <v/>
      </c>
      <c r="P178" s="18" t="str">
        <f>IF(Sheet2!E178="","",Sheet2!E178&amp;"''")</f>
        <v/>
      </c>
      <c r="Q178" s="12" t="str" cm="1">
        <f t="array" ref="Q178">IF(P178="","",_xlfn.XLOOKUP(G178,[1]Sheet1!$G:$G,[1]Sheet1!$Q:$S))</f>
        <v/>
      </c>
      <c r="T178" s="15" t="str">
        <f>IF(Sheet2!F178="","",Sheet2!F178&amp;"""")</f>
        <v/>
      </c>
      <c r="U178" s="12" t="str" cm="1">
        <f t="array" ref="U178">IF(T178="","",_xlfn.XLOOKUP(G178,[1]Sheet1!$G:$G,[1]Sheet1!$U:$W))</f>
        <v/>
      </c>
      <c r="X178" s="15" t="str">
        <f>IF(Sheet2!G178="","",Sheet2!G178&amp;"''")</f>
        <v/>
      </c>
    </row>
    <row r="179" spans="7:24" x14ac:dyDescent="0.25">
      <c r="G179" s="15" t="str">
        <f>IF(Sheet2!A179="","",Sheet2!A179)</f>
        <v/>
      </c>
      <c r="H179" s="18" t="str">
        <f>IF(Sheet2!O179="","",LEFT(Sheet2!O179, FIND(" ", Sheet2!O179)-1))</f>
        <v/>
      </c>
      <c r="I179" s="15" t="str">
        <f>IF(Sheet2!S179&lt;19,ROUND(Sheet2!I179,2)&amp;"'",IF(Sheet2!S179&lt;25,ROUND(Sheet2!J179,2)&amp;"'",IF(Sheet2!S179&lt;31,ROUND(Sheet2!K179,2)&amp;"'",IF(Sheet2!S179&lt;37,ROUND(Sheet2!L179,2)&amp;"'",""))))</f>
        <v/>
      </c>
      <c r="L179" s="15" t="str">
        <f>IF(Sheet2!D179="","",Sheet2!D179&amp;"''")</f>
        <v/>
      </c>
      <c r="O179" s="16" t="str">
        <f>IF(Sheet2!H179="","",ROUND(Sheet2!H179,2)&amp;"'")</f>
        <v/>
      </c>
      <c r="P179" s="18" t="str">
        <f>IF(Sheet2!E179="","",Sheet2!E179&amp;"''")</f>
        <v/>
      </c>
      <c r="Q179" s="12" t="str" cm="1">
        <f t="array" ref="Q179">IF(P179="","",_xlfn.XLOOKUP(G179,[1]Sheet1!$G:$G,[1]Sheet1!$Q:$S))</f>
        <v/>
      </c>
      <c r="T179" s="15" t="str">
        <f>IF(Sheet2!F179="","",Sheet2!F179&amp;"""")</f>
        <v/>
      </c>
      <c r="U179" s="12" t="str" cm="1">
        <f t="array" ref="U179">IF(T179="","",_xlfn.XLOOKUP(G179,[1]Sheet1!$G:$G,[1]Sheet1!$U:$W))</f>
        <v/>
      </c>
      <c r="X179" s="15" t="str">
        <f>IF(Sheet2!G179="","",Sheet2!G179&amp;"''")</f>
        <v/>
      </c>
    </row>
    <row r="180" spans="7:24" x14ac:dyDescent="0.25">
      <c r="G180" s="15" t="str">
        <f>IF(Sheet2!A180="","",Sheet2!A180)</f>
        <v/>
      </c>
      <c r="H180" s="18" t="str">
        <f>IF(Sheet2!O180="","",LEFT(Sheet2!O180, FIND(" ", Sheet2!O180)-1))</f>
        <v/>
      </c>
      <c r="I180" s="15" t="str">
        <f>IF(Sheet2!S180&lt;19,ROUND(Sheet2!I180,2)&amp;"'",IF(Sheet2!S180&lt;25,ROUND(Sheet2!J180,2)&amp;"'",IF(Sheet2!S180&lt;31,ROUND(Sheet2!K180,2)&amp;"'",IF(Sheet2!S180&lt;37,ROUND(Sheet2!L180,2)&amp;"'",""))))</f>
        <v/>
      </c>
      <c r="L180" s="15" t="str">
        <f>IF(Sheet2!D180="","",Sheet2!D180&amp;"''")</f>
        <v/>
      </c>
      <c r="O180" s="16" t="str">
        <f>IF(Sheet2!H180="","",ROUND(Sheet2!H180,2)&amp;"'")</f>
        <v/>
      </c>
      <c r="P180" s="18" t="str">
        <f>IF(Sheet2!E180="","",Sheet2!E180&amp;"''")</f>
        <v/>
      </c>
      <c r="Q180" s="12" t="str" cm="1">
        <f t="array" ref="Q180">IF(P180="","",_xlfn.XLOOKUP(G180,[1]Sheet1!$G:$G,[1]Sheet1!$Q:$S))</f>
        <v/>
      </c>
      <c r="T180" s="15" t="str">
        <f>IF(Sheet2!F180="","",Sheet2!F180&amp;"""")</f>
        <v/>
      </c>
      <c r="U180" s="12" t="str" cm="1">
        <f t="array" ref="U180">IF(T180="","",_xlfn.XLOOKUP(G180,[1]Sheet1!$G:$G,[1]Sheet1!$U:$W))</f>
        <v/>
      </c>
      <c r="X180" s="15" t="str">
        <f>IF(Sheet2!G180="","",Sheet2!G180&amp;"''")</f>
        <v/>
      </c>
    </row>
    <row r="181" spans="7:24" x14ac:dyDescent="0.25">
      <c r="G181" s="15" t="str">
        <f>IF(Sheet2!A181="","",Sheet2!A181)</f>
        <v/>
      </c>
      <c r="H181" s="18" t="str">
        <f>IF(Sheet2!O181="","",LEFT(Sheet2!O181, FIND(" ", Sheet2!O181)-1))</f>
        <v/>
      </c>
      <c r="I181" s="15" t="str">
        <f>IF(Sheet2!S181&lt;19,ROUND(Sheet2!I181,2)&amp;"'",IF(Sheet2!S181&lt;25,ROUND(Sheet2!J181,2)&amp;"'",IF(Sheet2!S181&lt;31,ROUND(Sheet2!K181,2)&amp;"'",IF(Sheet2!S181&lt;37,ROUND(Sheet2!L181,2)&amp;"'",""))))</f>
        <v/>
      </c>
      <c r="L181" s="15" t="str">
        <f>IF(Sheet2!D181="","",Sheet2!D181&amp;"''")</f>
        <v/>
      </c>
      <c r="O181" s="16" t="str">
        <f>IF(Sheet2!H181="","",ROUND(Sheet2!H181,2)&amp;"'")</f>
        <v/>
      </c>
      <c r="P181" s="18" t="str">
        <f>IF(Sheet2!E181="","",Sheet2!E181&amp;"''")</f>
        <v/>
      </c>
      <c r="Q181" s="12" t="str" cm="1">
        <f t="array" ref="Q181">IF(P181="","",_xlfn.XLOOKUP(G181,[1]Sheet1!$G:$G,[1]Sheet1!$Q:$S))</f>
        <v/>
      </c>
      <c r="T181" s="15" t="str">
        <f>IF(Sheet2!F181="","",Sheet2!F181&amp;"""")</f>
        <v/>
      </c>
      <c r="U181" s="12" t="str" cm="1">
        <f t="array" ref="U181">IF(T181="","",_xlfn.XLOOKUP(G181,[1]Sheet1!$G:$G,[1]Sheet1!$U:$W))</f>
        <v/>
      </c>
      <c r="X181" s="15" t="str">
        <f>IF(Sheet2!G181="","",Sheet2!G181&amp;"''")</f>
        <v/>
      </c>
    </row>
    <row r="182" spans="7:24" x14ac:dyDescent="0.25">
      <c r="G182" s="15" t="str">
        <f>IF(Sheet2!A182="","",Sheet2!A182)</f>
        <v/>
      </c>
      <c r="H182" s="18" t="str">
        <f>IF(Sheet2!O182="","",LEFT(Sheet2!O182, FIND(" ", Sheet2!O182)-1))</f>
        <v/>
      </c>
      <c r="I182" s="15" t="str">
        <f>IF(Sheet2!S182&lt;19,ROUND(Sheet2!I182,2)&amp;"'",IF(Sheet2!S182&lt;25,ROUND(Sheet2!J182,2)&amp;"'",IF(Sheet2!S182&lt;31,ROUND(Sheet2!K182,2)&amp;"'",IF(Sheet2!S182&lt;37,ROUND(Sheet2!L182,2)&amp;"'",""))))</f>
        <v/>
      </c>
      <c r="L182" s="15" t="str">
        <f>IF(Sheet2!D182="","",Sheet2!D182&amp;"''")</f>
        <v/>
      </c>
      <c r="O182" s="16" t="str">
        <f>IF(Sheet2!H182="","",ROUND(Sheet2!H182,2)&amp;"'")</f>
        <v/>
      </c>
      <c r="P182" s="18" t="str">
        <f>IF(Sheet2!E182="","",Sheet2!E182&amp;"''")</f>
        <v/>
      </c>
      <c r="Q182" s="12" t="str" cm="1">
        <f t="array" ref="Q182">IF(P182="","",_xlfn.XLOOKUP(G182,[1]Sheet1!$G:$G,[1]Sheet1!$Q:$S))</f>
        <v/>
      </c>
      <c r="T182" s="15" t="str">
        <f>IF(Sheet2!F182="","",Sheet2!F182&amp;"""")</f>
        <v/>
      </c>
      <c r="U182" s="12" t="str" cm="1">
        <f t="array" ref="U182">IF(T182="","",_xlfn.XLOOKUP(G182,[1]Sheet1!$G:$G,[1]Sheet1!$U:$W))</f>
        <v/>
      </c>
      <c r="X182" s="15" t="str">
        <f>IF(Sheet2!G182="","",Sheet2!G182&amp;"''")</f>
        <v/>
      </c>
    </row>
    <row r="183" spans="7:24" x14ac:dyDescent="0.25">
      <c r="G183" s="15" t="str">
        <f>IF(Sheet2!A183="","",Sheet2!A183)</f>
        <v/>
      </c>
      <c r="H183" s="18" t="str">
        <f>IF(Sheet2!O183="","",LEFT(Sheet2!O183, FIND(" ", Sheet2!O183)-1))</f>
        <v/>
      </c>
      <c r="I183" s="15" t="str">
        <f>IF(Sheet2!S183&lt;19,ROUND(Sheet2!I183,2)&amp;"'",IF(Sheet2!S183&lt;25,ROUND(Sheet2!J183,2)&amp;"'",IF(Sheet2!S183&lt;31,ROUND(Sheet2!K183,2)&amp;"'",IF(Sheet2!S183&lt;37,ROUND(Sheet2!L183,2)&amp;"'",""))))</f>
        <v/>
      </c>
      <c r="L183" s="15" t="str">
        <f>IF(Sheet2!D183="","",Sheet2!D183&amp;"''")</f>
        <v/>
      </c>
      <c r="O183" s="16" t="str">
        <f>IF(Sheet2!H183="","",ROUND(Sheet2!H183,2)&amp;"'")</f>
        <v/>
      </c>
      <c r="P183" s="18" t="str">
        <f>IF(Sheet2!E183="","",Sheet2!E183&amp;"''")</f>
        <v/>
      </c>
      <c r="Q183" s="12" t="str" cm="1">
        <f t="array" ref="Q183">IF(P183="","",_xlfn.XLOOKUP(G183,[1]Sheet1!$G:$G,[1]Sheet1!$Q:$S))</f>
        <v/>
      </c>
      <c r="T183" s="15" t="str">
        <f>IF(Sheet2!F183="","",Sheet2!F183&amp;"""")</f>
        <v/>
      </c>
      <c r="U183" s="12" t="str" cm="1">
        <f t="array" ref="U183">IF(T183="","",_xlfn.XLOOKUP(G183,[1]Sheet1!$G:$G,[1]Sheet1!$U:$W))</f>
        <v/>
      </c>
      <c r="X183" s="15" t="str">
        <f>IF(Sheet2!G183="","",Sheet2!G183&amp;"''")</f>
        <v/>
      </c>
    </row>
    <row r="184" spans="7:24" x14ac:dyDescent="0.25">
      <c r="G184" s="15" t="str">
        <f>IF(Sheet2!A184="","",Sheet2!A184)</f>
        <v/>
      </c>
      <c r="H184" s="18" t="str">
        <f>IF(Sheet2!O184="","",LEFT(Sheet2!O184, FIND(" ", Sheet2!O184)-1))</f>
        <v/>
      </c>
      <c r="I184" s="15" t="str">
        <f>IF(Sheet2!S184&lt;19,ROUND(Sheet2!I184,2)&amp;"'",IF(Sheet2!S184&lt;25,ROUND(Sheet2!J184,2)&amp;"'",IF(Sheet2!S184&lt;31,ROUND(Sheet2!K184,2)&amp;"'",IF(Sheet2!S184&lt;37,ROUND(Sheet2!L184,2)&amp;"'",""))))</f>
        <v/>
      </c>
      <c r="L184" s="15" t="str">
        <f>IF(Sheet2!D184="","",Sheet2!D184&amp;"''")</f>
        <v/>
      </c>
      <c r="O184" s="16" t="str">
        <f>IF(Sheet2!H184="","",ROUND(Sheet2!H184,2)&amp;"'")</f>
        <v/>
      </c>
      <c r="P184" s="18" t="str">
        <f>IF(Sheet2!E184="","",Sheet2!E184&amp;"''")</f>
        <v/>
      </c>
      <c r="Q184" s="12" t="str" cm="1">
        <f t="array" ref="Q184">IF(P184="","",_xlfn.XLOOKUP(G184,[1]Sheet1!$G:$G,[1]Sheet1!$Q:$S))</f>
        <v/>
      </c>
      <c r="T184" s="15" t="str">
        <f>IF(Sheet2!F184="","",Sheet2!F184&amp;"""")</f>
        <v/>
      </c>
      <c r="U184" s="12" t="str" cm="1">
        <f t="array" ref="U184">IF(T184="","",_xlfn.XLOOKUP(G184,[1]Sheet1!$G:$G,[1]Sheet1!$U:$W))</f>
        <v/>
      </c>
      <c r="X184" s="15" t="str">
        <f>IF(Sheet2!G184="","",Sheet2!G184&amp;"''")</f>
        <v/>
      </c>
    </row>
    <row r="185" spans="7:24" x14ac:dyDescent="0.25">
      <c r="G185" s="15" t="str">
        <f>IF(Sheet2!A185="","",Sheet2!A185)</f>
        <v/>
      </c>
      <c r="H185" s="18" t="str">
        <f>IF(Sheet2!O185="","",LEFT(Sheet2!O185, FIND(" ", Sheet2!O185)-1))</f>
        <v/>
      </c>
      <c r="I185" s="15" t="str">
        <f>IF(Sheet2!S185&lt;19,ROUND(Sheet2!I185,2)&amp;"'",IF(Sheet2!S185&lt;25,ROUND(Sheet2!J185,2)&amp;"'",IF(Sheet2!S185&lt;31,ROUND(Sheet2!K185,2)&amp;"'",IF(Sheet2!S185&lt;37,ROUND(Sheet2!L185,2)&amp;"'",""))))</f>
        <v/>
      </c>
      <c r="L185" s="15" t="str">
        <f>IF(Sheet2!D185="","",Sheet2!D185&amp;"''")</f>
        <v/>
      </c>
      <c r="O185" s="16" t="str">
        <f>IF(Sheet2!H185="","",ROUND(Sheet2!H185,2)&amp;"'")</f>
        <v/>
      </c>
      <c r="P185" s="18" t="str">
        <f>IF(Sheet2!E185="","",Sheet2!E185&amp;"''")</f>
        <v/>
      </c>
      <c r="Q185" s="12" t="str" cm="1">
        <f t="array" ref="Q185">IF(P185="","",_xlfn.XLOOKUP(G185,[1]Sheet1!$G:$G,[1]Sheet1!$Q:$S))</f>
        <v/>
      </c>
      <c r="T185" s="15" t="str">
        <f>IF(Sheet2!F185="","",Sheet2!F185&amp;"""")</f>
        <v/>
      </c>
      <c r="U185" s="12" t="str" cm="1">
        <f t="array" ref="U185">IF(T185="","",_xlfn.XLOOKUP(G185,[1]Sheet1!$G:$G,[1]Sheet1!$U:$W))</f>
        <v/>
      </c>
      <c r="X185" s="15" t="str">
        <f>IF(Sheet2!G185="","",Sheet2!G185&amp;"''")</f>
        <v/>
      </c>
    </row>
    <row r="186" spans="7:24" x14ac:dyDescent="0.25">
      <c r="G186" s="15" t="str">
        <f>IF(Sheet2!A186="","",Sheet2!A186)</f>
        <v/>
      </c>
      <c r="H186" s="18" t="str">
        <f>IF(Sheet2!O186="","",LEFT(Sheet2!O186, FIND(" ", Sheet2!O186)-1))</f>
        <v/>
      </c>
      <c r="I186" s="15" t="str">
        <f>IF(Sheet2!S186&lt;19,ROUND(Sheet2!I186,2)&amp;"'",IF(Sheet2!S186&lt;25,ROUND(Sheet2!J186,2)&amp;"'",IF(Sheet2!S186&lt;31,ROUND(Sheet2!K186,2)&amp;"'",IF(Sheet2!S186&lt;37,ROUND(Sheet2!L186,2)&amp;"'",""))))</f>
        <v/>
      </c>
      <c r="L186" s="15" t="str">
        <f>IF(Sheet2!D186="","",Sheet2!D186&amp;"''")</f>
        <v/>
      </c>
      <c r="O186" s="16" t="str">
        <f>IF(Sheet2!H186="","",ROUND(Sheet2!H186,2)&amp;"'")</f>
        <v/>
      </c>
      <c r="P186" s="18" t="str">
        <f>IF(Sheet2!E186="","",Sheet2!E186&amp;"''")</f>
        <v/>
      </c>
      <c r="Q186" s="12" t="str" cm="1">
        <f t="array" ref="Q186">IF(P186="","",_xlfn.XLOOKUP(G186,[1]Sheet1!$G:$G,[1]Sheet1!$Q:$S))</f>
        <v/>
      </c>
      <c r="T186" s="15" t="str">
        <f>IF(Sheet2!F186="","",Sheet2!F186&amp;"""")</f>
        <v/>
      </c>
      <c r="U186" s="12" t="str" cm="1">
        <f t="array" ref="U186">IF(T186="","",_xlfn.XLOOKUP(G186,[1]Sheet1!$G:$G,[1]Sheet1!$U:$W))</f>
        <v/>
      </c>
      <c r="X186" s="15" t="str">
        <f>IF(Sheet2!G186="","",Sheet2!G186&amp;"''")</f>
        <v/>
      </c>
    </row>
    <row r="187" spans="7:24" x14ac:dyDescent="0.25">
      <c r="G187" s="15" t="str">
        <f>IF(Sheet2!A187="","",Sheet2!A187)</f>
        <v/>
      </c>
      <c r="H187" s="18" t="str">
        <f>IF(Sheet2!O187="","",LEFT(Sheet2!O187, FIND(" ", Sheet2!O187)-1))</f>
        <v/>
      </c>
      <c r="I187" s="15" t="str">
        <f>IF(Sheet2!S187&lt;19,ROUND(Sheet2!I187,2)&amp;"'",IF(Sheet2!S187&lt;25,ROUND(Sheet2!J187,2)&amp;"'",IF(Sheet2!S187&lt;31,ROUND(Sheet2!K187,2)&amp;"'",IF(Sheet2!S187&lt;37,ROUND(Sheet2!L187,2)&amp;"'",""))))</f>
        <v/>
      </c>
      <c r="L187" s="15" t="str">
        <f>IF(Sheet2!D187="","",Sheet2!D187&amp;"''")</f>
        <v/>
      </c>
      <c r="O187" s="16" t="str">
        <f>IF(Sheet2!H187="","",ROUND(Sheet2!H187,2)&amp;"'")</f>
        <v/>
      </c>
      <c r="P187" s="18" t="str">
        <f>IF(Sheet2!E187="","",Sheet2!E187&amp;"''")</f>
        <v/>
      </c>
      <c r="Q187" s="12" t="str" cm="1">
        <f t="array" ref="Q187">IF(P187="","",_xlfn.XLOOKUP(G187,[1]Sheet1!$G:$G,[1]Sheet1!$Q:$S))</f>
        <v/>
      </c>
      <c r="T187" s="15" t="str">
        <f>IF(Sheet2!F187="","",Sheet2!F187&amp;"""")</f>
        <v/>
      </c>
      <c r="U187" s="12" t="str" cm="1">
        <f t="array" ref="U187">IF(T187="","",_xlfn.XLOOKUP(G187,[1]Sheet1!$G:$G,[1]Sheet1!$U:$W))</f>
        <v/>
      </c>
      <c r="X187" s="15" t="str">
        <f>IF(Sheet2!G187="","",Sheet2!G187&amp;"''")</f>
        <v/>
      </c>
    </row>
    <row r="188" spans="7:24" x14ac:dyDescent="0.25">
      <c r="G188" s="15" t="str">
        <f>IF(Sheet2!A188="","",Sheet2!A188)</f>
        <v/>
      </c>
      <c r="H188" s="18" t="str">
        <f>IF(Sheet2!O188="","",LEFT(Sheet2!O188, FIND(" ", Sheet2!O188)-1))</f>
        <v/>
      </c>
      <c r="I188" s="15" t="str">
        <f>IF(Sheet2!S188&lt;19,ROUND(Sheet2!I188,2)&amp;"'",IF(Sheet2!S188&lt;25,ROUND(Sheet2!J188,2)&amp;"'",IF(Sheet2!S188&lt;31,ROUND(Sheet2!K188,2)&amp;"'",IF(Sheet2!S188&lt;37,ROUND(Sheet2!L188,2)&amp;"'",""))))</f>
        <v/>
      </c>
      <c r="L188" s="15" t="str">
        <f>IF(Sheet2!D188="","",Sheet2!D188&amp;"''")</f>
        <v/>
      </c>
      <c r="O188" s="16" t="str">
        <f>IF(Sheet2!H188="","",ROUND(Sheet2!H188,2)&amp;"'")</f>
        <v/>
      </c>
      <c r="P188" s="18" t="str">
        <f>IF(Sheet2!E188="","",Sheet2!E188&amp;"''")</f>
        <v/>
      </c>
      <c r="Q188" s="12" t="str" cm="1">
        <f t="array" ref="Q188">IF(P188="","",_xlfn.XLOOKUP(G188,[1]Sheet1!$G:$G,[1]Sheet1!$Q:$S))</f>
        <v/>
      </c>
      <c r="T188" s="15" t="str">
        <f>IF(Sheet2!F188="","",Sheet2!F188&amp;"""")</f>
        <v/>
      </c>
      <c r="U188" s="12" t="str" cm="1">
        <f t="array" ref="U188">IF(T188="","",_xlfn.XLOOKUP(G188,[1]Sheet1!$G:$G,[1]Sheet1!$U:$W))</f>
        <v/>
      </c>
      <c r="X188" s="15" t="str">
        <f>IF(Sheet2!G188="","",Sheet2!G188&amp;"''")</f>
        <v/>
      </c>
    </row>
    <row r="189" spans="7:24" x14ac:dyDescent="0.25">
      <c r="G189" s="15" t="str">
        <f>IF(Sheet2!A189="","",Sheet2!A189)</f>
        <v/>
      </c>
      <c r="H189" s="18" t="str">
        <f>IF(Sheet2!O189="","",LEFT(Sheet2!O189, FIND(" ", Sheet2!O189)-1))</f>
        <v/>
      </c>
      <c r="I189" s="15" t="str">
        <f>IF(Sheet2!S189&lt;19,ROUND(Sheet2!I189,2)&amp;"'",IF(Sheet2!S189&lt;25,ROUND(Sheet2!J189,2)&amp;"'",IF(Sheet2!S189&lt;31,ROUND(Sheet2!K189,2)&amp;"'",IF(Sheet2!S189&lt;37,ROUND(Sheet2!L189,2)&amp;"'",""))))</f>
        <v/>
      </c>
      <c r="L189" s="15" t="str">
        <f>IF(Sheet2!D189="","",Sheet2!D189&amp;"''")</f>
        <v/>
      </c>
      <c r="O189" s="16" t="str">
        <f>IF(Sheet2!H189="","",ROUND(Sheet2!H189,2)&amp;"'")</f>
        <v/>
      </c>
      <c r="P189" s="18" t="str">
        <f>IF(Sheet2!E189="","",Sheet2!E189&amp;"''")</f>
        <v/>
      </c>
      <c r="Q189" s="12" t="str" cm="1">
        <f t="array" ref="Q189">IF(P189="","",_xlfn.XLOOKUP(G189,[1]Sheet1!$G:$G,[1]Sheet1!$Q:$S))</f>
        <v/>
      </c>
      <c r="T189" s="15" t="str">
        <f>IF(Sheet2!F189="","",Sheet2!F189&amp;"""")</f>
        <v/>
      </c>
      <c r="U189" s="12" t="str" cm="1">
        <f t="array" ref="U189">IF(T189="","",_xlfn.XLOOKUP(G189,[1]Sheet1!$G:$G,[1]Sheet1!$U:$W))</f>
        <v/>
      </c>
      <c r="X189" s="15" t="str">
        <f>IF(Sheet2!G189="","",Sheet2!G189&amp;"''")</f>
        <v/>
      </c>
    </row>
    <row r="190" spans="7:24" x14ac:dyDescent="0.25">
      <c r="G190" s="15" t="str">
        <f>IF(Sheet2!A190="","",Sheet2!A190)</f>
        <v/>
      </c>
      <c r="H190" s="18" t="str">
        <f>IF(Sheet2!O190="","",LEFT(Sheet2!O190, FIND(" ", Sheet2!O190)-1))</f>
        <v/>
      </c>
      <c r="I190" s="15" t="str">
        <f>IF(Sheet2!S190&lt;19,ROUND(Sheet2!I190,2)&amp;"'",IF(Sheet2!S190&lt;25,ROUND(Sheet2!J190,2)&amp;"'",IF(Sheet2!S190&lt;31,ROUND(Sheet2!K190,2)&amp;"'",IF(Sheet2!S190&lt;37,ROUND(Sheet2!L190,2)&amp;"'",""))))</f>
        <v/>
      </c>
      <c r="L190" s="15" t="str">
        <f>IF(Sheet2!D190="","",Sheet2!D190&amp;"''")</f>
        <v/>
      </c>
      <c r="O190" s="16" t="str">
        <f>IF(Sheet2!H190="","",ROUND(Sheet2!H190,2)&amp;"'")</f>
        <v/>
      </c>
      <c r="P190" s="18" t="str">
        <f>IF(Sheet2!E190="","",Sheet2!E190&amp;"''")</f>
        <v/>
      </c>
      <c r="Q190" s="12" t="str" cm="1">
        <f t="array" ref="Q190">IF(P190="","",_xlfn.XLOOKUP(G190,[1]Sheet1!$G:$G,[1]Sheet1!$Q:$S))</f>
        <v/>
      </c>
      <c r="T190" s="15" t="str">
        <f>IF(Sheet2!F190="","",Sheet2!F190&amp;"""")</f>
        <v/>
      </c>
      <c r="U190" s="12" t="str" cm="1">
        <f t="array" ref="U190">IF(T190="","",_xlfn.XLOOKUP(G190,[1]Sheet1!$G:$G,[1]Sheet1!$U:$W))</f>
        <v/>
      </c>
      <c r="X190" s="15" t="str">
        <f>IF(Sheet2!G190="","",Sheet2!G190&amp;"''")</f>
        <v/>
      </c>
    </row>
    <row r="191" spans="7:24" x14ac:dyDescent="0.25">
      <c r="G191" s="15" t="str">
        <f>IF(Sheet2!A191="","",Sheet2!A191)</f>
        <v/>
      </c>
      <c r="H191" s="18" t="str">
        <f>IF(Sheet2!O191="","",LEFT(Sheet2!O191, FIND(" ", Sheet2!O191)-1))</f>
        <v/>
      </c>
      <c r="I191" s="15" t="str">
        <f>IF(Sheet2!S191&lt;19,ROUND(Sheet2!I191,2)&amp;"'",IF(Sheet2!S191&lt;25,ROUND(Sheet2!J191,2)&amp;"'",IF(Sheet2!S191&lt;31,ROUND(Sheet2!K191,2)&amp;"'",IF(Sheet2!S191&lt;37,ROUND(Sheet2!L191,2)&amp;"'",""))))</f>
        <v/>
      </c>
      <c r="L191" s="15" t="str">
        <f>IF(Sheet2!D191="","",Sheet2!D191&amp;"''")</f>
        <v/>
      </c>
      <c r="O191" s="16" t="str">
        <f>IF(Sheet2!H191="","",ROUND(Sheet2!H191,2)&amp;"'")</f>
        <v/>
      </c>
      <c r="P191" s="18" t="str">
        <f>IF(Sheet2!E191="","",Sheet2!E191&amp;"''")</f>
        <v/>
      </c>
      <c r="Q191" s="12" t="str" cm="1">
        <f t="array" ref="Q191">IF(P191="","",_xlfn.XLOOKUP(G191,[1]Sheet1!$G:$G,[1]Sheet1!$Q:$S))</f>
        <v/>
      </c>
      <c r="T191" s="15" t="str">
        <f>IF(Sheet2!F191="","",Sheet2!F191&amp;"""")</f>
        <v/>
      </c>
      <c r="U191" s="12" t="str" cm="1">
        <f t="array" ref="U191">IF(T191="","",_xlfn.XLOOKUP(G191,[1]Sheet1!$G:$G,[1]Sheet1!$U:$W))</f>
        <v/>
      </c>
      <c r="X191" s="15" t="str">
        <f>IF(Sheet2!G191="","",Sheet2!G191&amp;"''")</f>
        <v/>
      </c>
    </row>
    <row r="192" spans="7:24" x14ac:dyDescent="0.25">
      <c r="G192" s="15" t="str">
        <f>IF(Sheet2!A192="","",Sheet2!A192)</f>
        <v/>
      </c>
      <c r="H192" s="18" t="str">
        <f>IF(Sheet2!O192="","",LEFT(Sheet2!O192, FIND(" ", Sheet2!O192)-1))</f>
        <v/>
      </c>
      <c r="I192" s="15" t="str">
        <f>IF(Sheet2!S192&lt;19,ROUND(Sheet2!I192,2)&amp;"'",IF(Sheet2!S192&lt;25,ROUND(Sheet2!J192,2)&amp;"'",IF(Sheet2!S192&lt;31,ROUND(Sheet2!K192,2)&amp;"'",IF(Sheet2!S192&lt;37,ROUND(Sheet2!L192,2)&amp;"'",""))))</f>
        <v/>
      </c>
      <c r="L192" s="15" t="str">
        <f>IF(Sheet2!D192="","",Sheet2!D192&amp;"''")</f>
        <v/>
      </c>
      <c r="O192" s="16" t="str">
        <f>IF(Sheet2!H192="","",ROUND(Sheet2!H192,2)&amp;"'")</f>
        <v/>
      </c>
      <c r="P192" s="18" t="str">
        <f>IF(Sheet2!E192="","",Sheet2!E192&amp;"''")</f>
        <v/>
      </c>
      <c r="Q192" s="12" t="str" cm="1">
        <f t="array" ref="Q192">IF(P192="","",_xlfn.XLOOKUP(G192,[1]Sheet1!$G:$G,[1]Sheet1!$Q:$S))</f>
        <v/>
      </c>
      <c r="T192" s="15" t="str">
        <f>IF(Sheet2!F192="","",Sheet2!F192&amp;"""")</f>
        <v/>
      </c>
      <c r="U192" s="12" t="str" cm="1">
        <f t="array" ref="U192">IF(T192="","",_xlfn.XLOOKUP(G192,[1]Sheet1!$G:$G,[1]Sheet1!$U:$W))</f>
        <v/>
      </c>
      <c r="X192" s="15" t="str">
        <f>IF(Sheet2!G192="","",Sheet2!G192&amp;"''")</f>
        <v/>
      </c>
    </row>
    <row r="193" spans="7:24" x14ac:dyDescent="0.25">
      <c r="G193" s="15" t="str">
        <f>IF(Sheet2!A193="","",Sheet2!A193)</f>
        <v/>
      </c>
      <c r="H193" s="18" t="str">
        <f>IF(Sheet2!O193="","",LEFT(Sheet2!O193, FIND(" ", Sheet2!O193)-1))</f>
        <v/>
      </c>
      <c r="I193" s="15" t="str">
        <f>IF(Sheet2!S193&lt;19,ROUND(Sheet2!I193,2)&amp;"'",IF(Sheet2!S193&lt;25,ROUND(Sheet2!J193,2)&amp;"'",IF(Sheet2!S193&lt;31,ROUND(Sheet2!K193,2)&amp;"'",IF(Sheet2!S193&lt;37,ROUND(Sheet2!L193,2)&amp;"'",""))))</f>
        <v/>
      </c>
      <c r="L193" s="15" t="str">
        <f>IF(Sheet2!D193="","",Sheet2!D193&amp;"''")</f>
        <v/>
      </c>
      <c r="O193" s="16" t="str">
        <f>IF(Sheet2!H193="","",ROUND(Sheet2!H193,2)&amp;"'")</f>
        <v/>
      </c>
      <c r="P193" s="18" t="str">
        <f>IF(Sheet2!E193="","",Sheet2!E193&amp;"''")</f>
        <v/>
      </c>
      <c r="Q193" s="12" t="str" cm="1">
        <f t="array" ref="Q193">IF(P193="","",_xlfn.XLOOKUP(G193,[1]Sheet1!$G:$G,[1]Sheet1!$Q:$S))</f>
        <v/>
      </c>
      <c r="T193" s="15" t="str">
        <f>IF(Sheet2!F193="","",Sheet2!F193&amp;"""")</f>
        <v/>
      </c>
      <c r="U193" s="12" t="str" cm="1">
        <f t="array" ref="U193">IF(T193="","",_xlfn.XLOOKUP(G193,[1]Sheet1!$G:$G,[1]Sheet1!$U:$W))</f>
        <v/>
      </c>
      <c r="X193" s="15" t="str">
        <f>IF(Sheet2!G193="","",Sheet2!G193&amp;"''")</f>
        <v/>
      </c>
    </row>
    <row r="194" spans="7:24" x14ac:dyDescent="0.25">
      <c r="G194" s="15" t="str">
        <f>IF(Sheet2!A194="","",Sheet2!A194)</f>
        <v/>
      </c>
      <c r="H194" s="18" t="str">
        <f>IF(Sheet2!O194="","",LEFT(Sheet2!O194, FIND(" ", Sheet2!O194)-1))</f>
        <v/>
      </c>
      <c r="I194" s="15" t="str">
        <f>IF(Sheet2!S194&lt;19,ROUND(Sheet2!I194,2)&amp;"'",IF(Sheet2!S194&lt;25,ROUND(Sheet2!J194,2)&amp;"'",IF(Sheet2!S194&lt;31,ROUND(Sheet2!K194,2)&amp;"'",IF(Sheet2!S194&lt;37,ROUND(Sheet2!L194,2)&amp;"'",""))))</f>
        <v/>
      </c>
      <c r="L194" s="15" t="str">
        <f>IF(Sheet2!D194="","",Sheet2!D194&amp;"''")</f>
        <v/>
      </c>
      <c r="O194" s="16" t="str">
        <f>IF(Sheet2!H194="","",ROUND(Sheet2!H194,2)&amp;"'")</f>
        <v/>
      </c>
      <c r="P194" s="18" t="str">
        <f>IF(Sheet2!E194="","",Sheet2!E194&amp;"''")</f>
        <v/>
      </c>
      <c r="Q194" s="12" t="str" cm="1">
        <f t="array" ref="Q194">IF(P194="","",_xlfn.XLOOKUP(G194,[1]Sheet1!$G:$G,[1]Sheet1!$Q:$S))</f>
        <v/>
      </c>
      <c r="T194" s="15" t="str">
        <f>IF(Sheet2!F194="","",Sheet2!F194&amp;"""")</f>
        <v/>
      </c>
      <c r="U194" s="12" t="str" cm="1">
        <f t="array" ref="U194">IF(T194="","",_xlfn.XLOOKUP(G194,[1]Sheet1!$G:$G,[1]Sheet1!$U:$W))</f>
        <v/>
      </c>
      <c r="X194" s="15" t="str">
        <f>IF(Sheet2!G194="","",Sheet2!G194&amp;"''")</f>
        <v/>
      </c>
    </row>
    <row r="195" spans="7:24" x14ac:dyDescent="0.25">
      <c r="G195" s="15" t="str">
        <f>IF(Sheet2!A195="","",Sheet2!A195)</f>
        <v/>
      </c>
      <c r="H195" s="18" t="str">
        <f>IF(Sheet2!O195="","",LEFT(Sheet2!O195, FIND(" ", Sheet2!O195)-1))</f>
        <v/>
      </c>
      <c r="I195" s="15" t="str">
        <f>IF(Sheet2!S195&lt;19,ROUND(Sheet2!I195,2)&amp;"'",IF(Sheet2!S195&lt;25,ROUND(Sheet2!J195,2)&amp;"'",IF(Sheet2!S195&lt;31,ROUND(Sheet2!K195,2)&amp;"'",IF(Sheet2!S195&lt;37,ROUND(Sheet2!L195,2)&amp;"'",""))))</f>
        <v/>
      </c>
      <c r="L195" s="15" t="str">
        <f>IF(Sheet2!D195="","",Sheet2!D195&amp;"''")</f>
        <v/>
      </c>
      <c r="O195" s="16" t="str">
        <f>IF(Sheet2!H195="","",ROUND(Sheet2!H195,2)&amp;"'")</f>
        <v/>
      </c>
      <c r="P195" s="18" t="str">
        <f>IF(Sheet2!E195="","",Sheet2!E195&amp;"''")</f>
        <v/>
      </c>
      <c r="Q195" s="12" t="str" cm="1">
        <f t="array" ref="Q195">IF(P195="","",_xlfn.XLOOKUP(G195,[1]Sheet1!$G:$G,[1]Sheet1!$Q:$S))</f>
        <v/>
      </c>
      <c r="T195" s="15" t="str">
        <f>IF(Sheet2!F195="","",Sheet2!F195&amp;"""")</f>
        <v/>
      </c>
      <c r="U195" s="12" t="str" cm="1">
        <f t="array" ref="U195">IF(T195="","",_xlfn.XLOOKUP(G195,[1]Sheet1!$G:$G,[1]Sheet1!$U:$W))</f>
        <v/>
      </c>
      <c r="X195" s="15" t="str">
        <f>IF(Sheet2!G195="","",Sheet2!G195&amp;"''")</f>
        <v/>
      </c>
    </row>
    <row r="196" spans="7:24" x14ac:dyDescent="0.25">
      <c r="G196" s="15" t="str">
        <f>IF(Sheet2!A196="","",Sheet2!A196)</f>
        <v/>
      </c>
      <c r="H196" s="18" t="str">
        <f>IF(Sheet2!O196="","",LEFT(Sheet2!O196, FIND(" ", Sheet2!O196)-1))</f>
        <v/>
      </c>
      <c r="I196" s="15" t="str">
        <f>IF(Sheet2!S196&lt;19,ROUND(Sheet2!I196,2)&amp;"'",IF(Sheet2!S196&lt;25,ROUND(Sheet2!J196,2)&amp;"'",IF(Sheet2!S196&lt;31,ROUND(Sheet2!K196,2)&amp;"'",IF(Sheet2!S196&lt;37,ROUND(Sheet2!L196,2)&amp;"'",""))))</f>
        <v/>
      </c>
      <c r="L196" s="15" t="str">
        <f>IF(Sheet2!D196="","",Sheet2!D196&amp;"''")</f>
        <v/>
      </c>
      <c r="O196" s="16" t="str">
        <f>IF(Sheet2!H196="","",ROUND(Sheet2!H196,2)&amp;"'")</f>
        <v/>
      </c>
      <c r="P196" s="18" t="str">
        <f>IF(Sheet2!E196="","",Sheet2!E196&amp;"''")</f>
        <v/>
      </c>
      <c r="Q196" s="12" t="str" cm="1">
        <f t="array" ref="Q196">IF(P196="","",_xlfn.XLOOKUP(G196,[1]Sheet1!$G:$G,[1]Sheet1!$Q:$S))</f>
        <v/>
      </c>
      <c r="T196" s="15" t="str">
        <f>IF(Sheet2!F196="","",Sheet2!F196&amp;"""")</f>
        <v/>
      </c>
      <c r="U196" s="12" t="str" cm="1">
        <f t="array" ref="U196">IF(T196="","",_xlfn.XLOOKUP(G196,[1]Sheet1!$G:$G,[1]Sheet1!$U:$W))</f>
        <v/>
      </c>
      <c r="X196" s="15" t="str">
        <f>IF(Sheet2!G196="","",Sheet2!G196&amp;"''")</f>
        <v/>
      </c>
    </row>
    <row r="197" spans="7:24" x14ac:dyDescent="0.25">
      <c r="G197" s="15" t="str">
        <f>IF(Sheet2!A197="","",Sheet2!A197)</f>
        <v/>
      </c>
      <c r="H197" s="18" t="str">
        <f>IF(Sheet2!O197="","",LEFT(Sheet2!O197, FIND(" ", Sheet2!O197)-1))</f>
        <v/>
      </c>
      <c r="I197" s="15" t="str">
        <f>IF(Sheet2!S197&lt;19,ROUND(Sheet2!I197,2)&amp;"'",IF(Sheet2!S197&lt;25,ROUND(Sheet2!J197,2)&amp;"'",IF(Sheet2!S197&lt;31,ROUND(Sheet2!K197,2)&amp;"'",IF(Sheet2!S197&lt;37,ROUND(Sheet2!L197,2)&amp;"'",""))))</f>
        <v/>
      </c>
      <c r="L197" s="15" t="str">
        <f>IF(Sheet2!D197="","",Sheet2!D197&amp;"''")</f>
        <v/>
      </c>
      <c r="O197" s="16" t="str">
        <f>IF(Sheet2!H197="","",ROUND(Sheet2!H197,2)&amp;"'")</f>
        <v/>
      </c>
      <c r="P197" s="18" t="str">
        <f>IF(Sheet2!E197="","",Sheet2!E197&amp;"''")</f>
        <v/>
      </c>
      <c r="Q197" s="12" t="str" cm="1">
        <f t="array" ref="Q197">IF(P197="","",_xlfn.XLOOKUP(G197,[1]Sheet1!$G:$G,[1]Sheet1!$Q:$S))</f>
        <v/>
      </c>
      <c r="T197" s="15" t="str">
        <f>IF(Sheet2!F197="","",Sheet2!F197&amp;"""")</f>
        <v/>
      </c>
      <c r="U197" s="12" t="str" cm="1">
        <f t="array" ref="U197">IF(T197="","",_xlfn.XLOOKUP(G197,[1]Sheet1!$G:$G,[1]Sheet1!$U:$W))</f>
        <v/>
      </c>
      <c r="X197" s="15" t="str">
        <f>IF(Sheet2!G197="","",Sheet2!G197&amp;"''")</f>
        <v/>
      </c>
    </row>
    <row r="198" spans="7:24" x14ac:dyDescent="0.25">
      <c r="G198" s="15" t="str">
        <f>IF(Sheet2!A198="","",Sheet2!A198)</f>
        <v/>
      </c>
      <c r="H198" s="18" t="str">
        <f>IF(Sheet2!O198="","",LEFT(Sheet2!O198, FIND(" ", Sheet2!O198)-1))</f>
        <v/>
      </c>
      <c r="I198" s="15" t="str">
        <f>IF(Sheet2!S198&lt;19,ROUND(Sheet2!I198,2)&amp;"'",IF(Sheet2!S198&lt;25,ROUND(Sheet2!J198,2)&amp;"'",IF(Sheet2!S198&lt;31,ROUND(Sheet2!K198,2)&amp;"'",IF(Sheet2!S198&lt;37,ROUND(Sheet2!L198,2)&amp;"'",""))))</f>
        <v/>
      </c>
      <c r="L198" s="15" t="str">
        <f>IF(Sheet2!D198="","",Sheet2!D198&amp;"''")</f>
        <v/>
      </c>
      <c r="O198" s="16" t="str">
        <f>IF(Sheet2!H198="","",ROUND(Sheet2!H198,2)&amp;"'")</f>
        <v/>
      </c>
      <c r="P198" s="18" t="str">
        <f>IF(Sheet2!E198="","",Sheet2!E198&amp;"''")</f>
        <v/>
      </c>
      <c r="Q198" s="12" t="str" cm="1">
        <f t="array" ref="Q198">IF(P198="","",_xlfn.XLOOKUP(G198,[1]Sheet1!$G:$G,[1]Sheet1!$Q:$S))</f>
        <v/>
      </c>
      <c r="T198" s="15" t="str">
        <f>IF(Sheet2!F198="","",Sheet2!F198&amp;"""")</f>
        <v/>
      </c>
      <c r="U198" s="12" t="str" cm="1">
        <f t="array" ref="U198">IF(T198="","",_xlfn.XLOOKUP(G198,[1]Sheet1!$G:$G,[1]Sheet1!$U:$W))</f>
        <v/>
      </c>
      <c r="X198" s="15" t="str">
        <f>IF(Sheet2!G198="","",Sheet2!G198&amp;"''")</f>
        <v/>
      </c>
    </row>
    <row r="199" spans="7:24" x14ac:dyDescent="0.25">
      <c r="G199" s="15" t="str">
        <f>IF(Sheet2!A199="","",Sheet2!A199)</f>
        <v/>
      </c>
      <c r="H199" s="18" t="str">
        <f>IF(Sheet2!O199="","",LEFT(Sheet2!O199, FIND(" ", Sheet2!O199)-1))</f>
        <v/>
      </c>
      <c r="I199" s="15" t="str">
        <f>IF(Sheet2!S199&lt;19,ROUND(Sheet2!I199,2)&amp;"'",IF(Sheet2!S199&lt;25,ROUND(Sheet2!J199,2)&amp;"'",IF(Sheet2!S199&lt;31,ROUND(Sheet2!K199,2)&amp;"'",IF(Sheet2!S199&lt;37,ROUND(Sheet2!L199,2)&amp;"'",""))))</f>
        <v/>
      </c>
      <c r="L199" s="15" t="str">
        <f>IF(Sheet2!D199="","",Sheet2!D199&amp;"''")</f>
        <v/>
      </c>
      <c r="O199" s="16" t="str">
        <f>IF(Sheet2!H199="","",ROUND(Sheet2!H199,2)&amp;"'")</f>
        <v/>
      </c>
      <c r="P199" s="18" t="str">
        <f>IF(Sheet2!E199="","",Sheet2!E199&amp;"''")</f>
        <v/>
      </c>
      <c r="Q199" s="12" t="str" cm="1">
        <f t="array" ref="Q199">IF(P199="","",_xlfn.XLOOKUP(G199,[1]Sheet1!$G:$G,[1]Sheet1!$Q:$S))</f>
        <v/>
      </c>
      <c r="T199" s="15" t="str">
        <f>IF(Sheet2!F199="","",Sheet2!F199&amp;"""")</f>
        <v/>
      </c>
      <c r="U199" s="12" t="str" cm="1">
        <f t="array" ref="U199">IF(T199="","",_xlfn.XLOOKUP(G199,[1]Sheet1!$G:$G,[1]Sheet1!$U:$W))</f>
        <v/>
      </c>
      <c r="X199" s="15" t="str">
        <f>IF(Sheet2!G199="","",Sheet2!G199&amp;"''")</f>
        <v/>
      </c>
    </row>
    <row r="200" spans="7:24" x14ac:dyDescent="0.25">
      <c r="G200" s="15" t="str">
        <f>IF(Sheet2!A200="","",Sheet2!A200)</f>
        <v/>
      </c>
      <c r="H200" s="18" t="str">
        <f>IF(Sheet2!O200="","",LEFT(Sheet2!O200, FIND(" ", Sheet2!O200)-1))</f>
        <v/>
      </c>
      <c r="I200" s="15" t="str">
        <f>IF(Sheet2!S200&lt;19,ROUND(Sheet2!I200,2)&amp;"'",IF(Sheet2!S200&lt;25,ROUND(Sheet2!J200,2)&amp;"'",IF(Sheet2!S200&lt;31,ROUND(Sheet2!K200,2)&amp;"'",IF(Sheet2!S200&lt;37,ROUND(Sheet2!L200,2)&amp;"'",""))))</f>
        <v/>
      </c>
      <c r="L200" s="15" t="str">
        <f>IF(Sheet2!D200="","",Sheet2!D200&amp;"''")</f>
        <v/>
      </c>
      <c r="O200" s="16" t="str">
        <f>IF(Sheet2!H200="","",ROUND(Sheet2!H200,2)&amp;"'")</f>
        <v/>
      </c>
      <c r="P200" s="18" t="str">
        <f>IF(Sheet2!E200="","",Sheet2!E200&amp;"''")</f>
        <v/>
      </c>
      <c r="Q200" s="12" t="str" cm="1">
        <f t="array" ref="Q200">IF(P200="","",_xlfn.XLOOKUP(G200,[1]Sheet1!$G:$G,[1]Sheet1!$Q:$S))</f>
        <v/>
      </c>
      <c r="T200" s="15" t="str">
        <f>IF(Sheet2!F200="","",Sheet2!F200&amp;"""")</f>
        <v/>
      </c>
      <c r="U200" s="12" t="str" cm="1">
        <f t="array" ref="U200">IF(T200="","",_xlfn.XLOOKUP(G200,[1]Sheet1!$G:$G,[1]Sheet1!$U:$W))</f>
        <v/>
      </c>
      <c r="X200" s="15" t="str">
        <f>IF(Sheet2!G200="","",Sheet2!G200&amp;"''")</f>
        <v/>
      </c>
    </row>
    <row r="201" spans="7:24" x14ac:dyDescent="0.25">
      <c r="G201" s="15" t="str">
        <f>IF(Sheet2!A201="","",Sheet2!A201)</f>
        <v/>
      </c>
      <c r="H201" s="18" t="str">
        <f>IF(Sheet2!O201="","",LEFT(Sheet2!O201, FIND(" ", Sheet2!O201)-1))</f>
        <v/>
      </c>
      <c r="I201" s="15" t="str">
        <f>IF(Sheet2!S201&lt;19,ROUND(Sheet2!I201,2)&amp;"'",IF(Sheet2!S201&lt;25,ROUND(Sheet2!J201,2)&amp;"'",IF(Sheet2!S201&lt;31,ROUND(Sheet2!K201,2)&amp;"'",IF(Sheet2!S201&lt;37,ROUND(Sheet2!L201,2)&amp;"'",""))))</f>
        <v/>
      </c>
      <c r="L201" s="15" t="str">
        <f>IF(Sheet2!D201="","",Sheet2!D201&amp;"''")</f>
        <v/>
      </c>
      <c r="O201" s="16" t="str">
        <f>IF(Sheet2!H201="","",ROUND(Sheet2!H201,2)&amp;"'")</f>
        <v/>
      </c>
      <c r="P201" s="18" t="str">
        <f>IF(Sheet2!E201="","",Sheet2!E201&amp;"''")</f>
        <v/>
      </c>
      <c r="Q201" s="12" t="str" cm="1">
        <f t="array" ref="Q201">IF(P201="","",_xlfn.XLOOKUP(G201,[1]Sheet1!$G:$G,[1]Sheet1!$Q:$S))</f>
        <v/>
      </c>
      <c r="T201" s="15" t="str">
        <f>IF(Sheet2!F201="","",Sheet2!F201&amp;"""")</f>
        <v/>
      </c>
      <c r="U201" s="12" t="str" cm="1">
        <f t="array" ref="U201">IF(T201="","",_xlfn.XLOOKUP(G201,[1]Sheet1!$G:$G,[1]Sheet1!$U:$W))</f>
        <v/>
      </c>
      <c r="X201" s="15" t="str">
        <f>IF(Sheet2!G201="","",Sheet2!G201&amp;"''")</f>
        <v/>
      </c>
    </row>
    <row r="202" spans="7:24" x14ac:dyDescent="0.25">
      <c r="G202" s="15" t="str">
        <f>IF(Sheet2!A202="","",Sheet2!A202)</f>
        <v/>
      </c>
      <c r="H202" s="18" t="str">
        <f>IF(Sheet2!O202="","",LEFT(Sheet2!O202, FIND(" ", Sheet2!O202)-1))</f>
        <v/>
      </c>
      <c r="I202" s="15" t="str">
        <f>IF(Sheet2!S202&lt;19,ROUND(Sheet2!I202,2)&amp;"'",IF(Sheet2!S202&lt;25,ROUND(Sheet2!J202,2)&amp;"'",IF(Sheet2!S202&lt;31,ROUND(Sheet2!K202,2)&amp;"'",IF(Sheet2!S202&lt;37,ROUND(Sheet2!L202,2)&amp;"'",""))))</f>
        <v/>
      </c>
      <c r="L202" s="15" t="str">
        <f>IF(Sheet2!D202="","",Sheet2!D202&amp;"''")</f>
        <v/>
      </c>
      <c r="O202" s="16" t="str">
        <f>IF(Sheet2!H202="","",ROUND(Sheet2!H202,2)&amp;"'")</f>
        <v/>
      </c>
      <c r="P202" s="18" t="str">
        <f>IF(Sheet2!E202="","",Sheet2!E202&amp;"''")</f>
        <v/>
      </c>
      <c r="Q202" s="12" t="str" cm="1">
        <f t="array" ref="Q202">IF(P202="","",_xlfn.XLOOKUP(G202,[1]Sheet1!$G:$G,[1]Sheet1!$Q:$S))</f>
        <v/>
      </c>
      <c r="T202" s="15" t="str">
        <f>IF(Sheet2!F202="","",Sheet2!F202&amp;"""")</f>
        <v/>
      </c>
      <c r="U202" s="12" t="str" cm="1">
        <f t="array" ref="U202">IF(T202="","",_xlfn.XLOOKUP(G202,[1]Sheet1!$G:$G,[1]Sheet1!$U:$W))</f>
        <v/>
      </c>
      <c r="X202" s="15" t="str">
        <f>IF(Sheet2!G202="","",Sheet2!G202&amp;"''")</f>
        <v/>
      </c>
    </row>
    <row r="203" spans="7:24" x14ac:dyDescent="0.25">
      <c r="G203" s="15" t="str">
        <f>IF(Sheet2!A203="","",Sheet2!A203)</f>
        <v/>
      </c>
      <c r="H203" s="18" t="str">
        <f>IF(Sheet2!O203="","",LEFT(Sheet2!O203, FIND(" ", Sheet2!O203)-1))</f>
        <v/>
      </c>
      <c r="I203" s="15" t="str">
        <f>IF(Sheet2!S203&lt;19,ROUND(Sheet2!I203,2)&amp;"'",IF(Sheet2!S203&lt;25,ROUND(Sheet2!J203,2)&amp;"'",IF(Sheet2!S203&lt;31,ROUND(Sheet2!K203,2)&amp;"'",IF(Sheet2!S203&lt;37,ROUND(Sheet2!L203,2)&amp;"'",""))))</f>
        <v/>
      </c>
      <c r="L203" s="15" t="str">
        <f>IF(Sheet2!D203="","",Sheet2!D203&amp;"''")</f>
        <v/>
      </c>
      <c r="O203" s="16" t="str">
        <f>IF(Sheet2!H203="","",ROUND(Sheet2!H203,2)&amp;"'")</f>
        <v/>
      </c>
      <c r="P203" s="18" t="str">
        <f>IF(Sheet2!E203="","",Sheet2!E203&amp;"''")</f>
        <v/>
      </c>
      <c r="Q203" s="12" t="str" cm="1">
        <f t="array" ref="Q203">IF(P203="","",_xlfn.XLOOKUP(G203,[1]Sheet1!$G:$G,[1]Sheet1!$Q:$S))</f>
        <v/>
      </c>
      <c r="T203" s="15" t="str">
        <f>IF(Sheet2!F203="","",Sheet2!F203&amp;"""")</f>
        <v/>
      </c>
      <c r="U203" s="12" t="str" cm="1">
        <f t="array" ref="U203">IF(T203="","",_xlfn.XLOOKUP(G203,[1]Sheet1!$G:$G,[1]Sheet1!$U:$W))</f>
        <v/>
      </c>
      <c r="X203" s="15" t="str">
        <f>IF(Sheet2!G203="","",Sheet2!G203&amp;"''")</f>
        <v/>
      </c>
    </row>
    <row r="204" spans="7:24" x14ac:dyDescent="0.25">
      <c r="G204" s="15" t="str">
        <f>IF(Sheet2!A204="","",Sheet2!A204)</f>
        <v/>
      </c>
      <c r="H204" s="18" t="str">
        <f>IF(Sheet2!O204="","",LEFT(Sheet2!O204, FIND(" ", Sheet2!O204)-1))</f>
        <v/>
      </c>
      <c r="I204" s="15" t="str">
        <f>IF(Sheet2!S204&lt;19,ROUND(Sheet2!I204,2)&amp;"'",IF(Sheet2!S204&lt;25,ROUND(Sheet2!J204,2)&amp;"'",IF(Sheet2!S204&lt;31,ROUND(Sheet2!K204,2)&amp;"'",IF(Sheet2!S204&lt;37,ROUND(Sheet2!L204,2)&amp;"'",""))))</f>
        <v/>
      </c>
      <c r="L204" s="15" t="str">
        <f>IF(Sheet2!D204="","",Sheet2!D204&amp;"''")</f>
        <v/>
      </c>
      <c r="O204" s="16" t="str">
        <f>IF(Sheet2!H204="","",ROUND(Sheet2!H204,2)&amp;"'")</f>
        <v/>
      </c>
      <c r="P204" s="18" t="str">
        <f>IF(Sheet2!E204="","",Sheet2!E204&amp;"''")</f>
        <v/>
      </c>
      <c r="Q204" s="12" t="str" cm="1">
        <f t="array" ref="Q204">IF(P204="","",_xlfn.XLOOKUP(G204,[1]Sheet1!$G:$G,[1]Sheet1!$Q:$S))</f>
        <v/>
      </c>
      <c r="T204" s="15" t="str">
        <f>IF(Sheet2!F204="","",Sheet2!F204&amp;"""")</f>
        <v/>
      </c>
      <c r="U204" s="12" t="str" cm="1">
        <f t="array" ref="U204">IF(T204="","",_xlfn.XLOOKUP(G204,[1]Sheet1!$G:$G,[1]Sheet1!$U:$W))</f>
        <v/>
      </c>
      <c r="X204" s="15" t="str">
        <f>IF(Sheet2!G204="","",Sheet2!G204&amp;"''")</f>
        <v/>
      </c>
    </row>
    <row r="205" spans="7:24" x14ac:dyDescent="0.25">
      <c r="G205" s="15" t="str">
        <f>IF(Sheet2!A205="","",Sheet2!A205)</f>
        <v/>
      </c>
      <c r="H205" s="18" t="str">
        <f>IF(Sheet2!O205="","",LEFT(Sheet2!O205, FIND(" ", Sheet2!O205)-1))</f>
        <v/>
      </c>
      <c r="I205" s="15" t="str">
        <f>IF(Sheet2!S205&lt;19,ROUND(Sheet2!I205,2)&amp;"'",IF(Sheet2!S205&lt;25,ROUND(Sheet2!J205,2)&amp;"'",IF(Sheet2!S205&lt;31,ROUND(Sheet2!K205,2)&amp;"'",IF(Sheet2!S205&lt;37,ROUND(Sheet2!L205,2)&amp;"'",""))))</f>
        <v/>
      </c>
      <c r="L205" s="15" t="str">
        <f>IF(Sheet2!D205="","",Sheet2!D205&amp;"''")</f>
        <v/>
      </c>
      <c r="O205" s="16" t="str">
        <f>IF(Sheet2!H205="","",ROUND(Sheet2!H205,2)&amp;"'")</f>
        <v/>
      </c>
      <c r="P205" s="18" t="str">
        <f>IF(Sheet2!E205="","",Sheet2!E205&amp;"''")</f>
        <v/>
      </c>
      <c r="Q205" s="12" t="str" cm="1">
        <f t="array" ref="Q205">IF(P205="","",_xlfn.XLOOKUP(G205,[1]Sheet1!$G:$G,[1]Sheet1!$Q:$S))</f>
        <v/>
      </c>
      <c r="T205" s="15" t="str">
        <f>IF(Sheet2!F205="","",Sheet2!F205&amp;"""")</f>
        <v/>
      </c>
      <c r="U205" s="12" t="str" cm="1">
        <f t="array" ref="U205">IF(T205="","",_xlfn.XLOOKUP(G205,[1]Sheet1!$G:$G,[1]Sheet1!$U:$W))</f>
        <v/>
      </c>
      <c r="X205" s="15" t="str">
        <f>IF(Sheet2!G205="","",Sheet2!G205&amp;"''")</f>
        <v/>
      </c>
    </row>
    <row r="206" spans="7:24" x14ac:dyDescent="0.25">
      <c r="G206" s="15" t="str">
        <f>IF(Sheet2!A206="","",Sheet2!A206)</f>
        <v/>
      </c>
      <c r="H206" s="18" t="str">
        <f>IF(Sheet2!O206="","",LEFT(Sheet2!O206, FIND(" ", Sheet2!O206)-1))</f>
        <v/>
      </c>
      <c r="I206" s="15" t="str">
        <f>IF(Sheet2!S206&lt;19,ROUND(Sheet2!I206,2)&amp;"'",IF(Sheet2!S206&lt;25,ROUND(Sheet2!J206,2)&amp;"'",IF(Sheet2!S206&lt;31,ROUND(Sheet2!K206,2)&amp;"'",IF(Sheet2!S206&lt;37,ROUND(Sheet2!L206,2)&amp;"'",""))))</f>
        <v/>
      </c>
      <c r="L206" s="15" t="str">
        <f>IF(Sheet2!D206="","",Sheet2!D206&amp;"''")</f>
        <v/>
      </c>
      <c r="O206" s="16" t="str">
        <f>IF(Sheet2!H206="","",ROUND(Sheet2!H206,2)&amp;"'")</f>
        <v/>
      </c>
      <c r="P206" s="18" t="str">
        <f>IF(Sheet2!E206="","",Sheet2!E206&amp;"''")</f>
        <v/>
      </c>
      <c r="Q206" s="12" t="str" cm="1">
        <f t="array" ref="Q206">IF(P206="","",_xlfn.XLOOKUP(G206,[1]Sheet1!$G:$G,[1]Sheet1!$Q:$S))</f>
        <v/>
      </c>
      <c r="T206" s="15" t="str">
        <f>IF(Sheet2!F206="","",Sheet2!F206&amp;"""")</f>
        <v/>
      </c>
      <c r="U206" s="12" t="str" cm="1">
        <f t="array" ref="U206">IF(T206="","",_xlfn.XLOOKUP(G206,[1]Sheet1!$G:$G,[1]Sheet1!$U:$W))</f>
        <v/>
      </c>
      <c r="X206" s="15" t="str">
        <f>IF(Sheet2!G206="","",Sheet2!G206&amp;"''")</f>
        <v/>
      </c>
    </row>
    <row r="207" spans="7:24" x14ac:dyDescent="0.25">
      <c r="G207" s="15" t="str">
        <f>IF(Sheet2!A207="","",Sheet2!A207)</f>
        <v/>
      </c>
      <c r="H207" s="18" t="str">
        <f>IF(Sheet2!O207="","",LEFT(Sheet2!O207, FIND(" ", Sheet2!O207)-1))</f>
        <v/>
      </c>
      <c r="I207" s="15" t="str">
        <f>IF(Sheet2!S207&lt;19,ROUND(Sheet2!I207,2)&amp;"'",IF(Sheet2!S207&lt;25,ROUND(Sheet2!J207,2)&amp;"'",IF(Sheet2!S207&lt;31,ROUND(Sheet2!K207,2)&amp;"'",IF(Sheet2!S207&lt;37,ROUND(Sheet2!L207,2)&amp;"'",""))))</f>
        <v/>
      </c>
      <c r="L207" s="15" t="str">
        <f>IF(Sheet2!D207="","",Sheet2!D207&amp;"''")</f>
        <v/>
      </c>
      <c r="O207" s="16" t="str">
        <f>IF(Sheet2!H207="","",ROUND(Sheet2!H207,2)&amp;"'")</f>
        <v/>
      </c>
      <c r="P207" s="18" t="str">
        <f>IF(Sheet2!E207="","",Sheet2!E207&amp;"''")</f>
        <v/>
      </c>
      <c r="Q207" s="12" t="str" cm="1">
        <f t="array" ref="Q207">IF(P207="","",_xlfn.XLOOKUP(G207,[1]Sheet1!$G:$G,[1]Sheet1!$Q:$S))</f>
        <v/>
      </c>
      <c r="T207" s="15" t="str">
        <f>IF(Sheet2!F207="","",Sheet2!F207&amp;"""")</f>
        <v/>
      </c>
      <c r="U207" s="12" t="str" cm="1">
        <f t="array" ref="U207">IF(T207="","",_xlfn.XLOOKUP(G207,[1]Sheet1!$G:$G,[1]Sheet1!$U:$W))</f>
        <v/>
      </c>
      <c r="X207" s="15" t="str">
        <f>IF(Sheet2!G207="","",Sheet2!G207&amp;"''")</f>
        <v/>
      </c>
    </row>
    <row r="208" spans="7:24" x14ac:dyDescent="0.25">
      <c r="G208" s="15" t="str">
        <f>IF(Sheet2!A208="","",Sheet2!A208)</f>
        <v/>
      </c>
      <c r="H208" s="18" t="str">
        <f>IF(Sheet2!O208="","",LEFT(Sheet2!O208, FIND(" ", Sheet2!O208)-1))</f>
        <v/>
      </c>
      <c r="I208" s="15" t="str">
        <f>IF(Sheet2!S208&lt;19,ROUND(Sheet2!I208,2)&amp;"'",IF(Sheet2!S208&lt;25,ROUND(Sheet2!J208,2)&amp;"'",IF(Sheet2!S208&lt;31,ROUND(Sheet2!K208,2)&amp;"'",IF(Sheet2!S208&lt;37,ROUND(Sheet2!L208,2)&amp;"'",""))))</f>
        <v/>
      </c>
      <c r="L208" s="15" t="str">
        <f>IF(Sheet2!D208="","",Sheet2!D208&amp;"''")</f>
        <v/>
      </c>
      <c r="O208" s="16" t="str">
        <f>IF(Sheet2!H208="","",ROUND(Sheet2!H208,2)&amp;"'")</f>
        <v/>
      </c>
      <c r="P208" s="18" t="str">
        <f>IF(Sheet2!E208="","",Sheet2!E208&amp;"''")</f>
        <v/>
      </c>
      <c r="Q208" s="12" t="str" cm="1">
        <f t="array" ref="Q208">IF(P208="","",_xlfn.XLOOKUP(G208,[1]Sheet1!$G:$G,[1]Sheet1!$Q:$S))</f>
        <v/>
      </c>
      <c r="T208" s="15" t="str">
        <f>IF(Sheet2!F208="","",Sheet2!F208&amp;"""")</f>
        <v/>
      </c>
      <c r="U208" s="12" t="str" cm="1">
        <f t="array" ref="U208">IF(T208="","",_xlfn.XLOOKUP(G208,[1]Sheet1!$G:$G,[1]Sheet1!$U:$W))</f>
        <v/>
      </c>
      <c r="X208" s="15" t="str">
        <f>IF(Sheet2!G208="","",Sheet2!G208&amp;"''")</f>
        <v/>
      </c>
    </row>
    <row r="209" spans="7:24" x14ac:dyDescent="0.25">
      <c r="G209" s="15" t="str">
        <f>IF(Sheet2!A209="","",Sheet2!A209)</f>
        <v/>
      </c>
      <c r="H209" s="18" t="str">
        <f>IF(Sheet2!O209="","",LEFT(Sheet2!O209, FIND(" ", Sheet2!O209)-1))</f>
        <v/>
      </c>
      <c r="I209" s="15" t="str">
        <f>IF(Sheet2!S209&lt;19,ROUND(Sheet2!I209,2)&amp;"'",IF(Sheet2!S209&lt;25,ROUND(Sheet2!J209,2)&amp;"'",IF(Sheet2!S209&lt;31,ROUND(Sheet2!K209,2)&amp;"'",IF(Sheet2!S209&lt;37,ROUND(Sheet2!L209,2)&amp;"'",""))))</f>
        <v/>
      </c>
      <c r="L209" s="15" t="str">
        <f>IF(Sheet2!D209="","",Sheet2!D209&amp;"''")</f>
        <v/>
      </c>
      <c r="O209" s="16" t="str">
        <f>IF(Sheet2!H209="","",ROUND(Sheet2!H209,2)&amp;"'")</f>
        <v/>
      </c>
      <c r="P209" s="18" t="str">
        <f>IF(Sheet2!E209="","",Sheet2!E209&amp;"''")</f>
        <v/>
      </c>
      <c r="Q209" s="12" t="str" cm="1">
        <f t="array" ref="Q209">IF(P209="","",_xlfn.XLOOKUP(G209,[1]Sheet1!$G:$G,[1]Sheet1!$Q:$S))</f>
        <v/>
      </c>
      <c r="T209" s="15" t="str">
        <f>IF(Sheet2!F209="","",Sheet2!F209&amp;"""")</f>
        <v/>
      </c>
      <c r="U209" s="12" t="str" cm="1">
        <f t="array" ref="U209">IF(T209="","",_xlfn.XLOOKUP(G209,[1]Sheet1!$G:$G,[1]Sheet1!$U:$W))</f>
        <v/>
      </c>
      <c r="X209" s="15" t="str">
        <f>IF(Sheet2!G209="","",Sheet2!G209&amp;"''")</f>
        <v/>
      </c>
    </row>
    <row r="210" spans="7:24" x14ac:dyDescent="0.25">
      <c r="G210" s="15" t="str">
        <f>IF(Sheet2!A210="","",Sheet2!A210)</f>
        <v/>
      </c>
      <c r="H210" s="18" t="str">
        <f>IF(Sheet2!O210="","",LEFT(Sheet2!O210, FIND(" ", Sheet2!O210)-1))</f>
        <v/>
      </c>
      <c r="I210" s="15" t="str">
        <f>IF(Sheet2!S210&lt;19,ROUND(Sheet2!I210,2)&amp;"'",IF(Sheet2!S210&lt;25,ROUND(Sheet2!J210,2)&amp;"'",IF(Sheet2!S210&lt;31,ROUND(Sheet2!K210,2)&amp;"'",IF(Sheet2!S210&lt;37,ROUND(Sheet2!L210,2)&amp;"'",""))))</f>
        <v/>
      </c>
      <c r="L210" s="15" t="str">
        <f>IF(Sheet2!D210="","",Sheet2!D210&amp;"''")</f>
        <v/>
      </c>
      <c r="O210" s="16" t="str">
        <f>IF(Sheet2!H210="","",ROUND(Sheet2!H210,2)&amp;"'")</f>
        <v/>
      </c>
      <c r="P210" s="18" t="str">
        <f>IF(Sheet2!E210="","",Sheet2!E210&amp;"''")</f>
        <v/>
      </c>
      <c r="Q210" s="12" t="str" cm="1">
        <f t="array" ref="Q210">IF(P210="","",_xlfn.XLOOKUP(G210,[1]Sheet1!$G:$G,[1]Sheet1!$Q:$S))</f>
        <v/>
      </c>
      <c r="T210" s="15" t="str">
        <f>IF(Sheet2!F210="","",Sheet2!F210&amp;"""")</f>
        <v/>
      </c>
      <c r="U210" s="12" t="str" cm="1">
        <f t="array" ref="U210">IF(T210="","",_xlfn.XLOOKUP(G210,[1]Sheet1!$G:$G,[1]Sheet1!$U:$W))</f>
        <v/>
      </c>
      <c r="X210" s="15" t="str">
        <f>IF(Sheet2!G210="","",Sheet2!G210&amp;"''")</f>
        <v/>
      </c>
    </row>
    <row r="211" spans="7:24" x14ac:dyDescent="0.25">
      <c r="G211" s="15" t="str">
        <f>IF(Sheet2!A211="","",Sheet2!A211)</f>
        <v/>
      </c>
      <c r="H211" s="18" t="str">
        <f>IF(Sheet2!O211="","",LEFT(Sheet2!O211, FIND(" ", Sheet2!O211)-1))</f>
        <v/>
      </c>
      <c r="I211" s="15" t="str">
        <f>IF(Sheet2!S211&lt;19,ROUND(Sheet2!I211,2)&amp;"'",IF(Sheet2!S211&lt;25,ROUND(Sheet2!J211,2)&amp;"'",IF(Sheet2!S211&lt;31,ROUND(Sheet2!K211,2)&amp;"'",IF(Sheet2!S211&lt;37,ROUND(Sheet2!L211,2)&amp;"'",""))))</f>
        <v/>
      </c>
      <c r="L211" s="15" t="str">
        <f>IF(Sheet2!D211="","",Sheet2!D211&amp;"''")</f>
        <v/>
      </c>
      <c r="O211" s="16" t="str">
        <f>IF(Sheet2!H211="","",ROUND(Sheet2!H211,2)&amp;"'")</f>
        <v/>
      </c>
      <c r="P211" s="18" t="str">
        <f>IF(Sheet2!E211="","",Sheet2!E211&amp;"''")</f>
        <v/>
      </c>
      <c r="Q211" s="12" t="str" cm="1">
        <f t="array" ref="Q211">IF(P211="","",_xlfn.XLOOKUP(G211,[1]Sheet1!$G:$G,[1]Sheet1!$Q:$S))</f>
        <v/>
      </c>
      <c r="T211" s="15" t="str">
        <f>IF(Sheet2!F211="","",Sheet2!F211&amp;"""")</f>
        <v/>
      </c>
      <c r="U211" s="12" t="str" cm="1">
        <f t="array" ref="U211">IF(T211="","",_xlfn.XLOOKUP(G211,[1]Sheet1!$G:$G,[1]Sheet1!$U:$W))</f>
        <v/>
      </c>
      <c r="X211" s="15" t="str">
        <f>IF(Sheet2!G211="","",Sheet2!G211&amp;"''")</f>
        <v/>
      </c>
    </row>
    <row r="212" spans="7:24" x14ac:dyDescent="0.25">
      <c r="G212" s="15" t="str">
        <f>IF(Sheet2!A212="","",Sheet2!A212)</f>
        <v/>
      </c>
      <c r="H212" s="18" t="str">
        <f>IF(Sheet2!O212="","",LEFT(Sheet2!O212, FIND(" ", Sheet2!O212)-1))</f>
        <v/>
      </c>
      <c r="I212" s="15" t="str">
        <f>IF(Sheet2!S212&lt;19,ROUND(Sheet2!I212,2)&amp;"'",IF(Sheet2!S212&lt;25,ROUND(Sheet2!J212,2)&amp;"'",IF(Sheet2!S212&lt;31,ROUND(Sheet2!K212,2)&amp;"'",IF(Sheet2!S212&lt;37,ROUND(Sheet2!L212,2)&amp;"'",""))))</f>
        <v/>
      </c>
      <c r="L212" s="15" t="str">
        <f>IF(Sheet2!D212="","",Sheet2!D212&amp;"''")</f>
        <v/>
      </c>
      <c r="O212" s="16" t="str">
        <f>IF(Sheet2!H212="","",ROUND(Sheet2!H212,2)&amp;"'")</f>
        <v/>
      </c>
      <c r="P212" s="18" t="str">
        <f>IF(Sheet2!E212="","",Sheet2!E212&amp;"''")</f>
        <v/>
      </c>
      <c r="Q212" s="12" t="str" cm="1">
        <f t="array" ref="Q212">IF(P212="","",_xlfn.XLOOKUP(G212,[1]Sheet1!$G:$G,[1]Sheet1!$Q:$S))</f>
        <v/>
      </c>
      <c r="T212" s="15" t="str">
        <f>IF(Sheet2!F212="","",Sheet2!F212&amp;"""")</f>
        <v/>
      </c>
      <c r="U212" s="12" t="str" cm="1">
        <f t="array" ref="U212">IF(T212="","",_xlfn.XLOOKUP(G212,[1]Sheet1!$G:$G,[1]Sheet1!$U:$W))</f>
        <v/>
      </c>
      <c r="X212" s="15" t="str">
        <f>IF(Sheet2!G212="","",Sheet2!G212&amp;"''")</f>
        <v/>
      </c>
    </row>
    <row r="213" spans="7:24" x14ac:dyDescent="0.25">
      <c r="G213" s="15" t="str">
        <f>IF(Sheet2!A213="","",Sheet2!A213)</f>
        <v/>
      </c>
      <c r="H213" s="18" t="str">
        <f>IF(Sheet2!O213="","",LEFT(Sheet2!O213, FIND(" ", Sheet2!O213)-1))</f>
        <v/>
      </c>
      <c r="I213" s="15" t="str">
        <f>IF(Sheet2!S213&lt;19,ROUND(Sheet2!I213,2)&amp;"'",IF(Sheet2!S213&lt;25,ROUND(Sheet2!J213,2)&amp;"'",IF(Sheet2!S213&lt;31,ROUND(Sheet2!K213,2)&amp;"'",IF(Sheet2!S213&lt;37,ROUND(Sheet2!L213,2)&amp;"'",""))))</f>
        <v/>
      </c>
      <c r="L213" s="15" t="str">
        <f>IF(Sheet2!D213="","",Sheet2!D213&amp;"''")</f>
        <v/>
      </c>
      <c r="O213" s="16" t="str">
        <f>IF(Sheet2!H213="","",ROUND(Sheet2!H213,2)&amp;"'")</f>
        <v/>
      </c>
      <c r="P213" s="18" t="str">
        <f>IF(Sheet2!E213="","",Sheet2!E213&amp;"''")</f>
        <v/>
      </c>
      <c r="Q213" s="12" t="str" cm="1">
        <f t="array" ref="Q213">IF(P213="","",_xlfn.XLOOKUP(G213,[1]Sheet1!$G:$G,[1]Sheet1!$Q:$S))</f>
        <v/>
      </c>
      <c r="T213" s="15" t="str">
        <f>IF(Sheet2!F213="","",Sheet2!F213&amp;"""")</f>
        <v/>
      </c>
      <c r="U213" s="12" t="str" cm="1">
        <f t="array" ref="U213">IF(T213="","",_xlfn.XLOOKUP(G213,[1]Sheet1!$G:$G,[1]Sheet1!$U:$W))</f>
        <v/>
      </c>
      <c r="X213" s="15" t="str">
        <f>IF(Sheet2!G213="","",Sheet2!G213&amp;"''")</f>
        <v/>
      </c>
    </row>
    <row r="214" spans="7:24" x14ac:dyDescent="0.25">
      <c r="G214" s="15" t="str">
        <f>IF(Sheet2!A214="","",Sheet2!A214)</f>
        <v/>
      </c>
      <c r="H214" s="18" t="str">
        <f>IF(Sheet2!O214="","",LEFT(Sheet2!O214, FIND(" ", Sheet2!O214)-1))</f>
        <v/>
      </c>
      <c r="I214" s="15" t="str">
        <f>IF(Sheet2!S214&lt;19,ROUND(Sheet2!I214,2)&amp;"'",IF(Sheet2!S214&lt;25,ROUND(Sheet2!J214,2)&amp;"'",IF(Sheet2!S214&lt;31,ROUND(Sheet2!K214,2)&amp;"'",IF(Sheet2!S214&lt;37,ROUND(Sheet2!L214,2)&amp;"'",""))))</f>
        <v/>
      </c>
      <c r="L214" s="15" t="str">
        <f>IF(Sheet2!D214="","",Sheet2!D214&amp;"''")</f>
        <v/>
      </c>
      <c r="O214" s="16" t="str">
        <f>IF(Sheet2!H214="","",ROUND(Sheet2!H214,2)&amp;"'")</f>
        <v/>
      </c>
      <c r="P214" s="18" t="str">
        <f>IF(Sheet2!E214="","",Sheet2!E214&amp;"''")</f>
        <v/>
      </c>
      <c r="Q214" s="12" t="str" cm="1">
        <f t="array" ref="Q214">IF(P214="","",_xlfn.XLOOKUP(G214,[1]Sheet1!$G:$G,[1]Sheet1!$Q:$S))</f>
        <v/>
      </c>
      <c r="T214" s="15" t="str">
        <f>IF(Sheet2!F214="","",Sheet2!F214&amp;"""")</f>
        <v/>
      </c>
      <c r="U214" s="12" t="str" cm="1">
        <f t="array" ref="U214">IF(T214="","",_xlfn.XLOOKUP(G214,[1]Sheet1!$G:$G,[1]Sheet1!$U:$W))</f>
        <v/>
      </c>
      <c r="X214" s="15" t="str">
        <f>IF(Sheet2!G214="","",Sheet2!G214&amp;"''")</f>
        <v/>
      </c>
    </row>
    <row r="215" spans="7:24" x14ac:dyDescent="0.25">
      <c r="G215" s="15" t="str">
        <f>IF(Sheet2!A215="","",Sheet2!A215)</f>
        <v/>
      </c>
      <c r="H215" s="18" t="str">
        <f>IF(Sheet2!O215="","",LEFT(Sheet2!O215, FIND(" ", Sheet2!O215)-1))</f>
        <v/>
      </c>
      <c r="I215" s="15" t="str">
        <f>IF(Sheet2!S215&lt;19,ROUND(Sheet2!I215,2)&amp;"'",IF(Sheet2!S215&lt;25,ROUND(Sheet2!J215,2)&amp;"'",IF(Sheet2!S215&lt;31,ROUND(Sheet2!K215,2)&amp;"'",IF(Sheet2!S215&lt;37,ROUND(Sheet2!L215,2)&amp;"'",""))))</f>
        <v/>
      </c>
      <c r="L215" s="15" t="str">
        <f>IF(Sheet2!D215="","",Sheet2!D215&amp;"''")</f>
        <v/>
      </c>
      <c r="O215" s="16" t="str">
        <f>IF(Sheet2!H215="","",ROUND(Sheet2!H215,2)&amp;"'")</f>
        <v/>
      </c>
      <c r="P215" s="18" t="str">
        <f>IF(Sheet2!E215="","",Sheet2!E215&amp;"''")</f>
        <v/>
      </c>
      <c r="Q215" s="12" t="str" cm="1">
        <f t="array" ref="Q215">IF(P215="","",_xlfn.XLOOKUP(G215,[1]Sheet1!$G:$G,[1]Sheet1!$Q:$S))</f>
        <v/>
      </c>
      <c r="T215" s="15" t="str">
        <f>IF(Sheet2!F215="","",Sheet2!F215&amp;"""")</f>
        <v/>
      </c>
      <c r="U215" s="12" t="str" cm="1">
        <f t="array" ref="U215">IF(T215="","",_xlfn.XLOOKUP(G215,[1]Sheet1!$G:$G,[1]Sheet1!$U:$W))</f>
        <v/>
      </c>
      <c r="X215" s="15" t="str">
        <f>IF(Sheet2!G215="","",Sheet2!G215&amp;"''")</f>
        <v/>
      </c>
    </row>
    <row r="216" spans="7:24" x14ac:dyDescent="0.25">
      <c r="G216" s="15" t="str">
        <f>IF(Sheet2!A216="","",Sheet2!A216)</f>
        <v/>
      </c>
      <c r="H216" s="18" t="str">
        <f>IF(Sheet2!O216="","",LEFT(Sheet2!O216, FIND(" ", Sheet2!O216)-1))</f>
        <v/>
      </c>
      <c r="I216" s="15" t="str">
        <f>IF(Sheet2!S216&lt;19,ROUND(Sheet2!I216,2)&amp;"'",IF(Sheet2!S216&lt;25,ROUND(Sheet2!J216,2)&amp;"'",IF(Sheet2!S216&lt;31,ROUND(Sheet2!K216,2)&amp;"'",IF(Sheet2!S216&lt;37,ROUND(Sheet2!L216,2)&amp;"'",""))))</f>
        <v/>
      </c>
      <c r="L216" s="15" t="str">
        <f>IF(Sheet2!D216="","",Sheet2!D216&amp;"''")</f>
        <v/>
      </c>
      <c r="O216" s="16" t="str">
        <f>IF(Sheet2!H216="","",ROUND(Sheet2!H216,2)&amp;"'")</f>
        <v/>
      </c>
      <c r="P216" s="18" t="str">
        <f>IF(Sheet2!E216="","",Sheet2!E216&amp;"''")</f>
        <v/>
      </c>
      <c r="Q216" s="12" t="str" cm="1">
        <f t="array" ref="Q216">IF(P216="","",_xlfn.XLOOKUP(G216,[1]Sheet1!$G:$G,[1]Sheet1!$Q:$S))</f>
        <v/>
      </c>
      <c r="T216" s="15" t="str">
        <f>IF(Sheet2!F216="","",Sheet2!F216&amp;"""")</f>
        <v/>
      </c>
      <c r="U216" s="12" t="str" cm="1">
        <f t="array" ref="U216">IF(T216="","",_xlfn.XLOOKUP(G216,[1]Sheet1!$G:$G,[1]Sheet1!$U:$W))</f>
        <v/>
      </c>
      <c r="X216" s="15" t="str">
        <f>IF(Sheet2!G216="","",Sheet2!G216&amp;"''")</f>
        <v/>
      </c>
    </row>
    <row r="217" spans="7:24" x14ac:dyDescent="0.25">
      <c r="G217" s="15" t="str">
        <f>IF(Sheet2!A217="","",Sheet2!A217)</f>
        <v/>
      </c>
      <c r="H217" s="18" t="str">
        <f>IF(Sheet2!O217="","",LEFT(Sheet2!O217, FIND(" ", Sheet2!O217)-1))</f>
        <v/>
      </c>
      <c r="I217" s="15" t="str">
        <f>IF(Sheet2!S217&lt;19,ROUND(Sheet2!I217,2)&amp;"'",IF(Sheet2!S217&lt;25,ROUND(Sheet2!J217,2)&amp;"'",IF(Sheet2!S217&lt;31,ROUND(Sheet2!K217,2)&amp;"'",IF(Sheet2!S217&lt;37,ROUND(Sheet2!L217,2)&amp;"'",""))))</f>
        <v/>
      </c>
      <c r="L217" s="15" t="str">
        <f>IF(Sheet2!D217="","",Sheet2!D217&amp;"''")</f>
        <v/>
      </c>
      <c r="O217" s="16" t="str">
        <f>IF(Sheet2!H217="","",ROUND(Sheet2!H217,2)&amp;"'")</f>
        <v/>
      </c>
      <c r="P217" s="18" t="str">
        <f>IF(Sheet2!E217="","",Sheet2!E217&amp;"''")</f>
        <v/>
      </c>
      <c r="Q217" s="12" t="str" cm="1">
        <f t="array" ref="Q217">IF(P217="","",_xlfn.XLOOKUP(G217,[1]Sheet1!$G:$G,[1]Sheet1!$Q:$S))</f>
        <v/>
      </c>
      <c r="T217" s="15" t="str">
        <f>IF(Sheet2!F217="","",Sheet2!F217&amp;"""")</f>
        <v/>
      </c>
      <c r="U217" s="12" t="str" cm="1">
        <f t="array" ref="U217">IF(T217="","",_xlfn.XLOOKUP(G217,[1]Sheet1!$G:$G,[1]Sheet1!$U:$W))</f>
        <v/>
      </c>
      <c r="X217" s="15" t="str">
        <f>IF(Sheet2!G217="","",Sheet2!G217&amp;"''")</f>
        <v/>
      </c>
    </row>
    <row r="218" spans="7:24" x14ac:dyDescent="0.25">
      <c r="G218" s="15" t="str">
        <f>IF(Sheet2!A218="","",Sheet2!A218)</f>
        <v/>
      </c>
      <c r="H218" s="18" t="str">
        <f>IF(Sheet2!O218="","",LEFT(Sheet2!O218, FIND(" ", Sheet2!O218)-1))</f>
        <v/>
      </c>
      <c r="I218" s="15" t="str">
        <f>IF(Sheet2!S218&lt;19,ROUND(Sheet2!I218,2)&amp;"'",IF(Sheet2!S218&lt;25,ROUND(Sheet2!J218,2)&amp;"'",IF(Sheet2!S218&lt;31,ROUND(Sheet2!K218,2)&amp;"'",IF(Sheet2!S218&lt;37,ROUND(Sheet2!L218,2)&amp;"'",""))))</f>
        <v/>
      </c>
      <c r="L218" s="15" t="str">
        <f>IF(Sheet2!D218="","",Sheet2!D218&amp;"''")</f>
        <v/>
      </c>
      <c r="O218" s="16" t="str">
        <f>IF(Sheet2!H218="","",ROUND(Sheet2!H218,2)&amp;"'")</f>
        <v/>
      </c>
      <c r="P218" s="18" t="str">
        <f>IF(Sheet2!E218="","",Sheet2!E218&amp;"''")</f>
        <v/>
      </c>
      <c r="Q218" s="12" t="str" cm="1">
        <f t="array" ref="Q218">IF(P218="","",_xlfn.XLOOKUP(G218,[1]Sheet1!$G:$G,[1]Sheet1!$Q:$S))</f>
        <v/>
      </c>
      <c r="T218" s="15" t="str">
        <f>IF(Sheet2!F218="","",Sheet2!F218&amp;"""")</f>
        <v/>
      </c>
      <c r="U218" s="12" t="str" cm="1">
        <f t="array" ref="U218">IF(T218="","",_xlfn.XLOOKUP(G218,[1]Sheet1!$G:$G,[1]Sheet1!$U:$W))</f>
        <v/>
      </c>
      <c r="X218" s="15" t="str">
        <f>IF(Sheet2!G218="","",Sheet2!G218&amp;"''")</f>
        <v/>
      </c>
    </row>
    <row r="219" spans="7:24" x14ac:dyDescent="0.25">
      <c r="G219" s="15" t="str">
        <f>IF(Sheet2!A219="","",Sheet2!A219)</f>
        <v/>
      </c>
      <c r="H219" s="18" t="str">
        <f>IF(Sheet2!O219="","",LEFT(Sheet2!O219, FIND(" ", Sheet2!O219)-1))</f>
        <v/>
      </c>
      <c r="I219" s="15" t="str">
        <f>IF(Sheet2!S219&lt;19,ROUND(Sheet2!I219,2)&amp;"'",IF(Sheet2!S219&lt;25,ROUND(Sheet2!J219,2)&amp;"'",IF(Sheet2!S219&lt;31,ROUND(Sheet2!K219,2)&amp;"'",IF(Sheet2!S219&lt;37,ROUND(Sheet2!L219,2)&amp;"'",""))))</f>
        <v/>
      </c>
      <c r="L219" s="15" t="str">
        <f>IF(Sheet2!D219="","",Sheet2!D219&amp;"''")</f>
        <v/>
      </c>
      <c r="O219" s="16" t="str">
        <f>IF(Sheet2!H219="","",ROUND(Sheet2!H219,2)&amp;"'")</f>
        <v/>
      </c>
      <c r="P219" s="18" t="str">
        <f>IF(Sheet2!E219="","",Sheet2!E219&amp;"''")</f>
        <v/>
      </c>
      <c r="Q219" s="12" t="str" cm="1">
        <f t="array" ref="Q219">IF(P219="","",_xlfn.XLOOKUP(G219,[1]Sheet1!$G:$G,[1]Sheet1!$Q:$S))</f>
        <v/>
      </c>
      <c r="T219" s="15" t="str">
        <f>IF(Sheet2!F219="","",Sheet2!F219&amp;"""")</f>
        <v/>
      </c>
      <c r="U219" s="12" t="str" cm="1">
        <f t="array" ref="U219">IF(T219="","",_xlfn.XLOOKUP(G219,[1]Sheet1!$G:$G,[1]Sheet1!$U:$W))</f>
        <v/>
      </c>
      <c r="X219" s="15" t="str">
        <f>IF(Sheet2!G219="","",Sheet2!G219&amp;"''")</f>
        <v/>
      </c>
    </row>
    <row r="220" spans="7:24" x14ac:dyDescent="0.25">
      <c r="G220" s="15" t="str">
        <f>IF(Sheet2!A220="","",Sheet2!A220)</f>
        <v/>
      </c>
      <c r="H220" s="18" t="str">
        <f>IF(Sheet2!O220="","",LEFT(Sheet2!O220, FIND(" ", Sheet2!O220)-1))</f>
        <v/>
      </c>
      <c r="I220" s="15" t="str">
        <f>IF(Sheet2!S220&lt;19,ROUND(Sheet2!I220,2)&amp;"'",IF(Sheet2!S220&lt;25,ROUND(Sheet2!J220,2)&amp;"'",IF(Sheet2!S220&lt;31,ROUND(Sheet2!K220,2)&amp;"'",IF(Sheet2!S220&lt;37,ROUND(Sheet2!L220,2)&amp;"'",""))))</f>
        <v/>
      </c>
      <c r="L220" s="15" t="str">
        <f>IF(Sheet2!D220="","",Sheet2!D220&amp;"''")</f>
        <v/>
      </c>
      <c r="O220" s="16" t="str">
        <f>IF(Sheet2!H220="","",ROUND(Sheet2!H220,2)&amp;"'")</f>
        <v/>
      </c>
      <c r="P220" s="18" t="str">
        <f>IF(Sheet2!E220="","",Sheet2!E220&amp;"''")</f>
        <v/>
      </c>
      <c r="Q220" s="12" t="str" cm="1">
        <f t="array" ref="Q220">IF(P220="","",_xlfn.XLOOKUP(G220,[1]Sheet1!$G:$G,[1]Sheet1!$Q:$S))</f>
        <v/>
      </c>
      <c r="T220" s="15" t="str">
        <f>IF(Sheet2!F220="","",Sheet2!F220&amp;"""")</f>
        <v/>
      </c>
      <c r="U220" s="12" t="str" cm="1">
        <f t="array" ref="U220">IF(T220="","",_xlfn.XLOOKUP(G220,[1]Sheet1!$G:$G,[1]Sheet1!$U:$W))</f>
        <v/>
      </c>
      <c r="X220" s="15" t="str">
        <f>IF(Sheet2!G220="","",Sheet2!G220&amp;"''")</f>
        <v/>
      </c>
    </row>
    <row r="221" spans="7:24" x14ac:dyDescent="0.25">
      <c r="G221" s="15" t="str">
        <f>IF(Sheet2!A221="","",Sheet2!A221)</f>
        <v/>
      </c>
      <c r="H221" s="18" t="str">
        <f>IF(Sheet2!O221="","",LEFT(Sheet2!O221, FIND(" ", Sheet2!O221)-1))</f>
        <v/>
      </c>
      <c r="I221" s="15" t="str">
        <f>IF(Sheet2!S221&lt;19,ROUND(Sheet2!I221,2)&amp;"'",IF(Sheet2!S221&lt;25,ROUND(Sheet2!J221,2)&amp;"'",IF(Sheet2!S221&lt;31,ROUND(Sheet2!K221,2)&amp;"'",IF(Sheet2!S221&lt;37,ROUND(Sheet2!L221,2)&amp;"'",""))))</f>
        <v/>
      </c>
      <c r="L221" s="15" t="str">
        <f>IF(Sheet2!D221="","",Sheet2!D221&amp;"''")</f>
        <v/>
      </c>
      <c r="O221" s="16" t="str">
        <f>IF(Sheet2!H221="","",ROUND(Sheet2!H221,2)&amp;"'")</f>
        <v/>
      </c>
      <c r="P221" s="18" t="str">
        <f>IF(Sheet2!E221="","",Sheet2!E221&amp;"''")</f>
        <v/>
      </c>
      <c r="Q221" s="12" t="str" cm="1">
        <f t="array" ref="Q221">IF(P221="","",_xlfn.XLOOKUP(G221,[1]Sheet1!$G:$G,[1]Sheet1!$Q:$S))</f>
        <v/>
      </c>
      <c r="T221" s="15" t="str">
        <f>IF(Sheet2!F221="","",Sheet2!F221&amp;"""")</f>
        <v/>
      </c>
      <c r="U221" s="12" t="str" cm="1">
        <f t="array" ref="U221">IF(T221="","",_xlfn.XLOOKUP(G221,[1]Sheet1!$G:$G,[1]Sheet1!$U:$W))</f>
        <v/>
      </c>
      <c r="X221" s="15" t="str">
        <f>IF(Sheet2!G221="","",Sheet2!G221&amp;"''")</f>
        <v/>
      </c>
    </row>
    <row r="222" spans="7:24" x14ac:dyDescent="0.25">
      <c r="G222" s="15" t="str">
        <f>IF(Sheet2!A222="","",Sheet2!A222)</f>
        <v/>
      </c>
      <c r="H222" s="18" t="str">
        <f>IF(Sheet2!O222="","",LEFT(Sheet2!O222, FIND(" ", Sheet2!O222)-1))</f>
        <v/>
      </c>
      <c r="I222" s="15" t="str">
        <f>IF(Sheet2!S222&lt;19,ROUND(Sheet2!I222,2)&amp;"'",IF(Sheet2!S222&lt;25,ROUND(Sheet2!J222,2)&amp;"'",IF(Sheet2!S222&lt;31,ROUND(Sheet2!K222,2)&amp;"'",IF(Sheet2!S222&lt;37,ROUND(Sheet2!L222,2)&amp;"'",""))))</f>
        <v/>
      </c>
      <c r="L222" s="15" t="str">
        <f>IF(Sheet2!D222="","",Sheet2!D222&amp;"''")</f>
        <v/>
      </c>
      <c r="O222" s="16" t="str">
        <f>IF(Sheet2!H222="","",ROUND(Sheet2!H222,2)&amp;"'")</f>
        <v/>
      </c>
      <c r="P222" s="18" t="str">
        <f>IF(Sheet2!E222="","",Sheet2!E222&amp;"''")</f>
        <v/>
      </c>
      <c r="Q222" s="12" t="str" cm="1">
        <f t="array" ref="Q222">IF(P222="","",_xlfn.XLOOKUP(G222,[1]Sheet1!$G:$G,[1]Sheet1!$Q:$S))</f>
        <v/>
      </c>
      <c r="T222" s="15" t="str">
        <f>IF(Sheet2!F222="","",Sheet2!F222&amp;"""")</f>
        <v/>
      </c>
      <c r="U222" s="12" t="str" cm="1">
        <f t="array" ref="U222">IF(T222="","",_xlfn.XLOOKUP(G222,[1]Sheet1!$G:$G,[1]Sheet1!$U:$W))</f>
        <v/>
      </c>
      <c r="X222" s="15" t="str">
        <f>IF(Sheet2!G222="","",Sheet2!G222&amp;"''")</f>
        <v/>
      </c>
    </row>
    <row r="223" spans="7:24" x14ac:dyDescent="0.25">
      <c r="G223" s="15" t="str">
        <f>IF(Sheet2!A223="","",Sheet2!A223)</f>
        <v/>
      </c>
      <c r="H223" s="18" t="str">
        <f>IF(Sheet2!O223="","",LEFT(Sheet2!O223, FIND(" ", Sheet2!O223)-1))</f>
        <v/>
      </c>
      <c r="I223" s="15" t="str">
        <f>IF(Sheet2!S223&lt;19,ROUND(Sheet2!I223,2)&amp;"'",IF(Sheet2!S223&lt;25,ROUND(Sheet2!J223,2)&amp;"'",IF(Sheet2!S223&lt;31,ROUND(Sheet2!K223,2)&amp;"'",IF(Sheet2!S223&lt;37,ROUND(Sheet2!L223,2)&amp;"'",""))))</f>
        <v/>
      </c>
      <c r="L223" s="15" t="str">
        <f>IF(Sheet2!D223="","",Sheet2!D223&amp;"''")</f>
        <v/>
      </c>
      <c r="O223" s="16" t="str">
        <f>IF(Sheet2!H223="","",ROUND(Sheet2!H223,2)&amp;"'")</f>
        <v/>
      </c>
      <c r="P223" s="18" t="str">
        <f>IF(Sheet2!E223="","",Sheet2!E223&amp;"''")</f>
        <v/>
      </c>
      <c r="Q223" s="12" t="str" cm="1">
        <f t="array" ref="Q223">IF(P223="","",_xlfn.XLOOKUP(G223,[1]Sheet1!$G:$G,[1]Sheet1!$Q:$S))</f>
        <v/>
      </c>
      <c r="T223" s="15" t="str">
        <f>IF(Sheet2!F223="","",Sheet2!F223&amp;"""")</f>
        <v/>
      </c>
      <c r="U223" s="12" t="str" cm="1">
        <f t="array" ref="U223">IF(T223="","",_xlfn.XLOOKUP(G223,[1]Sheet1!$G:$G,[1]Sheet1!$U:$W))</f>
        <v/>
      </c>
      <c r="X223" s="15" t="str">
        <f>IF(Sheet2!G223="","",Sheet2!G223&amp;"''")</f>
        <v/>
      </c>
    </row>
    <row r="224" spans="7:24" x14ac:dyDescent="0.25">
      <c r="G224" s="15" t="str">
        <f>IF(Sheet2!A224="","",Sheet2!A224)</f>
        <v/>
      </c>
      <c r="H224" s="18" t="str">
        <f>IF(Sheet2!O224="","",LEFT(Sheet2!O224, FIND(" ", Sheet2!O224)-1))</f>
        <v/>
      </c>
      <c r="I224" s="15" t="str">
        <f>IF(Sheet2!S224&lt;19,ROUND(Sheet2!I224,2)&amp;"'",IF(Sheet2!S224&lt;25,ROUND(Sheet2!J224,2)&amp;"'",IF(Sheet2!S224&lt;31,ROUND(Sheet2!K224,2)&amp;"'",IF(Sheet2!S224&lt;37,ROUND(Sheet2!L224,2)&amp;"'",""))))</f>
        <v/>
      </c>
      <c r="L224" s="15" t="str">
        <f>IF(Sheet2!D224="","",Sheet2!D224&amp;"''")</f>
        <v/>
      </c>
      <c r="O224" s="16" t="str">
        <f>IF(Sheet2!H224="","",ROUND(Sheet2!H224,2)&amp;"'")</f>
        <v/>
      </c>
      <c r="P224" s="18" t="str">
        <f>IF(Sheet2!E224="","",Sheet2!E224&amp;"''")</f>
        <v/>
      </c>
      <c r="Q224" s="12" t="str" cm="1">
        <f t="array" ref="Q224">IF(P224="","",_xlfn.XLOOKUP(G224,[1]Sheet1!$G:$G,[1]Sheet1!$Q:$S))</f>
        <v/>
      </c>
      <c r="T224" s="15" t="str">
        <f>IF(Sheet2!F224="","",Sheet2!F224&amp;"""")</f>
        <v/>
      </c>
      <c r="U224" s="12" t="str" cm="1">
        <f t="array" ref="U224">IF(T224="","",_xlfn.XLOOKUP(G224,[1]Sheet1!$G:$G,[1]Sheet1!$U:$W))</f>
        <v/>
      </c>
      <c r="X224" s="15" t="str">
        <f>IF(Sheet2!G224="","",Sheet2!G224&amp;"''")</f>
        <v/>
      </c>
    </row>
    <row r="225" spans="7:24" x14ac:dyDescent="0.25">
      <c r="G225" s="15" t="str">
        <f>IF(Sheet2!A225="","",Sheet2!A225)</f>
        <v/>
      </c>
      <c r="H225" s="18" t="str">
        <f>IF(Sheet2!O225="","",LEFT(Sheet2!O225, FIND(" ", Sheet2!O225)-1))</f>
        <v/>
      </c>
      <c r="I225" s="15" t="str">
        <f>IF(Sheet2!S225&lt;19,ROUND(Sheet2!I225,2)&amp;"'",IF(Sheet2!S225&lt;25,ROUND(Sheet2!J225,2)&amp;"'",IF(Sheet2!S225&lt;31,ROUND(Sheet2!K225,2)&amp;"'",IF(Sheet2!S225&lt;37,ROUND(Sheet2!L225,2)&amp;"'",""))))</f>
        <v/>
      </c>
      <c r="L225" s="15" t="str">
        <f>IF(Sheet2!D225="","",Sheet2!D225&amp;"''")</f>
        <v/>
      </c>
      <c r="O225" s="16" t="str">
        <f>IF(Sheet2!H225="","",ROUND(Sheet2!H225,2)&amp;"'")</f>
        <v/>
      </c>
      <c r="P225" s="18" t="str">
        <f>IF(Sheet2!E225="","",Sheet2!E225&amp;"''")</f>
        <v/>
      </c>
      <c r="Q225" s="12" t="str" cm="1">
        <f t="array" ref="Q225">IF(P225="","",_xlfn.XLOOKUP(G225,[1]Sheet1!$G:$G,[1]Sheet1!$Q:$S))</f>
        <v/>
      </c>
      <c r="T225" s="15" t="str">
        <f>IF(Sheet2!F225="","",Sheet2!F225&amp;"""")</f>
        <v/>
      </c>
      <c r="U225" s="12" t="str" cm="1">
        <f t="array" ref="U225">IF(T225="","",_xlfn.XLOOKUP(G225,[1]Sheet1!$G:$G,[1]Sheet1!$U:$W))</f>
        <v/>
      </c>
      <c r="X225" s="15" t="str">
        <f>IF(Sheet2!G225="","",Sheet2!G225&amp;"''")</f>
        <v/>
      </c>
    </row>
    <row r="226" spans="7:24" x14ac:dyDescent="0.25">
      <c r="G226" s="15" t="str">
        <f>IF(Sheet2!A226="","",Sheet2!A226)</f>
        <v/>
      </c>
      <c r="H226" s="18" t="str">
        <f>IF(Sheet2!O226="","",LEFT(Sheet2!O226, FIND(" ", Sheet2!O226)-1))</f>
        <v/>
      </c>
      <c r="I226" s="15" t="str">
        <f>IF(Sheet2!S226&lt;19,ROUND(Sheet2!I226,2)&amp;"'",IF(Sheet2!S226&lt;25,ROUND(Sheet2!J226,2)&amp;"'",IF(Sheet2!S226&lt;31,ROUND(Sheet2!K226,2)&amp;"'",IF(Sheet2!S226&lt;37,ROUND(Sheet2!L226,2)&amp;"'",""))))</f>
        <v/>
      </c>
      <c r="L226" s="15" t="str">
        <f>IF(Sheet2!D226="","",Sheet2!D226&amp;"''")</f>
        <v/>
      </c>
      <c r="O226" s="16" t="str">
        <f>IF(Sheet2!H226="","",ROUND(Sheet2!H226,2)&amp;"'")</f>
        <v/>
      </c>
      <c r="P226" s="18" t="str">
        <f>IF(Sheet2!E226="","",Sheet2!E226&amp;"''")</f>
        <v/>
      </c>
      <c r="Q226" s="12" t="str" cm="1">
        <f t="array" ref="Q226">IF(P226="","",_xlfn.XLOOKUP(G226,[1]Sheet1!$G:$G,[1]Sheet1!$Q:$S))</f>
        <v/>
      </c>
      <c r="T226" s="15" t="str">
        <f>IF(Sheet2!F226="","",Sheet2!F226&amp;"""")</f>
        <v/>
      </c>
      <c r="U226" s="12" t="str" cm="1">
        <f t="array" ref="U226">IF(T226="","",_xlfn.XLOOKUP(G226,[1]Sheet1!$G:$G,[1]Sheet1!$U:$W))</f>
        <v/>
      </c>
      <c r="X226" s="15" t="str">
        <f>IF(Sheet2!G226="","",Sheet2!G226&amp;"''")</f>
        <v/>
      </c>
    </row>
    <row r="227" spans="7:24" x14ac:dyDescent="0.25">
      <c r="G227" s="15" t="str">
        <f>IF(Sheet2!A227="","",Sheet2!A227)</f>
        <v/>
      </c>
      <c r="H227" s="18" t="str">
        <f>IF(Sheet2!O227="","",LEFT(Sheet2!O227, FIND(" ", Sheet2!O227)-1))</f>
        <v/>
      </c>
      <c r="I227" s="15" t="str">
        <f>IF(Sheet2!S227&lt;19,ROUND(Sheet2!I227,2)&amp;"'",IF(Sheet2!S227&lt;25,ROUND(Sheet2!J227,2)&amp;"'",IF(Sheet2!S227&lt;31,ROUND(Sheet2!K227,2)&amp;"'",IF(Sheet2!S227&lt;37,ROUND(Sheet2!L227,2)&amp;"'",""))))</f>
        <v/>
      </c>
      <c r="L227" s="15" t="str">
        <f>IF(Sheet2!D227="","",Sheet2!D227&amp;"''")</f>
        <v/>
      </c>
      <c r="O227" s="16" t="str">
        <f>IF(Sheet2!H227="","",ROUND(Sheet2!H227,2)&amp;"'")</f>
        <v/>
      </c>
      <c r="P227" s="18" t="str">
        <f>IF(Sheet2!E227="","",Sheet2!E227&amp;"''")</f>
        <v/>
      </c>
      <c r="Q227" s="12" t="str" cm="1">
        <f t="array" ref="Q227">IF(P227="","",_xlfn.XLOOKUP(G227,[1]Sheet1!$G:$G,[1]Sheet1!$Q:$S))</f>
        <v/>
      </c>
      <c r="T227" s="15" t="str">
        <f>IF(Sheet2!F227="","",Sheet2!F227&amp;"""")</f>
        <v/>
      </c>
      <c r="U227" s="12" t="str" cm="1">
        <f t="array" ref="U227">IF(T227="","",_xlfn.XLOOKUP(G227,[1]Sheet1!$G:$G,[1]Sheet1!$U:$W))</f>
        <v/>
      </c>
      <c r="X227" s="15" t="str">
        <f>IF(Sheet2!G227="","",Sheet2!G227&amp;"''")</f>
        <v/>
      </c>
    </row>
    <row r="228" spans="7:24" x14ac:dyDescent="0.25">
      <c r="G228" s="15" t="str">
        <f>IF(Sheet2!A228="","",Sheet2!A228)</f>
        <v/>
      </c>
      <c r="H228" s="18" t="str">
        <f>IF(Sheet2!O228="","",LEFT(Sheet2!O228, FIND(" ", Sheet2!O228)-1))</f>
        <v/>
      </c>
      <c r="I228" s="15" t="str">
        <f>IF(Sheet2!S228&lt;19,ROUND(Sheet2!I228,2)&amp;"'",IF(Sheet2!S228&lt;25,ROUND(Sheet2!J228,2)&amp;"'",IF(Sheet2!S228&lt;31,ROUND(Sheet2!K228,2)&amp;"'",IF(Sheet2!S228&lt;37,ROUND(Sheet2!L228,2)&amp;"'",""))))</f>
        <v/>
      </c>
      <c r="L228" s="15" t="str">
        <f>IF(Sheet2!D228="","",Sheet2!D228&amp;"''")</f>
        <v/>
      </c>
      <c r="O228" s="16" t="str">
        <f>IF(Sheet2!H228="","",ROUND(Sheet2!H228,2)&amp;"'")</f>
        <v/>
      </c>
      <c r="P228" s="18" t="str">
        <f>IF(Sheet2!E228="","",Sheet2!E228&amp;"''")</f>
        <v/>
      </c>
      <c r="Q228" s="12" t="str" cm="1">
        <f t="array" ref="Q228">IF(P228="","",_xlfn.XLOOKUP(G228,[1]Sheet1!$G:$G,[1]Sheet1!$Q:$S))</f>
        <v/>
      </c>
      <c r="T228" s="15" t="str">
        <f>IF(Sheet2!F228="","",Sheet2!F228&amp;"""")</f>
        <v/>
      </c>
      <c r="U228" s="12" t="str" cm="1">
        <f t="array" ref="U228">IF(T228="","",_xlfn.XLOOKUP(G228,[1]Sheet1!$G:$G,[1]Sheet1!$U:$W))</f>
        <v/>
      </c>
      <c r="X228" s="15" t="str">
        <f>IF(Sheet2!G228="","",Sheet2!G228&amp;"''")</f>
        <v/>
      </c>
    </row>
    <row r="229" spans="7:24" x14ac:dyDescent="0.25">
      <c r="G229" s="15" t="str">
        <f>IF(Sheet2!A229="","",Sheet2!A229)</f>
        <v/>
      </c>
      <c r="H229" s="18" t="str">
        <f>IF(Sheet2!O229="","",LEFT(Sheet2!O229, FIND(" ", Sheet2!O229)-1))</f>
        <v/>
      </c>
      <c r="I229" s="15" t="str">
        <f>IF(Sheet2!S229&lt;19,ROUND(Sheet2!I229,2)&amp;"'",IF(Sheet2!S229&lt;25,ROUND(Sheet2!J229,2)&amp;"'",IF(Sheet2!S229&lt;31,ROUND(Sheet2!K229,2)&amp;"'",IF(Sheet2!S229&lt;37,ROUND(Sheet2!L229,2)&amp;"'",""))))</f>
        <v/>
      </c>
      <c r="L229" s="15" t="str">
        <f>IF(Sheet2!D229="","",Sheet2!D229&amp;"''")</f>
        <v/>
      </c>
      <c r="O229" s="16" t="str">
        <f>IF(Sheet2!H229="","",ROUND(Sheet2!H229,2)&amp;"'")</f>
        <v/>
      </c>
      <c r="P229" s="18" t="str">
        <f>IF(Sheet2!E229="","",Sheet2!E229&amp;"''")</f>
        <v/>
      </c>
      <c r="Q229" s="12" t="str" cm="1">
        <f t="array" ref="Q229">IF(P229="","",_xlfn.XLOOKUP(G229,[1]Sheet1!$G:$G,[1]Sheet1!$Q:$S))</f>
        <v/>
      </c>
      <c r="T229" s="15" t="str">
        <f>IF(Sheet2!F229="","",Sheet2!F229&amp;"""")</f>
        <v/>
      </c>
      <c r="U229" s="12" t="str" cm="1">
        <f t="array" ref="U229">IF(T229="","",_xlfn.XLOOKUP(G229,[1]Sheet1!$G:$G,[1]Sheet1!$U:$W))</f>
        <v/>
      </c>
      <c r="X229" s="15" t="str">
        <f>IF(Sheet2!G229="","",Sheet2!G229&amp;"''")</f>
        <v/>
      </c>
    </row>
    <row r="230" spans="7:24" x14ac:dyDescent="0.25">
      <c r="G230" s="15" t="str">
        <f>IF(Sheet2!A230="","",Sheet2!A230)</f>
        <v/>
      </c>
      <c r="H230" s="18" t="str">
        <f>IF(Sheet2!O230="","",LEFT(Sheet2!O230, FIND(" ", Sheet2!O230)-1))</f>
        <v/>
      </c>
      <c r="I230" s="15" t="str">
        <f>IF(Sheet2!S230&lt;19,ROUND(Sheet2!I230,2)&amp;"'",IF(Sheet2!S230&lt;25,ROUND(Sheet2!J230,2)&amp;"'",IF(Sheet2!S230&lt;31,ROUND(Sheet2!K230,2)&amp;"'",IF(Sheet2!S230&lt;37,ROUND(Sheet2!L230,2)&amp;"'",""))))</f>
        <v/>
      </c>
      <c r="L230" s="15" t="str">
        <f>IF(Sheet2!D230="","",Sheet2!D230&amp;"''")</f>
        <v/>
      </c>
      <c r="O230" s="16" t="str">
        <f>IF(Sheet2!H230="","",ROUND(Sheet2!H230,2)&amp;"'")</f>
        <v/>
      </c>
      <c r="P230" s="18" t="str">
        <f>IF(Sheet2!E230="","",Sheet2!E230&amp;"''")</f>
        <v/>
      </c>
      <c r="Q230" s="12" t="str" cm="1">
        <f t="array" ref="Q230">IF(P230="","",_xlfn.XLOOKUP(G230,[1]Sheet1!$G:$G,[1]Sheet1!$Q:$S))</f>
        <v/>
      </c>
      <c r="T230" s="15" t="str">
        <f>IF(Sheet2!F230="","",Sheet2!F230&amp;"""")</f>
        <v/>
      </c>
      <c r="U230" s="12" t="str" cm="1">
        <f t="array" ref="U230">IF(T230="","",_xlfn.XLOOKUP(G230,[1]Sheet1!$G:$G,[1]Sheet1!$U:$W))</f>
        <v/>
      </c>
      <c r="X230" s="15" t="str">
        <f>IF(Sheet2!G230="","",Sheet2!G230&amp;"''")</f>
        <v/>
      </c>
    </row>
    <row r="231" spans="7:24" x14ac:dyDescent="0.25">
      <c r="G231" s="15" t="str">
        <f>IF(Sheet2!A231="","",Sheet2!A231)</f>
        <v/>
      </c>
      <c r="H231" s="18" t="str">
        <f>IF(Sheet2!O231="","",LEFT(Sheet2!O231, FIND(" ", Sheet2!O231)-1))</f>
        <v/>
      </c>
      <c r="I231" s="15" t="str">
        <f>IF(Sheet2!S231&lt;19,ROUND(Sheet2!I231,2)&amp;"'",IF(Sheet2!S231&lt;25,ROUND(Sheet2!J231,2)&amp;"'",IF(Sheet2!S231&lt;31,ROUND(Sheet2!K231,2)&amp;"'",IF(Sheet2!S231&lt;37,ROUND(Sheet2!L231,2)&amp;"'",""))))</f>
        <v/>
      </c>
      <c r="L231" s="15" t="str">
        <f>IF(Sheet2!D231="","",Sheet2!D231&amp;"''")</f>
        <v/>
      </c>
      <c r="O231" s="16" t="str">
        <f>IF(Sheet2!H231="","",ROUND(Sheet2!H231,2)&amp;"'")</f>
        <v/>
      </c>
      <c r="P231" s="18" t="str">
        <f>IF(Sheet2!E231="","",Sheet2!E231&amp;"''")</f>
        <v/>
      </c>
      <c r="Q231" s="12" t="str" cm="1">
        <f t="array" ref="Q231">IF(P231="","",_xlfn.XLOOKUP(G231,[1]Sheet1!$G:$G,[1]Sheet1!$Q:$S))</f>
        <v/>
      </c>
      <c r="T231" s="15" t="str">
        <f>IF(Sheet2!F231="","",Sheet2!F231&amp;"""")</f>
        <v/>
      </c>
      <c r="U231" s="12" t="str" cm="1">
        <f t="array" ref="U231">IF(T231="","",_xlfn.XLOOKUP(G231,[1]Sheet1!$G:$G,[1]Sheet1!$U:$W))</f>
        <v/>
      </c>
      <c r="X231" s="15" t="str">
        <f>IF(Sheet2!G231="","",Sheet2!G231&amp;"''")</f>
        <v/>
      </c>
    </row>
    <row r="232" spans="7:24" x14ac:dyDescent="0.25">
      <c r="G232" s="15" t="str">
        <f>IF(Sheet2!A232="","",Sheet2!A232)</f>
        <v/>
      </c>
      <c r="H232" s="18" t="str">
        <f>IF(Sheet2!O232="","",LEFT(Sheet2!O232, FIND(" ", Sheet2!O232)-1))</f>
        <v/>
      </c>
      <c r="I232" s="15" t="str">
        <f>IF(Sheet2!S232&lt;19,ROUND(Sheet2!I232,2)&amp;"'",IF(Sheet2!S232&lt;25,ROUND(Sheet2!J232,2)&amp;"'",IF(Sheet2!S232&lt;31,ROUND(Sheet2!K232,2)&amp;"'",IF(Sheet2!S232&lt;37,ROUND(Sheet2!L232,2)&amp;"'",""))))</f>
        <v/>
      </c>
      <c r="L232" s="15" t="str">
        <f>IF(Sheet2!D232="","",Sheet2!D232&amp;"''")</f>
        <v/>
      </c>
      <c r="O232" s="16" t="str">
        <f>IF(Sheet2!H232="","",ROUND(Sheet2!H232,2)&amp;"'")</f>
        <v/>
      </c>
      <c r="P232" s="18" t="str">
        <f>IF(Sheet2!E232="","",Sheet2!E232&amp;"''")</f>
        <v/>
      </c>
      <c r="Q232" s="12" t="str" cm="1">
        <f t="array" ref="Q232">IF(P232="","",_xlfn.XLOOKUP(G232,[1]Sheet1!$G:$G,[1]Sheet1!$Q:$S))</f>
        <v/>
      </c>
      <c r="T232" s="15" t="str">
        <f>IF(Sheet2!F232="","",Sheet2!F232&amp;"""")</f>
        <v/>
      </c>
      <c r="U232" s="12" t="str" cm="1">
        <f t="array" ref="U232">IF(T232="","",_xlfn.XLOOKUP(G232,[1]Sheet1!$G:$G,[1]Sheet1!$U:$W))</f>
        <v/>
      </c>
      <c r="X232" s="15" t="str">
        <f>IF(Sheet2!G232="","",Sheet2!G232&amp;"''")</f>
        <v/>
      </c>
    </row>
    <row r="233" spans="7:24" x14ac:dyDescent="0.25">
      <c r="G233" s="15" t="str">
        <f>IF(Sheet2!A233="","",Sheet2!A233)</f>
        <v/>
      </c>
      <c r="H233" s="18" t="str">
        <f>IF(Sheet2!O233="","",LEFT(Sheet2!O233, FIND(" ", Sheet2!O233)-1))</f>
        <v/>
      </c>
      <c r="I233" s="15" t="str">
        <f>IF(Sheet2!S233&lt;19,ROUND(Sheet2!I233,2)&amp;"'",IF(Sheet2!S233&lt;25,ROUND(Sheet2!J233,2)&amp;"'",IF(Sheet2!S233&lt;31,ROUND(Sheet2!K233,2)&amp;"'",IF(Sheet2!S233&lt;37,ROUND(Sheet2!L233,2)&amp;"'",""))))</f>
        <v/>
      </c>
      <c r="L233" s="15" t="str">
        <f>IF(Sheet2!D233="","",Sheet2!D233&amp;"''")</f>
        <v/>
      </c>
      <c r="O233" s="16" t="str">
        <f>IF(Sheet2!H233="","",ROUND(Sheet2!H233,2)&amp;"'")</f>
        <v/>
      </c>
      <c r="P233" s="18" t="str">
        <f>IF(Sheet2!E233="","",Sheet2!E233&amp;"''")</f>
        <v/>
      </c>
      <c r="Q233" s="12" t="str" cm="1">
        <f t="array" ref="Q233">IF(P233="","",_xlfn.XLOOKUP(G233,[1]Sheet1!$G:$G,[1]Sheet1!$Q:$S))</f>
        <v/>
      </c>
      <c r="T233" s="15" t="str">
        <f>IF(Sheet2!F233="","",Sheet2!F233&amp;"""")</f>
        <v/>
      </c>
      <c r="U233" s="12" t="str" cm="1">
        <f t="array" ref="U233">IF(T233="","",_xlfn.XLOOKUP(G233,[1]Sheet1!$G:$G,[1]Sheet1!$U:$W))</f>
        <v/>
      </c>
      <c r="X233" s="15" t="str">
        <f>IF(Sheet2!G233="","",Sheet2!G233&amp;"''")</f>
        <v/>
      </c>
    </row>
    <row r="234" spans="7:24" x14ac:dyDescent="0.25">
      <c r="G234" s="15" t="str">
        <f>IF(Sheet2!A234="","",Sheet2!A234)</f>
        <v/>
      </c>
      <c r="H234" s="18" t="str">
        <f>IF(Sheet2!O234="","",LEFT(Sheet2!O234, FIND(" ", Sheet2!O234)-1))</f>
        <v/>
      </c>
      <c r="I234" s="15" t="str">
        <f>IF(Sheet2!S234&lt;19,ROUND(Sheet2!I234,2)&amp;"'",IF(Sheet2!S234&lt;25,ROUND(Sheet2!J234,2)&amp;"'",IF(Sheet2!S234&lt;31,ROUND(Sheet2!K234,2)&amp;"'",IF(Sheet2!S234&lt;37,ROUND(Sheet2!L234,2)&amp;"'",""))))</f>
        <v/>
      </c>
      <c r="L234" s="15" t="str">
        <f>IF(Sheet2!D234="","",Sheet2!D234&amp;"''")</f>
        <v/>
      </c>
      <c r="O234" s="16" t="str">
        <f>IF(Sheet2!H234="","",ROUND(Sheet2!H234,2)&amp;"'")</f>
        <v/>
      </c>
      <c r="P234" s="18" t="str">
        <f>IF(Sheet2!E234="","",Sheet2!E234&amp;"''")</f>
        <v/>
      </c>
      <c r="Q234" s="12" t="str" cm="1">
        <f t="array" ref="Q234">IF(P234="","",_xlfn.XLOOKUP(G234,[1]Sheet1!$G:$G,[1]Sheet1!$Q:$S))</f>
        <v/>
      </c>
      <c r="T234" s="15" t="str">
        <f>IF(Sheet2!F234="","",Sheet2!F234&amp;"""")</f>
        <v/>
      </c>
      <c r="U234" s="12" t="str" cm="1">
        <f t="array" ref="U234">IF(T234="","",_xlfn.XLOOKUP(G234,[1]Sheet1!$G:$G,[1]Sheet1!$U:$W))</f>
        <v/>
      </c>
      <c r="X234" s="15" t="str">
        <f>IF(Sheet2!G234="","",Sheet2!G234&amp;"''")</f>
        <v/>
      </c>
    </row>
    <row r="235" spans="7:24" x14ac:dyDescent="0.25">
      <c r="G235" s="15" t="str">
        <f>IF(Sheet2!A235="","",Sheet2!A235)</f>
        <v/>
      </c>
      <c r="H235" s="18" t="str">
        <f>IF(Sheet2!O235="","",LEFT(Sheet2!O235, FIND(" ", Sheet2!O235)-1))</f>
        <v/>
      </c>
      <c r="I235" s="15" t="str">
        <f>IF(Sheet2!S235&lt;19,ROUND(Sheet2!I235,2)&amp;"'",IF(Sheet2!S235&lt;25,ROUND(Sheet2!J235,2)&amp;"'",IF(Sheet2!S235&lt;31,ROUND(Sheet2!K235,2)&amp;"'",IF(Sheet2!S235&lt;37,ROUND(Sheet2!L235,2)&amp;"'",""))))</f>
        <v/>
      </c>
      <c r="L235" s="15" t="str">
        <f>IF(Sheet2!D235="","",Sheet2!D235&amp;"''")</f>
        <v/>
      </c>
      <c r="O235" s="16" t="str">
        <f>IF(Sheet2!H235="","",ROUND(Sheet2!H235,2)&amp;"'")</f>
        <v/>
      </c>
      <c r="P235" s="18" t="str">
        <f>IF(Sheet2!E235="","",Sheet2!E235&amp;"''")</f>
        <v/>
      </c>
      <c r="Q235" s="12" t="str" cm="1">
        <f t="array" ref="Q235">IF(P235="","",_xlfn.XLOOKUP(G235,[1]Sheet1!$G:$G,[1]Sheet1!$Q:$S))</f>
        <v/>
      </c>
      <c r="T235" s="15" t="str">
        <f>IF(Sheet2!F235="","",Sheet2!F235&amp;"""")</f>
        <v/>
      </c>
      <c r="U235" s="12" t="str" cm="1">
        <f t="array" ref="U235">IF(T235="","",_xlfn.XLOOKUP(G235,[1]Sheet1!$G:$G,[1]Sheet1!$U:$W))</f>
        <v/>
      </c>
      <c r="X235" s="15" t="str">
        <f>IF(Sheet2!G235="","",Sheet2!G235&amp;"''")</f>
        <v/>
      </c>
    </row>
    <row r="236" spans="7:24" x14ac:dyDescent="0.25">
      <c r="G236" s="15" t="str">
        <f>IF(Sheet2!A236="","",Sheet2!A236)</f>
        <v/>
      </c>
      <c r="H236" s="18" t="str">
        <f>IF(Sheet2!O236="","",LEFT(Sheet2!O236, FIND(" ", Sheet2!O236)-1))</f>
        <v/>
      </c>
      <c r="I236" s="15" t="str">
        <f>IF(Sheet2!S236&lt;19,ROUND(Sheet2!I236,2)&amp;"'",IF(Sheet2!S236&lt;25,ROUND(Sheet2!J236,2)&amp;"'",IF(Sheet2!S236&lt;31,ROUND(Sheet2!K236,2)&amp;"'",IF(Sheet2!S236&lt;37,ROUND(Sheet2!L236,2)&amp;"'",""))))</f>
        <v/>
      </c>
      <c r="L236" s="15" t="str">
        <f>IF(Sheet2!D236="","",Sheet2!D236&amp;"''")</f>
        <v/>
      </c>
      <c r="O236" s="16" t="str">
        <f>IF(Sheet2!H236="","",ROUND(Sheet2!H236,2)&amp;"'")</f>
        <v/>
      </c>
      <c r="P236" s="18" t="str">
        <f>IF(Sheet2!E236="","",Sheet2!E236&amp;"''")</f>
        <v/>
      </c>
      <c r="Q236" s="12" t="str" cm="1">
        <f t="array" ref="Q236">IF(P236="","",_xlfn.XLOOKUP(G236,[1]Sheet1!$G:$G,[1]Sheet1!$Q:$S))</f>
        <v/>
      </c>
      <c r="T236" s="15" t="str">
        <f>IF(Sheet2!F236="","",Sheet2!F236&amp;"""")</f>
        <v/>
      </c>
      <c r="U236" s="12" t="str" cm="1">
        <f t="array" ref="U236">IF(T236="","",_xlfn.XLOOKUP(G236,[1]Sheet1!$G:$G,[1]Sheet1!$U:$W))</f>
        <v/>
      </c>
      <c r="X236" s="15" t="str">
        <f>IF(Sheet2!G236="","",Sheet2!G236&amp;"''")</f>
        <v/>
      </c>
    </row>
    <row r="237" spans="7:24" x14ac:dyDescent="0.25">
      <c r="G237" s="15" t="str">
        <f>IF(Sheet2!A237="","",Sheet2!A237)</f>
        <v/>
      </c>
      <c r="H237" s="18" t="str">
        <f>IF(Sheet2!O237="","",LEFT(Sheet2!O237, FIND(" ", Sheet2!O237)-1))</f>
        <v/>
      </c>
      <c r="I237" s="15" t="str">
        <f>IF(Sheet2!S237&lt;19,ROUND(Sheet2!I237,2)&amp;"'",IF(Sheet2!S237&lt;25,ROUND(Sheet2!J237,2)&amp;"'",IF(Sheet2!S237&lt;31,ROUND(Sheet2!K237,2)&amp;"'",IF(Sheet2!S237&lt;37,ROUND(Sheet2!L237,2)&amp;"'",""))))</f>
        <v/>
      </c>
      <c r="L237" s="15" t="str">
        <f>IF(Sheet2!D237="","",Sheet2!D237&amp;"''")</f>
        <v/>
      </c>
      <c r="O237" s="16" t="str">
        <f>IF(Sheet2!H237="","",ROUND(Sheet2!H237,2)&amp;"'")</f>
        <v/>
      </c>
      <c r="P237" s="18" t="str">
        <f>IF(Sheet2!E237="","",Sheet2!E237&amp;"''")</f>
        <v/>
      </c>
      <c r="Q237" s="12" t="str" cm="1">
        <f t="array" ref="Q237">IF(P237="","",_xlfn.XLOOKUP(G237,[1]Sheet1!$G:$G,[1]Sheet1!$Q:$S))</f>
        <v/>
      </c>
      <c r="T237" s="15" t="str">
        <f>IF(Sheet2!F237="","",Sheet2!F237&amp;"""")</f>
        <v/>
      </c>
      <c r="U237" s="12" t="str" cm="1">
        <f t="array" ref="U237">IF(T237="","",_xlfn.XLOOKUP(G237,[1]Sheet1!$G:$G,[1]Sheet1!$U:$W))</f>
        <v/>
      </c>
      <c r="X237" s="15" t="str">
        <f>IF(Sheet2!G237="","",Sheet2!G237&amp;"''")</f>
        <v/>
      </c>
    </row>
    <row r="238" spans="7:24" x14ac:dyDescent="0.25">
      <c r="G238" s="15" t="str">
        <f>IF(Sheet2!A238="","",Sheet2!A238)</f>
        <v/>
      </c>
      <c r="H238" s="18" t="str">
        <f>IF(Sheet2!O238="","",LEFT(Sheet2!O238, FIND(" ", Sheet2!O238)-1))</f>
        <v/>
      </c>
      <c r="I238" s="15" t="str">
        <f>IF(Sheet2!S238&lt;19,ROUND(Sheet2!I238,2)&amp;"'",IF(Sheet2!S238&lt;25,ROUND(Sheet2!J238,2)&amp;"'",IF(Sheet2!S238&lt;31,ROUND(Sheet2!K238,2)&amp;"'",IF(Sheet2!S238&lt;37,ROUND(Sheet2!L238,2)&amp;"'",""))))</f>
        <v/>
      </c>
      <c r="L238" s="15" t="str">
        <f>IF(Sheet2!D238="","",Sheet2!D238&amp;"''")</f>
        <v/>
      </c>
      <c r="O238" s="16" t="str">
        <f>IF(Sheet2!H238="","",ROUND(Sheet2!H238,2)&amp;"'")</f>
        <v/>
      </c>
      <c r="P238" s="18" t="str">
        <f>IF(Sheet2!E238="","",Sheet2!E238&amp;"''")</f>
        <v/>
      </c>
      <c r="Q238" s="12" t="str" cm="1">
        <f t="array" ref="Q238">IF(P238="","",_xlfn.XLOOKUP(G238,[1]Sheet1!$G:$G,[1]Sheet1!$Q:$S))</f>
        <v/>
      </c>
      <c r="T238" s="15" t="str">
        <f>IF(Sheet2!F238="","",Sheet2!F238&amp;"""")</f>
        <v/>
      </c>
      <c r="U238" s="12" t="str" cm="1">
        <f t="array" ref="U238">IF(T238="","",_xlfn.XLOOKUP(G238,[1]Sheet1!$G:$G,[1]Sheet1!$U:$W))</f>
        <v/>
      </c>
      <c r="X238" s="15" t="str">
        <f>IF(Sheet2!G238="","",Sheet2!G238&amp;"''")</f>
        <v/>
      </c>
    </row>
    <row r="239" spans="7:24" x14ac:dyDescent="0.25">
      <c r="G239" s="15" t="str">
        <f>IF(Sheet2!A239="","",Sheet2!A239)</f>
        <v/>
      </c>
      <c r="H239" s="18" t="str">
        <f>IF(Sheet2!O239="","",LEFT(Sheet2!O239, FIND(" ", Sheet2!O239)-1))</f>
        <v/>
      </c>
      <c r="I239" s="15" t="str">
        <f>IF(Sheet2!S239&lt;19,ROUND(Sheet2!I239,2)&amp;"'",IF(Sheet2!S239&lt;25,ROUND(Sheet2!J239,2)&amp;"'",IF(Sheet2!S239&lt;31,ROUND(Sheet2!K239,2)&amp;"'",IF(Sheet2!S239&lt;37,ROUND(Sheet2!L239,2)&amp;"'",""))))</f>
        <v/>
      </c>
      <c r="L239" s="15" t="str">
        <f>IF(Sheet2!D239="","",Sheet2!D239&amp;"''")</f>
        <v/>
      </c>
      <c r="O239" s="16" t="str">
        <f>IF(Sheet2!H239="","",ROUND(Sheet2!H239,2)&amp;"'")</f>
        <v/>
      </c>
      <c r="P239" s="18" t="str">
        <f>IF(Sheet2!E239="","",Sheet2!E239&amp;"''")</f>
        <v/>
      </c>
      <c r="Q239" s="12" t="str" cm="1">
        <f t="array" ref="Q239">IF(P239="","",_xlfn.XLOOKUP(G239,[1]Sheet1!$G:$G,[1]Sheet1!$Q:$S))</f>
        <v/>
      </c>
      <c r="T239" s="15" t="str">
        <f>IF(Sheet2!F239="","",Sheet2!F239&amp;"""")</f>
        <v/>
      </c>
      <c r="U239" s="12" t="str" cm="1">
        <f t="array" ref="U239">IF(T239="","",_xlfn.XLOOKUP(G239,[1]Sheet1!$G:$G,[1]Sheet1!$U:$W))</f>
        <v/>
      </c>
      <c r="X239" s="15" t="str">
        <f>IF(Sheet2!G239="","",Sheet2!G239&amp;"''")</f>
        <v/>
      </c>
    </row>
    <row r="240" spans="7:24" x14ac:dyDescent="0.25">
      <c r="G240" s="15" t="str">
        <f>IF(Sheet2!A240="","",Sheet2!A240)</f>
        <v/>
      </c>
      <c r="H240" s="18" t="str">
        <f>IF(Sheet2!O240="","",LEFT(Sheet2!O240, FIND(" ", Sheet2!O240)-1))</f>
        <v/>
      </c>
      <c r="I240" s="15" t="str">
        <f>IF(Sheet2!S240&lt;19,ROUND(Sheet2!I240,2)&amp;"'",IF(Sheet2!S240&lt;25,ROUND(Sheet2!J240,2)&amp;"'",IF(Sheet2!S240&lt;31,ROUND(Sheet2!K240,2)&amp;"'",IF(Sheet2!S240&lt;37,ROUND(Sheet2!L240,2)&amp;"'",""))))</f>
        <v/>
      </c>
      <c r="L240" s="15" t="str">
        <f>IF(Sheet2!D240="","",Sheet2!D240&amp;"''")</f>
        <v/>
      </c>
      <c r="O240" s="16" t="str">
        <f>IF(Sheet2!H240="","",ROUND(Sheet2!H240,2)&amp;"'")</f>
        <v/>
      </c>
      <c r="P240" s="18" t="str">
        <f>IF(Sheet2!E240="","",Sheet2!E240&amp;"''")</f>
        <v/>
      </c>
      <c r="Q240" s="12" t="str" cm="1">
        <f t="array" ref="Q240">IF(P240="","",_xlfn.XLOOKUP(G240,[1]Sheet1!$G:$G,[1]Sheet1!$Q:$S))</f>
        <v/>
      </c>
      <c r="T240" s="15" t="str">
        <f>IF(Sheet2!F240="","",Sheet2!F240&amp;"""")</f>
        <v/>
      </c>
      <c r="U240" s="12" t="str" cm="1">
        <f t="array" ref="U240">IF(T240="","",_xlfn.XLOOKUP(G240,[1]Sheet1!$G:$G,[1]Sheet1!$U:$W))</f>
        <v/>
      </c>
      <c r="X240" s="15" t="str">
        <f>IF(Sheet2!G240="","",Sheet2!G240&amp;"''")</f>
        <v/>
      </c>
    </row>
    <row r="241" spans="7:24" x14ac:dyDescent="0.25">
      <c r="G241" s="15" t="str">
        <f>IF(Sheet2!A241="","",Sheet2!A241)</f>
        <v/>
      </c>
      <c r="H241" s="18" t="str">
        <f>IF(Sheet2!O241="","",LEFT(Sheet2!O241, FIND(" ", Sheet2!O241)-1))</f>
        <v/>
      </c>
      <c r="I241" s="15" t="str">
        <f>IF(Sheet2!S241&lt;19,ROUND(Sheet2!I241,2)&amp;"'",IF(Sheet2!S241&lt;25,ROUND(Sheet2!J241,2)&amp;"'",IF(Sheet2!S241&lt;31,ROUND(Sheet2!K241,2)&amp;"'",IF(Sheet2!S241&lt;37,ROUND(Sheet2!L241,2)&amp;"'",""))))</f>
        <v/>
      </c>
      <c r="L241" s="15" t="str">
        <f>IF(Sheet2!D241="","",Sheet2!D241&amp;"''")</f>
        <v/>
      </c>
      <c r="O241" s="16" t="str">
        <f>IF(Sheet2!H241="","",ROUND(Sheet2!H241,2)&amp;"'")</f>
        <v/>
      </c>
      <c r="P241" s="18" t="str">
        <f>IF(Sheet2!E241="","",Sheet2!E241&amp;"''")</f>
        <v/>
      </c>
      <c r="Q241" s="12" t="str" cm="1">
        <f t="array" ref="Q241">IF(P241="","",_xlfn.XLOOKUP(G241,[1]Sheet1!$G:$G,[1]Sheet1!$Q:$S))</f>
        <v/>
      </c>
      <c r="T241" s="15" t="str">
        <f>IF(Sheet2!F241="","",Sheet2!F241&amp;"""")</f>
        <v/>
      </c>
      <c r="U241" s="12" t="str" cm="1">
        <f t="array" ref="U241">IF(T241="","",_xlfn.XLOOKUP(G241,[1]Sheet1!$G:$G,[1]Sheet1!$U:$W))</f>
        <v/>
      </c>
      <c r="X241" s="15" t="str">
        <f>IF(Sheet2!G241="","",Sheet2!G241&amp;"''")</f>
        <v/>
      </c>
    </row>
    <row r="242" spans="7:24" x14ac:dyDescent="0.25">
      <c r="G242" s="15" t="str">
        <f>IF(Sheet2!A242="","",Sheet2!A242)</f>
        <v/>
      </c>
      <c r="H242" s="18" t="str">
        <f>IF(Sheet2!O242="","",LEFT(Sheet2!O242, FIND(" ", Sheet2!O242)-1))</f>
        <v/>
      </c>
      <c r="I242" s="15" t="str">
        <f>IF(Sheet2!S242&lt;19,ROUND(Sheet2!I242,2)&amp;"'",IF(Sheet2!S242&lt;25,ROUND(Sheet2!J242,2)&amp;"'",IF(Sheet2!S242&lt;31,ROUND(Sheet2!K242,2)&amp;"'",IF(Sheet2!S242&lt;37,ROUND(Sheet2!L242,2)&amp;"'",""))))</f>
        <v/>
      </c>
      <c r="L242" s="15" t="str">
        <f>IF(Sheet2!D242="","",Sheet2!D242&amp;"''")</f>
        <v/>
      </c>
      <c r="O242" s="16" t="str">
        <f>IF(Sheet2!H242="","",ROUND(Sheet2!H242,2)&amp;"'")</f>
        <v/>
      </c>
      <c r="P242" s="18" t="str">
        <f>IF(Sheet2!E242="","",Sheet2!E242&amp;"''")</f>
        <v/>
      </c>
      <c r="Q242" s="12" t="str" cm="1">
        <f t="array" ref="Q242">IF(P242="","",_xlfn.XLOOKUP(G242,[1]Sheet1!$G:$G,[1]Sheet1!$Q:$S))</f>
        <v/>
      </c>
      <c r="T242" s="15" t="str">
        <f>IF(Sheet2!F242="","",Sheet2!F242&amp;"""")</f>
        <v/>
      </c>
      <c r="U242" s="12" t="str" cm="1">
        <f t="array" ref="U242">IF(T242="","",_xlfn.XLOOKUP(G242,[1]Sheet1!$G:$G,[1]Sheet1!$U:$W))</f>
        <v/>
      </c>
      <c r="X242" s="15" t="str">
        <f>IF(Sheet2!G242="","",Sheet2!G242&amp;"''")</f>
        <v/>
      </c>
    </row>
    <row r="243" spans="7:24" x14ac:dyDescent="0.25">
      <c r="G243" s="15" t="str">
        <f>IF(Sheet2!A243="","",Sheet2!A243)</f>
        <v/>
      </c>
      <c r="H243" s="18" t="str">
        <f>IF(Sheet2!O243="","",LEFT(Sheet2!O243, FIND(" ", Sheet2!O243)-1))</f>
        <v/>
      </c>
      <c r="I243" s="15" t="str">
        <f>IF(Sheet2!S243&lt;19,ROUND(Sheet2!I243,2)&amp;"'",IF(Sheet2!S243&lt;25,ROUND(Sheet2!J243,2)&amp;"'",IF(Sheet2!S243&lt;31,ROUND(Sheet2!K243,2)&amp;"'",IF(Sheet2!S243&lt;37,ROUND(Sheet2!L243,2)&amp;"'",""))))</f>
        <v/>
      </c>
      <c r="L243" s="15" t="str">
        <f>IF(Sheet2!D243="","",Sheet2!D243&amp;"''")</f>
        <v/>
      </c>
      <c r="O243" s="16" t="str">
        <f>IF(Sheet2!H243="","",ROUND(Sheet2!H243,2)&amp;"'")</f>
        <v/>
      </c>
      <c r="P243" s="18" t="str">
        <f>IF(Sheet2!E243="","",Sheet2!E243&amp;"''")</f>
        <v/>
      </c>
      <c r="Q243" s="12" t="str" cm="1">
        <f t="array" ref="Q243">IF(P243="","",_xlfn.XLOOKUP(G243,[1]Sheet1!$G:$G,[1]Sheet1!$Q:$S))</f>
        <v/>
      </c>
      <c r="T243" s="15" t="str">
        <f>IF(Sheet2!F243="","",Sheet2!F243&amp;"""")</f>
        <v/>
      </c>
      <c r="U243" s="12" t="str" cm="1">
        <f t="array" ref="U243">IF(T243="","",_xlfn.XLOOKUP(G243,[1]Sheet1!$G:$G,[1]Sheet1!$U:$W))</f>
        <v/>
      </c>
      <c r="X243" s="15" t="str">
        <f>IF(Sheet2!G243="","",Sheet2!G243&amp;"''")</f>
        <v/>
      </c>
    </row>
    <row r="244" spans="7:24" x14ac:dyDescent="0.25">
      <c r="G244" s="15" t="str">
        <f>IF(Sheet2!A244="","",Sheet2!A244)</f>
        <v/>
      </c>
      <c r="H244" s="18" t="str">
        <f>IF(Sheet2!O244="","",LEFT(Sheet2!O244, FIND(" ", Sheet2!O244)-1))</f>
        <v/>
      </c>
      <c r="I244" s="15" t="str">
        <f>IF(Sheet2!S244&lt;19,ROUND(Sheet2!I244,2)&amp;"'",IF(Sheet2!S244&lt;25,ROUND(Sheet2!J244,2)&amp;"'",IF(Sheet2!S244&lt;31,ROUND(Sheet2!K244,2)&amp;"'",IF(Sheet2!S244&lt;37,ROUND(Sheet2!L244,2)&amp;"'",""))))</f>
        <v/>
      </c>
      <c r="L244" s="15" t="str">
        <f>IF(Sheet2!D244="","",Sheet2!D244&amp;"''")</f>
        <v/>
      </c>
      <c r="O244" s="16" t="str">
        <f>IF(Sheet2!H244="","",ROUND(Sheet2!H244,2)&amp;"'")</f>
        <v/>
      </c>
      <c r="P244" s="18" t="str">
        <f>IF(Sheet2!E244="","",Sheet2!E244&amp;"''")</f>
        <v/>
      </c>
      <c r="Q244" s="12" t="str" cm="1">
        <f t="array" ref="Q244">IF(P244="","",_xlfn.XLOOKUP(G244,[1]Sheet1!$G:$G,[1]Sheet1!$Q:$S))</f>
        <v/>
      </c>
      <c r="T244" s="15" t="str">
        <f>IF(Sheet2!F244="","",Sheet2!F244&amp;"""")</f>
        <v/>
      </c>
      <c r="U244" s="12" t="str" cm="1">
        <f t="array" ref="U244">IF(T244="","",_xlfn.XLOOKUP(G244,[1]Sheet1!$G:$G,[1]Sheet1!$U:$W))</f>
        <v/>
      </c>
      <c r="X244" s="15" t="str">
        <f>IF(Sheet2!G244="","",Sheet2!G244&amp;"''")</f>
        <v/>
      </c>
    </row>
    <row r="245" spans="7:24" x14ac:dyDescent="0.25">
      <c r="G245" s="15" t="str">
        <f>IF(Sheet2!A245="","",Sheet2!A245)</f>
        <v/>
      </c>
      <c r="H245" s="18" t="str">
        <f>IF(Sheet2!O245="","",LEFT(Sheet2!O245, FIND(" ", Sheet2!O245)-1))</f>
        <v/>
      </c>
      <c r="I245" s="15" t="str">
        <f>IF(Sheet2!S245&lt;19,ROUND(Sheet2!I245,2)&amp;"'",IF(Sheet2!S245&lt;25,ROUND(Sheet2!J245,2)&amp;"'",IF(Sheet2!S245&lt;31,ROUND(Sheet2!K245,2)&amp;"'",IF(Sheet2!S245&lt;37,ROUND(Sheet2!L245,2)&amp;"'",""))))</f>
        <v/>
      </c>
      <c r="L245" s="15" t="str">
        <f>IF(Sheet2!D245="","",Sheet2!D245&amp;"''")</f>
        <v/>
      </c>
      <c r="O245" s="16" t="str">
        <f>IF(Sheet2!H245="","",ROUND(Sheet2!H245,2)&amp;"'")</f>
        <v/>
      </c>
      <c r="P245" s="18" t="str">
        <f>IF(Sheet2!E245="","",Sheet2!E245&amp;"''")</f>
        <v/>
      </c>
      <c r="Q245" s="12" t="str" cm="1">
        <f t="array" ref="Q245">IF(P245="","",_xlfn.XLOOKUP(G245,[1]Sheet1!$G:$G,[1]Sheet1!$Q:$S))</f>
        <v/>
      </c>
      <c r="T245" s="15" t="str">
        <f>IF(Sheet2!F245="","",Sheet2!F245&amp;"""")</f>
        <v/>
      </c>
      <c r="U245" s="12" t="str" cm="1">
        <f t="array" ref="U245">IF(T245="","",_xlfn.XLOOKUP(G245,[1]Sheet1!$G:$G,[1]Sheet1!$U:$W))</f>
        <v/>
      </c>
      <c r="X245" s="15" t="str">
        <f>IF(Sheet2!G245="","",Sheet2!G245&amp;"''")</f>
        <v/>
      </c>
    </row>
    <row r="246" spans="7:24" x14ac:dyDescent="0.25">
      <c r="G246" s="15" t="str">
        <f>IF(Sheet2!A246="","",Sheet2!A246)</f>
        <v/>
      </c>
      <c r="H246" s="18" t="str">
        <f>IF(Sheet2!O246="","",LEFT(Sheet2!O246, FIND(" ", Sheet2!O246)-1))</f>
        <v/>
      </c>
      <c r="I246" s="15" t="str">
        <f>IF(Sheet2!S246&lt;19,ROUND(Sheet2!I246,2)&amp;"'",IF(Sheet2!S246&lt;25,ROUND(Sheet2!J246,2)&amp;"'",IF(Sheet2!S246&lt;31,ROUND(Sheet2!K246,2)&amp;"'",IF(Sheet2!S246&lt;37,ROUND(Sheet2!L246,2)&amp;"'",""))))</f>
        <v/>
      </c>
      <c r="L246" s="15" t="str">
        <f>IF(Sheet2!D246="","",Sheet2!D246&amp;"''")</f>
        <v/>
      </c>
      <c r="O246" s="16" t="str">
        <f>IF(Sheet2!H246="","",ROUND(Sheet2!H246,2)&amp;"'")</f>
        <v/>
      </c>
      <c r="P246" s="18" t="str">
        <f>IF(Sheet2!E246="","",Sheet2!E246&amp;"''")</f>
        <v/>
      </c>
      <c r="Q246" s="12" t="str" cm="1">
        <f t="array" ref="Q246">IF(P246="","",_xlfn.XLOOKUP(G246,[1]Sheet1!$G:$G,[1]Sheet1!$Q:$S))</f>
        <v/>
      </c>
      <c r="T246" s="15" t="str">
        <f>IF(Sheet2!F246="","",Sheet2!F246&amp;"""")</f>
        <v/>
      </c>
      <c r="U246" s="12" t="str" cm="1">
        <f t="array" ref="U246">IF(T246="","",_xlfn.XLOOKUP(G246,[1]Sheet1!$G:$G,[1]Sheet1!$U:$W))</f>
        <v/>
      </c>
      <c r="X246" s="15" t="str">
        <f>IF(Sheet2!G246="","",Sheet2!G246&amp;"''")</f>
        <v/>
      </c>
    </row>
    <row r="247" spans="7:24" x14ac:dyDescent="0.25">
      <c r="G247" s="15" t="str">
        <f>IF(Sheet2!A247="","",Sheet2!A247)</f>
        <v/>
      </c>
      <c r="H247" s="18" t="str">
        <f>IF(Sheet2!O247="","",LEFT(Sheet2!O247, FIND(" ", Sheet2!O247)-1))</f>
        <v/>
      </c>
      <c r="I247" s="15" t="str">
        <f>IF(Sheet2!S247&lt;19,ROUND(Sheet2!I247,2)&amp;"'",IF(Sheet2!S247&lt;25,ROUND(Sheet2!J247,2)&amp;"'",IF(Sheet2!S247&lt;31,ROUND(Sheet2!K247,2)&amp;"'",IF(Sheet2!S247&lt;37,ROUND(Sheet2!L247,2)&amp;"'",""))))</f>
        <v/>
      </c>
      <c r="L247" s="15" t="str">
        <f>IF(Sheet2!D247="","",Sheet2!D247&amp;"''")</f>
        <v/>
      </c>
      <c r="O247" s="16" t="str">
        <f>IF(Sheet2!H247="","",ROUND(Sheet2!H247,2)&amp;"'")</f>
        <v/>
      </c>
      <c r="P247" s="18" t="str">
        <f>IF(Sheet2!E247="","",Sheet2!E247&amp;"''")</f>
        <v/>
      </c>
      <c r="Q247" s="12" t="str" cm="1">
        <f t="array" ref="Q247">IF(P247="","",_xlfn.XLOOKUP(G247,[1]Sheet1!$G:$G,[1]Sheet1!$Q:$S))</f>
        <v/>
      </c>
      <c r="T247" s="15" t="str">
        <f>IF(Sheet2!F247="","",Sheet2!F247&amp;"""")</f>
        <v/>
      </c>
      <c r="U247" s="12" t="str" cm="1">
        <f t="array" ref="U247">IF(T247="","",_xlfn.XLOOKUP(G247,[1]Sheet1!$G:$G,[1]Sheet1!$U:$W))</f>
        <v/>
      </c>
      <c r="X247" s="15" t="str">
        <f>IF(Sheet2!G247="","",Sheet2!G247&amp;"''")</f>
        <v/>
      </c>
    </row>
    <row r="248" spans="7:24" x14ac:dyDescent="0.25">
      <c r="G248" s="15" t="str">
        <f>IF(Sheet2!A248="","",Sheet2!A248)</f>
        <v/>
      </c>
      <c r="H248" s="18" t="str">
        <f>IF(Sheet2!O248="","",LEFT(Sheet2!O248, FIND(" ", Sheet2!O248)-1))</f>
        <v/>
      </c>
      <c r="I248" s="15" t="str">
        <f>IF(Sheet2!S248&lt;19,ROUND(Sheet2!I248,2)&amp;"'",IF(Sheet2!S248&lt;25,ROUND(Sheet2!J248,2)&amp;"'",IF(Sheet2!S248&lt;31,ROUND(Sheet2!K248,2)&amp;"'",IF(Sheet2!S248&lt;37,ROUND(Sheet2!L248,2)&amp;"'",""))))</f>
        <v/>
      </c>
      <c r="L248" s="15" t="str">
        <f>IF(Sheet2!D248="","",Sheet2!D248&amp;"''")</f>
        <v/>
      </c>
      <c r="O248" s="16" t="str">
        <f>IF(Sheet2!H248="","",ROUND(Sheet2!H248,2)&amp;"'")</f>
        <v/>
      </c>
      <c r="P248" s="18" t="str">
        <f>IF(Sheet2!E248="","",Sheet2!E248&amp;"''")</f>
        <v/>
      </c>
      <c r="Q248" s="12" t="str" cm="1">
        <f t="array" ref="Q248">IF(P248="","",_xlfn.XLOOKUP(G248,[1]Sheet1!$G:$G,[1]Sheet1!$Q:$S))</f>
        <v/>
      </c>
      <c r="T248" s="15" t="str">
        <f>IF(Sheet2!F248="","",Sheet2!F248&amp;"""")</f>
        <v/>
      </c>
      <c r="U248" s="12" t="str" cm="1">
        <f t="array" ref="U248">IF(T248="","",_xlfn.XLOOKUP(G248,[1]Sheet1!$G:$G,[1]Sheet1!$U:$W))</f>
        <v/>
      </c>
      <c r="X248" s="15" t="str">
        <f>IF(Sheet2!G248="","",Sheet2!G248&amp;"''")</f>
        <v/>
      </c>
    </row>
    <row r="249" spans="7:24" x14ac:dyDescent="0.25">
      <c r="G249" s="15" t="str">
        <f>IF(Sheet2!A249="","",Sheet2!A249)</f>
        <v/>
      </c>
      <c r="H249" s="18" t="str">
        <f>IF(Sheet2!O249="","",LEFT(Sheet2!O249, FIND(" ", Sheet2!O249)-1))</f>
        <v/>
      </c>
      <c r="I249" s="15" t="str">
        <f>IF(Sheet2!S249&lt;19,ROUND(Sheet2!I249,2)&amp;"'",IF(Sheet2!S249&lt;25,ROUND(Sheet2!J249,2)&amp;"'",IF(Sheet2!S249&lt;31,ROUND(Sheet2!K249,2)&amp;"'",IF(Sheet2!S249&lt;37,ROUND(Sheet2!L249,2)&amp;"'",""))))</f>
        <v/>
      </c>
      <c r="L249" s="15" t="str">
        <f>IF(Sheet2!D249="","",Sheet2!D249&amp;"''")</f>
        <v/>
      </c>
      <c r="O249" s="16" t="str">
        <f>IF(Sheet2!H249="","",ROUND(Sheet2!H249,2)&amp;"'")</f>
        <v/>
      </c>
      <c r="P249" s="18" t="str">
        <f>IF(Sheet2!E249="","",Sheet2!E249&amp;"''")</f>
        <v/>
      </c>
      <c r="Q249" s="12" t="str" cm="1">
        <f t="array" ref="Q249">IF(P249="","",_xlfn.XLOOKUP(G249,[1]Sheet1!$G:$G,[1]Sheet1!$Q:$S))</f>
        <v/>
      </c>
      <c r="T249" s="15" t="str">
        <f>IF(Sheet2!F249="","",Sheet2!F249&amp;"""")</f>
        <v/>
      </c>
      <c r="U249" s="12" t="str" cm="1">
        <f t="array" ref="U249">IF(T249="","",_xlfn.XLOOKUP(G249,[1]Sheet1!$G:$G,[1]Sheet1!$U:$W))</f>
        <v/>
      </c>
      <c r="X249" s="15" t="str">
        <f>IF(Sheet2!G249="","",Sheet2!G249&amp;"''")</f>
        <v/>
      </c>
    </row>
    <row r="250" spans="7:24" x14ac:dyDescent="0.25">
      <c r="G250" s="15" t="str">
        <f>IF(Sheet2!A250="","",Sheet2!A250)</f>
        <v/>
      </c>
      <c r="H250" s="18" t="str">
        <f>IF(Sheet2!O250="","",LEFT(Sheet2!O250, FIND(" ", Sheet2!O250)-1))</f>
        <v/>
      </c>
      <c r="I250" s="15" t="str">
        <f>IF(Sheet2!S250&lt;19,ROUND(Sheet2!I250,2)&amp;"'",IF(Sheet2!S250&lt;25,ROUND(Sheet2!J250,2)&amp;"'",IF(Sheet2!S250&lt;31,ROUND(Sheet2!K250,2)&amp;"'",IF(Sheet2!S250&lt;37,ROUND(Sheet2!L250,2)&amp;"'",""))))</f>
        <v/>
      </c>
      <c r="L250" s="15" t="str">
        <f>IF(Sheet2!D250="","",Sheet2!D250&amp;"''")</f>
        <v/>
      </c>
      <c r="O250" s="16" t="str">
        <f>IF(Sheet2!H250="","",ROUND(Sheet2!H250,2)&amp;"'")</f>
        <v/>
      </c>
      <c r="P250" s="18" t="str">
        <f>IF(Sheet2!E250="","",Sheet2!E250&amp;"''")</f>
        <v/>
      </c>
      <c r="Q250" s="12" t="str" cm="1">
        <f t="array" ref="Q250">IF(P250="","",_xlfn.XLOOKUP(G250,[1]Sheet1!$G:$G,[1]Sheet1!$Q:$S))</f>
        <v/>
      </c>
      <c r="T250" s="15" t="str">
        <f>IF(Sheet2!F250="","",Sheet2!F250&amp;"""")</f>
        <v/>
      </c>
      <c r="U250" s="12" t="str" cm="1">
        <f t="array" ref="U250">IF(T250="","",_xlfn.XLOOKUP(G250,[1]Sheet1!$G:$G,[1]Sheet1!$U:$W))</f>
        <v/>
      </c>
      <c r="X250" s="15" t="str">
        <f>IF(Sheet2!G250="","",Sheet2!G250&amp;"''")</f>
        <v/>
      </c>
    </row>
    <row r="251" spans="7:24" x14ac:dyDescent="0.25">
      <c r="G251" s="15" t="str">
        <f>IF(Sheet2!A251="","",Sheet2!A251)</f>
        <v/>
      </c>
      <c r="H251" s="18" t="str">
        <f>IF(Sheet2!O251="","",LEFT(Sheet2!O251, FIND(" ", Sheet2!O251)-1))</f>
        <v/>
      </c>
      <c r="I251" s="15" t="str">
        <f>IF(Sheet2!S251&lt;19,ROUND(Sheet2!I251,2)&amp;"'",IF(Sheet2!S251&lt;25,ROUND(Sheet2!J251,2)&amp;"'",IF(Sheet2!S251&lt;31,ROUND(Sheet2!K251,2)&amp;"'",IF(Sheet2!S251&lt;37,ROUND(Sheet2!L251,2)&amp;"'",""))))</f>
        <v/>
      </c>
      <c r="L251" s="15" t="str">
        <f>IF(Sheet2!D251="","",Sheet2!D251&amp;"''")</f>
        <v/>
      </c>
      <c r="O251" s="16" t="str">
        <f>IF(Sheet2!H251="","",ROUND(Sheet2!H251,2)&amp;"'")</f>
        <v/>
      </c>
      <c r="P251" s="18" t="str">
        <f>IF(Sheet2!E251="","",Sheet2!E251&amp;"''")</f>
        <v/>
      </c>
      <c r="Q251" s="12" t="str" cm="1">
        <f t="array" ref="Q251">IF(P251="","",_xlfn.XLOOKUP(G251,[1]Sheet1!$G:$G,[1]Sheet1!$Q:$S))</f>
        <v/>
      </c>
      <c r="T251" s="15" t="str">
        <f>IF(Sheet2!F251="","",Sheet2!F251&amp;"""")</f>
        <v/>
      </c>
      <c r="U251" s="12" t="str" cm="1">
        <f t="array" ref="U251">IF(T251="","",_xlfn.XLOOKUP(G251,[1]Sheet1!$G:$G,[1]Sheet1!$U:$W))</f>
        <v/>
      </c>
      <c r="X251" s="15" t="str">
        <f>IF(Sheet2!G251="","",Sheet2!G251&amp;"''")</f>
        <v/>
      </c>
    </row>
    <row r="252" spans="7:24" x14ac:dyDescent="0.25">
      <c r="G252" s="15" t="str">
        <f>IF(Sheet2!A252="","",Sheet2!A252)</f>
        <v/>
      </c>
      <c r="H252" s="18" t="str">
        <f>IF(Sheet2!O252="","",LEFT(Sheet2!O252, FIND(" ", Sheet2!O252)-1))</f>
        <v/>
      </c>
      <c r="I252" s="15" t="str">
        <f>IF(Sheet2!S252&lt;19,ROUND(Sheet2!I252,2)&amp;"'",IF(Sheet2!S252&lt;25,ROUND(Sheet2!J252,2)&amp;"'",IF(Sheet2!S252&lt;31,ROUND(Sheet2!K252,2)&amp;"'",IF(Sheet2!S252&lt;37,ROUND(Sheet2!L252,2)&amp;"'",""))))</f>
        <v/>
      </c>
      <c r="L252" s="15" t="str">
        <f>IF(Sheet2!D252="","",Sheet2!D252&amp;"''")</f>
        <v/>
      </c>
      <c r="O252" s="16" t="str">
        <f>IF(Sheet2!H252="","",ROUND(Sheet2!H252,2)&amp;"'")</f>
        <v/>
      </c>
      <c r="P252" s="18" t="str">
        <f>IF(Sheet2!E252="","",Sheet2!E252&amp;"''")</f>
        <v/>
      </c>
      <c r="Q252" s="12" t="str" cm="1">
        <f t="array" ref="Q252">IF(P252="","",_xlfn.XLOOKUP(G252,[1]Sheet1!$G:$G,[1]Sheet1!$Q:$S))</f>
        <v/>
      </c>
      <c r="T252" s="15" t="str">
        <f>IF(Sheet2!F252="","",Sheet2!F252&amp;"""")</f>
        <v/>
      </c>
      <c r="U252" s="12" t="str" cm="1">
        <f t="array" ref="U252">IF(T252="","",_xlfn.XLOOKUP(G252,[1]Sheet1!$G:$G,[1]Sheet1!$U:$W))</f>
        <v/>
      </c>
      <c r="X252" s="15" t="str">
        <f>IF(Sheet2!G252="","",Sheet2!G252&amp;"''")</f>
        <v/>
      </c>
    </row>
    <row r="253" spans="7:24" x14ac:dyDescent="0.25">
      <c r="G253" s="15" t="str">
        <f>IF(Sheet2!A253="","",Sheet2!A253)</f>
        <v/>
      </c>
      <c r="H253" s="18" t="str">
        <f>IF(Sheet2!O253="","",LEFT(Sheet2!O253, FIND(" ", Sheet2!O253)-1))</f>
        <v/>
      </c>
      <c r="I253" s="15" t="str">
        <f>IF(Sheet2!S253&lt;19,ROUND(Sheet2!I253,2)&amp;"'",IF(Sheet2!S253&lt;25,ROUND(Sheet2!J253,2)&amp;"'",IF(Sheet2!S253&lt;31,ROUND(Sheet2!K253,2)&amp;"'",IF(Sheet2!S253&lt;37,ROUND(Sheet2!L253,2)&amp;"'",""))))</f>
        <v/>
      </c>
      <c r="L253" s="15" t="str">
        <f>IF(Sheet2!D253="","",Sheet2!D253&amp;"''")</f>
        <v/>
      </c>
      <c r="O253" s="16" t="str">
        <f>IF(Sheet2!H253="","",ROUND(Sheet2!H253,2)&amp;"'")</f>
        <v/>
      </c>
      <c r="P253" s="18" t="str">
        <f>IF(Sheet2!E253="","",Sheet2!E253&amp;"''")</f>
        <v/>
      </c>
      <c r="Q253" s="12" t="str" cm="1">
        <f t="array" ref="Q253">IF(P253="","",_xlfn.XLOOKUP(G253,[1]Sheet1!$G:$G,[1]Sheet1!$Q:$S))</f>
        <v/>
      </c>
      <c r="T253" s="15" t="str">
        <f>IF(Sheet2!F253="","",Sheet2!F253&amp;"""")</f>
        <v/>
      </c>
      <c r="U253" s="12" t="str" cm="1">
        <f t="array" ref="U253">IF(T253="","",_xlfn.XLOOKUP(G253,[1]Sheet1!$G:$G,[1]Sheet1!$U:$W))</f>
        <v/>
      </c>
      <c r="X253" s="15" t="str">
        <f>IF(Sheet2!G253="","",Sheet2!G253&amp;"''")</f>
        <v/>
      </c>
    </row>
    <row r="254" spans="7:24" x14ac:dyDescent="0.25">
      <c r="G254" s="15" t="str">
        <f>IF(Sheet2!A254="","",Sheet2!A254)</f>
        <v/>
      </c>
      <c r="H254" s="18" t="str">
        <f>IF(Sheet2!O254="","",LEFT(Sheet2!O254, FIND(" ", Sheet2!O254)-1))</f>
        <v/>
      </c>
      <c r="I254" s="15" t="str">
        <f>IF(Sheet2!S254&lt;19,ROUND(Sheet2!I254,2)&amp;"'",IF(Sheet2!S254&lt;25,ROUND(Sheet2!J254,2)&amp;"'",IF(Sheet2!S254&lt;31,ROUND(Sheet2!K254,2)&amp;"'",IF(Sheet2!S254&lt;37,ROUND(Sheet2!L254,2)&amp;"'",""))))</f>
        <v/>
      </c>
      <c r="L254" s="15" t="str">
        <f>IF(Sheet2!D254="","",Sheet2!D254&amp;"''")</f>
        <v/>
      </c>
      <c r="O254" s="16" t="str">
        <f>IF(Sheet2!H254="","",ROUND(Sheet2!H254,2)&amp;"'")</f>
        <v/>
      </c>
      <c r="P254" s="18" t="str">
        <f>IF(Sheet2!E254="","",Sheet2!E254&amp;"''")</f>
        <v/>
      </c>
      <c r="Q254" s="12" t="str" cm="1">
        <f t="array" ref="Q254">IF(P254="","",_xlfn.XLOOKUP(G254,[1]Sheet1!$G:$G,[1]Sheet1!$Q:$S))</f>
        <v/>
      </c>
      <c r="T254" s="15" t="str">
        <f>IF(Sheet2!F254="","",Sheet2!F254&amp;"""")</f>
        <v/>
      </c>
      <c r="U254" s="12" t="str" cm="1">
        <f t="array" ref="U254">IF(T254="","",_xlfn.XLOOKUP(G254,[1]Sheet1!$G:$G,[1]Sheet1!$U:$W))</f>
        <v/>
      </c>
      <c r="X254" s="15" t="str">
        <f>IF(Sheet2!G254="","",Sheet2!G254&amp;"''")</f>
        <v/>
      </c>
    </row>
    <row r="255" spans="7:24" x14ac:dyDescent="0.25">
      <c r="G255" s="15" t="str">
        <f>IF(Sheet2!A255="","",Sheet2!A255)</f>
        <v/>
      </c>
      <c r="H255" s="18" t="str">
        <f>IF(Sheet2!O255="","",LEFT(Sheet2!O255, FIND(" ", Sheet2!O255)-1))</f>
        <v/>
      </c>
      <c r="I255" s="15" t="str">
        <f>IF(Sheet2!S255&lt;19,ROUND(Sheet2!I255,2)&amp;"'",IF(Sheet2!S255&lt;25,ROUND(Sheet2!J255,2)&amp;"'",IF(Sheet2!S255&lt;31,ROUND(Sheet2!K255,2)&amp;"'",IF(Sheet2!S255&lt;37,ROUND(Sheet2!L255,2)&amp;"'",""))))</f>
        <v/>
      </c>
      <c r="L255" s="15" t="str">
        <f>IF(Sheet2!D255="","",Sheet2!D255&amp;"''")</f>
        <v/>
      </c>
      <c r="O255" s="16" t="str">
        <f>IF(Sheet2!H255="","",ROUND(Sheet2!H255,2)&amp;"'")</f>
        <v/>
      </c>
      <c r="P255" s="18" t="str">
        <f>IF(Sheet2!E255="","",Sheet2!E255&amp;"''")</f>
        <v/>
      </c>
      <c r="Q255" s="12" t="str" cm="1">
        <f t="array" ref="Q255">IF(P255="","",_xlfn.XLOOKUP(G255,[1]Sheet1!$G:$G,[1]Sheet1!$Q:$S))</f>
        <v/>
      </c>
      <c r="T255" s="15" t="str">
        <f>IF(Sheet2!F255="","",Sheet2!F255&amp;"""")</f>
        <v/>
      </c>
      <c r="U255" s="12" t="str" cm="1">
        <f t="array" ref="U255">IF(T255="","",_xlfn.XLOOKUP(G255,[1]Sheet1!$G:$G,[1]Sheet1!$U:$W))</f>
        <v/>
      </c>
      <c r="X255" s="15" t="str">
        <f>IF(Sheet2!G255="","",Sheet2!G255&amp;"''")</f>
        <v/>
      </c>
    </row>
    <row r="256" spans="7:24" x14ac:dyDescent="0.25">
      <c r="G256" s="15" t="str">
        <f>IF(Sheet2!A256="","",Sheet2!A256)</f>
        <v/>
      </c>
      <c r="H256" s="18" t="str">
        <f>IF(Sheet2!O256="","",LEFT(Sheet2!O256, FIND(" ", Sheet2!O256)-1))</f>
        <v/>
      </c>
      <c r="I256" s="15" t="str">
        <f>IF(Sheet2!S256&lt;19,ROUND(Sheet2!I256,2)&amp;"'",IF(Sheet2!S256&lt;25,ROUND(Sheet2!J256,2)&amp;"'",IF(Sheet2!S256&lt;31,ROUND(Sheet2!K256,2)&amp;"'",IF(Sheet2!S256&lt;37,ROUND(Sheet2!L256,2)&amp;"'",""))))</f>
        <v/>
      </c>
      <c r="L256" s="15" t="str">
        <f>IF(Sheet2!D256="","",Sheet2!D256&amp;"''")</f>
        <v/>
      </c>
      <c r="O256" s="16" t="str">
        <f>IF(Sheet2!H256="","",ROUND(Sheet2!H256,2)&amp;"'")</f>
        <v/>
      </c>
      <c r="P256" s="18" t="str">
        <f>IF(Sheet2!E256="","",Sheet2!E256&amp;"''")</f>
        <v/>
      </c>
      <c r="Q256" s="12" t="str" cm="1">
        <f t="array" ref="Q256">IF(P256="","",_xlfn.XLOOKUP(G256,[1]Sheet1!$G:$G,[1]Sheet1!$Q:$S))</f>
        <v/>
      </c>
      <c r="T256" s="15" t="str">
        <f>IF(Sheet2!F256="","",Sheet2!F256&amp;"""")</f>
        <v/>
      </c>
      <c r="U256" s="12" t="str" cm="1">
        <f t="array" ref="U256">IF(T256="","",_xlfn.XLOOKUP(G256,[1]Sheet1!$G:$G,[1]Sheet1!$U:$W))</f>
        <v/>
      </c>
      <c r="X256" s="15" t="str">
        <f>IF(Sheet2!G256="","",Sheet2!G256&amp;"''")</f>
        <v/>
      </c>
    </row>
    <row r="257" spans="7:24" x14ac:dyDescent="0.25">
      <c r="G257" s="15" t="str">
        <f>IF(Sheet2!A257="","",Sheet2!A257)</f>
        <v/>
      </c>
      <c r="H257" s="18" t="str">
        <f>IF(Sheet2!O257="","",LEFT(Sheet2!O257, FIND(" ", Sheet2!O257)-1))</f>
        <v/>
      </c>
      <c r="I257" s="15" t="str">
        <f>IF(Sheet2!S257&lt;19,ROUND(Sheet2!I257,2)&amp;"'",IF(Sheet2!S257&lt;25,ROUND(Sheet2!J257,2)&amp;"'",IF(Sheet2!S257&lt;31,ROUND(Sheet2!K257,2)&amp;"'",IF(Sheet2!S257&lt;37,ROUND(Sheet2!L257,2)&amp;"'",""))))</f>
        <v/>
      </c>
      <c r="L257" s="15" t="str">
        <f>IF(Sheet2!D257="","",Sheet2!D257&amp;"''")</f>
        <v/>
      </c>
      <c r="O257" s="16" t="str">
        <f>IF(Sheet2!H257="","",ROUND(Sheet2!H257,2)&amp;"'")</f>
        <v/>
      </c>
      <c r="P257" s="18" t="str">
        <f>IF(Sheet2!E257="","",Sheet2!E257&amp;"''")</f>
        <v/>
      </c>
      <c r="Q257" s="12" t="str" cm="1">
        <f t="array" ref="Q257">IF(P257="","",_xlfn.XLOOKUP(G257,[1]Sheet1!$G:$G,[1]Sheet1!$Q:$S))</f>
        <v/>
      </c>
      <c r="T257" s="15" t="str">
        <f>IF(Sheet2!F257="","",Sheet2!F257&amp;"""")</f>
        <v/>
      </c>
      <c r="U257" s="12" t="str" cm="1">
        <f t="array" ref="U257">IF(T257="","",_xlfn.XLOOKUP(G257,[1]Sheet1!$G:$G,[1]Sheet1!$U:$W))</f>
        <v/>
      </c>
      <c r="X257" s="15" t="str">
        <f>IF(Sheet2!G257="","",Sheet2!G257&amp;"''")</f>
        <v/>
      </c>
    </row>
    <row r="258" spans="7:24" x14ac:dyDescent="0.25">
      <c r="G258" s="15" t="str">
        <f>IF(Sheet2!A258="","",Sheet2!A258)</f>
        <v/>
      </c>
      <c r="H258" s="18" t="str">
        <f>IF(Sheet2!O258="","",LEFT(Sheet2!O258, FIND(" ", Sheet2!O258)-1))</f>
        <v/>
      </c>
      <c r="I258" s="15" t="str">
        <f>IF(Sheet2!S258&lt;19,ROUND(Sheet2!I258,2)&amp;"'",IF(Sheet2!S258&lt;25,ROUND(Sheet2!J258,2)&amp;"'",IF(Sheet2!S258&lt;31,ROUND(Sheet2!K258,2)&amp;"'",IF(Sheet2!S258&lt;37,ROUND(Sheet2!L258,2)&amp;"'",""))))</f>
        <v/>
      </c>
      <c r="L258" s="15" t="str">
        <f>IF(Sheet2!D258="","",Sheet2!D258&amp;"''")</f>
        <v/>
      </c>
      <c r="O258" s="16" t="str">
        <f>IF(Sheet2!H258="","",ROUND(Sheet2!H258,2)&amp;"'")</f>
        <v/>
      </c>
      <c r="P258" s="18" t="str">
        <f>IF(Sheet2!E258="","",Sheet2!E258&amp;"''")</f>
        <v/>
      </c>
      <c r="Q258" s="12" t="str" cm="1">
        <f t="array" ref="Q258">IF(P258="","",_xlfn.XLOOKUP(G258,[1]Sheet1!$G:$G,[1]Sheet1!$Q:$S))</f>
        <v/>
      </c>
      <c r="T258" s="15" t="str">
        <f>IF(Sheet2!F258="","",Sheet2!F258&amp;"""")</f>
        <v/>
      </c>
      <c r="U258" s="12" t="str" cm="1">
        <f t="array" ref="U258">IF(T258="","",_xlfn.XLOOKUP(G258,[1]Sheet1!$G:$G,[1]Sheet1!$U:$W))</f>
        <v/>
      </c>
      <c r="X258" s="15" t="str">
        <f>IF(Sheet2!G258="","",Sheet2!G258&amp;"''")</f>
        <v/>
      </c>
    </row>
    <row r="259" spans="7:24" x14ac:dyDescent="0.25">
      <c r="G259" s="15" t="str">
        <f>IF(Sheet2!A259="","",Sheet2!A259)</f>
        <v/>
      </c>
      <c r="H259" s="18" t="str">
        <f>IF(Sheet2!O259="","",LEFT(Sheet2!O259, FIND(" ", Sheet2!O259)-1))</f>
        <v/>
      </c>
      <c r="I259" s="15" t="str">
        <f>IF(Sheet2!S259&lt;19,ROUND(Sheet2!I259,2)&amp;"'",IF(Sheet2!S259&lt;25,ROUND(Sheet2!J259,2)&amp;"'",IF(Sheet2!S259&lt;31,ROUND(Sheet2!K259,2)&amp;"'",IF(Sheet2!S259&lt;37,ROUND(Sheet2!L259,2)&amp;"'",""))))</f>
        <v/>
      </c>
      <c r="L259" s="15" t="str">
        <f>IF(Sheet2!D259="","",Sheet2!D259&amp;"''")</f>
        <v/>
      </c>
      <c r="O259" s="16" t="str">
        <f>IF(Sheet2!H259="","",ROUND(Sheet2!H259,2)&amp;"'")</f>
        <v/>
      </c>
      <c r="P259" s="18" t="str">
        <f>IF(Sheet2!E259="","",Sheet2!E259&amp;"''")</f>
        <v/>
      </c>
      <c r="Q259" s="12" t="str" cm="1">
        <f t="array" ref="Q259">IF(P259="","",_xlfn.XLOOKUP(G259,[1]Sheet1!$G:$G,[1]Sheet1!$Q:$S))</f>
        <v/>
      </c>
      <c r="T259" s="15" t="str">
        <f>IF(Sheet2!F259="","",Sheet2!F259&amp;"""")</f>
        <v/>
      </c>
      <c r="U259" s="12" t="str" cm="1">
        <f t="array" ref="U259">IF(T259="","",_xlfn.XLOOKUP(G259,[1]Sheet1!$G:$G,[1]Sheet1!$U:$W))</f>
        <v/>
      </c>
      <c r="X259" s="15" t="str">
        <f>IF(Sheet2!G259="","",Sheet2!G259&amp;"''")</f>
        <v/>
      </c>
    </row>
    <row r="260" spans="7:24" x14ac:dyDescent="0.25">
      <c r="G260" s="15" t="str">
        <f>IF(Sheet2!A260="","",Sheet2!A260)</f>
        <v/>
      </c>
      <c r="H260" s="18" t="str">
        <f>IF(Sheet2!O260="","",LEFT(Sheet2!O260, FIND(" ", Sheet2!O260)-1))</f>
        <v/>
      </c>
      <c r="I260" s="15" t="str">
        <f>IF(Sheet2!S260&lt;19,ROUND(Sheet2!I260,2)&amp;"'",IF(Sheet2!S260&lt;25,ROUND(Sheet2!J260,2)&amp;"'",IF(Sheet2!S260&lt;31,ROUND(Sheet2!K260,2)&amp;"'",IF(Sheet2!S260&lt;37,ROUND(Sheet2!L260,2)&amp;"'",""))))</f>
        <v/>
      </c>
      <c r="L260" s="15" t="str">
        <f>IF(Sheet2!D260="","",Sheet2!D260&amp;"''")</f>
        <v/>
      </c>
      <c r="O260" s="16" t="str">
        <f>IF(Sheet2!H260="","",ROUND(Sheet2!H260,2)&amp;"'")</f>
        <v/>
      </c>
      <c r="P260" s="18" t="str">
        <f>IF(Sheet2!E260="","",Sheet2!E260&amp;"''")</f>
        <v/>
      </c>
      <c r="Q260" s="12" t="str" cm="1">
        <f t="array" ref="Q260">IF(P260="","",_xlfn.XLOOKUP(G260,[1]Sheet1!$G:$G,[1]Sheet1!$Q:$S))</f>
        <v/>
      </c>
      <c r="T260" s="15" t="str">
        <f>IF(Sheet2!F260="","",Sheet2!F260&amp;"""")</f>
        <v/>
      </c>
      <c r="U260" s="12" t="str" cm="1">
        <f t="array" ref="U260">IF(T260="","",_xlfn.XLOOKUP(G260,[1]Sheet1!$G:$G,[1]Sheet1!$U:$W))</f>
        <v/>
      </c>
      <c r="X260" s="15" t="str">
        <f>IF(Sheet2!G260="","",Sheet2!G260&amp;"''")</f>
        <v/>
      </c>
    </row>
    <row r="261" spans="7:24" x14ac:dyDescent="0.25">
      <c r="G261" s="15" t="str">
        <f>IF(Sheet2!A261="","",Sheet2!A261)</f>
        <v/>
      </c>
      <c r="H261" s="18" t="str">
        <f>IF(Sheet2!O261="","",LEFT(Sheet2!O261, FIND(" ", Sheet2!O261)-1))</f>
        <v/>
      </c>
      <c r="I261" s="15" t="str">
        <f>IF(Sheet2!S261&lt;19,ROUND(Sheet2!I261,2)&amp;"'",IF(Sheet2!S261&lt;25,ROUND(Sheet2!J261,2)&amp;"'",IF(Sheet2!S261&lt;31,ROUND(Sheet2!K261,2)&amp;"'",IF(Sheet2!S261&lt;37,ROUND(Sheet2!L261,2)&amp;"'",""))))</f>
        <v/>
      </c>
      <c r="L261" s="15" t="str">
        <f>IF(Sheet2!D261="","",Sheet2!D261&amp;"''")</f>
        <v/>
      </c>
      <c r="O261" s="16" t="str">
        <f>IF(Sheet2!H261="","",ROUND(Sheet2!H261,2)&amp;"'")</f>
        <v/>
      </c>
      <c r="P261" s="18" t="str">
        <f>IF(Sheet2!E261="","",Sheet2!E261&amp;"''")</f>
        <v/>
      </c>
      <c r="Q261" s="12" t="str" cm="1">
        <f t="array" ref="Q261">IF(P261="","",_xlfn.XLOOKUP(G261,[1]Sheet1!$G:$G,[1]Sheet1!$Q:$S))</f>
        <v/>
      </c>
      <c r="T261" s="15" t="str">
        <f>IF(Sheet2!F261="","",Sheet2!F261&amp;"""")</f>
        <v/>
      </c>
      <c r="U261" s="12" t="str" cm="1">
        <f t="array" ref="U261">IF(T261="","",_xlfn.XLOOKUP(G261,[1]Sheet1!$G:$G,[1]Sheet1!$U:$W))</f>
        <v/>
      </c>
      <c r="X261" s="15" t="str">
        <f>IF(Sheet2!G261="","",Sheet2!G261&amp;"''")</f>
        <v/>
      </c>
    </row>
    <row r="262" spans="7:24" x14ac:dyDescent="0.25">
      <c r="G262" s="15" t="str">
        <f>IF(Sheet2!A262="","",Sheet2!A262)</f>
        <v/>
      </c>
      <c r="H262" s="18" t="str">
        <f>IF(Sheet2!O262="","",LEFT(Sheet2!O262, FIND(" ", Sheet2!O262)-1))</f>
        <v/>
      </c>
      <c r="I262" s="15" t="str">
        <f>IF(Sheet2!S262&lt;19,ROUND(Sheet2!I262,2)&amp;"'",IF(Sheet2!S262&lt;25,ROUND(Sheet2!J262,2)&amp;"'",IF(Sheet2!S262&lt;31,ROUND(Sheet2!K262,2)&amp;"'",IF(Sheet2!S262&lt;37,ROUND(Sheet2!L262,2)&amp;"'",""))))</f>
        <v/>
      </c>
      <c r="L262" s="15" t="str">
        <f>IF(Sheet2!D262="","",Sheet2!D262&amp;"''")</f>
        <v/>
      </c>
      <c r="O262" s="16" t="str">
        <f>IF(Sheet2!H262="","",ROUND(Sheet2!H262,2)&amp;"'")</f>
        <v/>
      </c>
      <c r="P262" s="18" t="str">
        <f>IF(Sheet2!E262="","",Sheet2!E262&amp;"''")</f>
        <v/>
      </c>
      <c r="Q262" s="12" t="str" cm="1">
        <f t="array" ref="Q262">IF(P262="","",_xlfn.XLOOKUP(G262,[1]Sheet1!$G:$G,[1]Sheet1!$Q:$S))</f>
        <v/>
      </c>
      <c r="T262" s="15" t="str">
        <f>IF(Sheet2!F262="","",Sheet2!F262&amp;"""")</f>
        <v/>
      </c>
      <c r="U262" s="12" t="str" cm="1">
        <f t="array" ref="U262">IF(T262="","",_xlfn.XLOOKUP(G262,[1]Sheet1!$G:$G,[1]Sheet1!$U:$W))</f>
        <v/>
      </c>
      <c r="X262" s="15" t="str">
        <f>IF(Sheet2!G262="","",Sheet2!G262&amp;"''")</f>
        <v/>
      </c>
    </row>
    <row r="263" spans="7:24" x14ac:dyDescent="0.25">
      <c r="G263" s="15" t="str">
        <f>IF(Sheet2!A263="","",Sheet2!A263)</f>
        <v/>
      </c>
      <c r="H263" s="18" t="str">
        <f>IF(Sheet2!O263="","",LEFT(Sheet2!O263, FIND(" ", Sheet2!O263)-1))</f>
        <v/>
      </c>
      <c r="I263" s="15" t="str">
        <f>IF(Sheet2!S263&lt;19,ROUND(Sheet2!I263,2)&amp;"'",IF(Sheet2!S263&lt;25,ROUND(Sheet2!J263,2)&amp;"'",IF(Sheet2!S263&lt;31,ROUND(Sheet2!K263,2)&amp;"'",IF(Sheet2!S263&lt;37,ROUND(Sheet2!L263,2)&amp;"'",""))))</f>
        <v/>
      </c>
      <c r="L263" s="15" t="str">
        <f>IF(Sheet2!D263="","",Sheet2!D263&amp;"''")</f>
        <v/>
      </c>
      <c r="O263" s="16" t="str">
        <f>IF(Sheet2!H263="","",ROUND(Sheet2!H263,2)&amp;"'")</f>
        <v/>
      </c>
      <c r="P263" s="18" t="str">
        <f>IF(Sheet2!E263="","",Sheet2!E263&amp;"''")</f>
        <v/>
      </c>
      <c r="Q263" s="12" t="str" cm="1">
        <f t="array" ref="Q263">IF(P263="","",_xlfn.XLOOKUP(G263,[1]Sheet1!$G:$G,[1]Sheet1!$Q:$S))</f>
        <v/>
      </c>
      <c r="T263" s="15" t="str">
        <f>IF(Sheet2!F263="","",Sheet2!F263&amp;"""")</f>
        <v/>
      </c>
      <c r="U263" s="12" t="str" cm="1">
        <f t="array" ref="U263">IF(T263="","",_xlfn.XLOOKUP(G263,[1]Sheet1!$G:$G,[1]Sheet1!$U:$W))</f>
        <v/>
      </c>
      <c r="X263" s="15" t="str">
        <f>IF(Sheet2!G263="","",Sheet2!G263&amp;"''")</f>
        <v/>
      </c>
    </row>
    <row r="264" spans="7:24" x14ac:dyDescent="0.25">
      <c r="G264" s="15" t="str">
        <f>IF(Sheet2!A264="","",Sheet2!A264)</f>
        <v/>
      </c>
      <c r="H264" s="18" t="str">
        <f>IF(Sheet2!O264="","",LEFT(Sheet2!O264, FIND(" ", Sheet2!O264)-1))</f>
        <v/>
      </c>
      <c r="I264" s="15" t="str">
        <f>IF(Sheet2!S264&lt;19,ROUND(Sheet2!I264,2)&amp;"'",IF(Sheet2!S264&lt;25,ROUND(Sheet2!J264,2)&amp;"'",IF(Sheet2!S264&lt;31,ROUND(Sheet2!K264,2)&amp;"'",IF(Sheet2!S264&lt;37,ROUND(Sheet2!L264,2)&amp;"'",""))))</f>
        <v/>
      </c>
      <c r="L264" s="15" t="str">
        <f>IF(Sheet2!D264="","",Sheet2!D264&amp;"''")</f>
        <v/>
      </c>
      <c r="O264" s="16" t="str">
        <f>IF(Sheet2!H264="","",ROUND(Sheet2!H264,2)&amp;"'")</f>
        <v/>
      </c>
      <c r="P264" s="18" t="str">
        <f>IF(Sheet2!E264="","",Sheet2!E264&amp;"''")</f>
        <v/>
      </c>
      <c r="Q264" s="12" t="str" cm="1">
        <f t="array" ref="Q264">IF(P264="","",_xlfn.XLOOKUP(G264,[1]Sheet1!$G:$G,[1]Sheet1!$Q:$S))</f>
        <v/>
      </c>
      <c r="T264" s="15" t="str">
        <f>IF(Sheet2!F264="","",Sheet2!F264&amp;"""")</f>
        <v/>
      </c>
      <c r="U264" s="12" t="str" cm="1">
        <f t="array" ref="U264">IF(T264="","",_xlfn.XLOOKUP(G264,[1]Sheet1!$G:$G,[1]Sheet1!$U:$W))</f>
        <v/>
      </c>
      <c r="X264" s="15" t="str">
        <f>IF(Sheet2!G264="","",Sheet2!G264&amp;"''")</f>
        <v/>
      </c>
    </row>
    <row r="265" spans="7:24" x14ac:dyDescent="0.25">
      <c r="G265" s="15" t="str">
        <f>IF(Sheet2!A265="","",Sheet2!A265)</f>
        <v/>
      </c>
      <c r="H265" s="18" t="str">
        <f>IF(Sheet2!O265="","",LEFT(Sheet2!O265, FIND(" ", Sheet2!O265)-1))</f>
        <v/>
      </c>
      <c r="I265" s="15" t="str">
        <f>IF(Sheet2!S265&lt;19,ROUND(Sheet2!I265,2)&amp;"'",IF(Sheet2!S265&lt;25,ROUND(Sheet2!J265,2)&amp;"'",IF(Sheet2!S265&lt;31,ROUND(Sheet2!K265,2)&amp;"'",IF(Sheet2!S265&lt;37,ROUND(Sheet2!L265,2)&amp;"'",""))))</f>
        <v/>
      </c>
      <c r="L265" s="15" t="str">
        <f>IF(Sheet2!D265="","",Sheet2!D265&amp;"''")</f>
        <v/>
      </c>
      <c r="O265" s="16" t="str">
        <f>IF(Sheet2!H265="","",ROUND(Sheet2!H265,2)&amp;"'")</f>
        <v/>
      </c>
      <c r="P265" s="18" t="str">
        <f>IF(Sheet2!E265="","",Sheet2!E265&amp;"''")</f>
        <v/>
      </c>
      <c r="Q265" s="12" t="str" cm="1">
        <f t="array" ref="Q265">IF(P265="","",_xlfn.XLOOKUP(G265,[1]Sheet1!$G:$G,[1]Sheet1!$Q:$S))</f>
        <v/>
      </c>
      <c r="T265" s="15" t="str">
        <f>IF(Sheet2!F265="","",Sheet2!F265&amp;"""")</f>
        <v/>
      </c>
      <c r="U265" s="12" t="str" cm="1">
        <f t="array" ref="U265">IF(T265="","",_xlfn.XLOOKUP(G265,[1]Sheet1!$G:$G,[1]Sheet1!$U:$W))</f>
        <v/>
      </c>
      <c r="X265" s="15" t="str">
        <f>IF(Sheet2!G265="","",Sheet2!G265&amp;"''")</f>
        <v/>
      </c>
    </row>
    <row r="266" spans="7:24" x14ac:dyDescent="0.25">
      <c r="G266" s="15" t="str">
        <f>IF(Sheet2!A266="","",Sheet2!A266)</f>
        <v/>
      </c>
      <c r="H266" s="18" t="str">
        <f>IF(Sheet2!O266="","",LEFT(Sheet2!O266, FIND(" ", Sheet2!O266)-1))</f>
        <v/>
      </c>
      <c r="I266" s="15" t="str">
        <f>IF(Sheet2!S266&lt;19,ROUND(Sheet2!I266,2)&amp;"'",IF(Sheet2!S266&lt;25,ROUND(Sheet2!J266,2)&amp;"'",IF(Sheet2!S266&lt;31,ROUND(Sheet2!K266,2)&amp;"'",IF(Sheet2!S266&lt;37,ROUND(Sheet2!L266,2)&amp;"'",""))))</f>
        <v/>
      </c>
      <c r="L266" s="15" t="str">
        <f>IF(Sheet2!D266="","",Sheet2!D266&amp;"''")</f>
        <v/>
      </c>
      <c r="O266" s="16" t="str">
        <f>IF(Sheet2!H266="","",ROUND(Sheet2!H266,2)&amp;"'")</f>
        <v/>
      </c>
      <c r="P266" s="18" t="str">
        <f>IF(Sheet2!E266="","",Sheet2!E266&amp;"''")</f>
        <v/>
      </c>
      <c r="Q266" s="12" t="str" cm="1">
        <f t="array" ref="Q266">IF(P266="","",_xlfn.XLOOKUP(G266,[1]Sheet1!$G:$G,[1]Sheet1!$Q:$S))</f>
        <v/>
      </c>
      <c r="T266" s="15" t="str">
        <f>IF(Sheet2!F266="","",Sheet2!F266&amp;"""")</f>
        <v/>
      </c>
      <c r="U266" s="12" t="str" cm="1">
        <f t="array" ref="U266">IF(T266="","",_xlfn.XLOOKUP(G266,[1]Sheet1!$G:$G,[1]Sheet1!$U:$W))</f>
        <v/>
      </c>
      <c r="X266" s="15" t="str">
        <f>IF(Sheet2!G266="","",Sheet2!G266&amp;"''")</f>
        <v/>
      </c>
    </row>
    <row r="267" spans="7:24" x14ac:dyDescent="0.25">
      <c r="G267" s="15" t="str">
        <f>IF(Sheet2!A267="","",Sheet2!A267)</f>
        <v/>
      </c>
      <c r="H267" s="18" t="str">
        <f>IF(Sheet2!O267="","",LEFT(Sheet2!O267, FIND(" ", Sheet2!O267)-1))</f>
        <v/>
      </c>
      <c r="I267" s="15" t="str">
        <f>IF(Sheet2!S267&lt;19,ROUND(Sheet2!I267,2)&amp;"'",IF(Sheet2!S267&lt;25,ROUND(Sheet2!J267,2)&amp;"'",IF(Sheet2!S267&lt;31,ROUND(Sheet2!K267,2)&amp;"'",IF(Sheet2!S267&lt;37,ROUND(Sheet2!L267,2)&amp;"'",""))))</f>
        <v/>
      </c>
      <c r="L267" s="15" t="str">
        <f>IF(Sheet2!D267="","",Sheet2!D267&amp;"''")</f>
        <v/>
      </c>
      <c r="O267" s="16" t="str">
        <f>IF(Sheet2!H267="","",ROUND(Sheet2!H267,2)&amp;"'")</f>
        <v/>
      </c>
      <c r="P267" s="18" t="str">
        <f>IF(Sheet2!E267="","",Sheet2!E267&amp;"''")</f>
        <v/>
      </c>
      <c r="Q267" s="12" t="str" cm="1">
        <f t="array" ref="Q267">IF(P267="","",_xlfn.XLOOKUP(G267,[1]Sheet1!$G:$G,[1]Sheet1!$Q:$S))</f>
        <v/>
      </c>
      <c r="T267" s="15" t="str">
        <f>IF(Sheet2!F267="","",Sheet2!F267&amp;"""")</f>
        <v/>
      </c>
      <c r="U267" s="12" t="str" cm="1">
        <f t="array" ref="U267">IF(T267="","",_xlfn.XLOOKUP(G267,[1]Sheet1!$G:$G,[1]Sheet1!$U:$W))</f>
        <v/>
      </c>
      <c r="X267" s="15" t="str">
        <f>IF(Sheet2!G267="","",Sheet2!G267&amp;"''")</f>
        <v/>
      </c>
    </row>
    <row r="268" spans="7:24" x14ac:dyDescent="0.25">
      <c r="G268" s="15" t="str">
        <f>IF(Sheet2!A268="","",Sheet2!A268)</f>
        <v/>
      </c>
      <c r="H268" s="18" t="str">
        <f>IF(Sheet2!O268="","",LEFT(Sheet2!O268, FIND(" ", Sheet2!O268)-1))</f>
        <v/>
      </c>
      <c r="I268" s="15" t="str">
        <f>IF(Sheet2!S268&lt;19,ROUND(Sheet2!I268,2)&amp;"'",IF(Sheet2!S268&lt;25,ROUND(Sheet2!J268,2)&amp;"'",IF(Sheet2!S268&lt;31,ROUND(Sheet2!K268,2)&amp;"'",IF(Sheet2!S268&lt;37,ROUND(Sheet2!L268,2)&amp;"'",""))))</f>
        <v/>
      </c>
      <c r="L268" s="15" t="str">
        <f>IF(Sheet2!D268="","",Sheet2!D268&amp;"''")</f>
        <v/>
      </c>
      <c r="O268" s="16" t="str">
        <f>IF(Sheet2!H268="","",ROUND(Sheet2!H268,2)&amp;"'")</f>
        <v/>
      </c>
      <c r="P268" s="18" t="str">
        <f>IF(Sheet2!E268="","",Sheet2!E268&amp;"''")</f>
        <v/>
      </c>
      <c r="Q268" s="12" t="str" cm="1">
        <f t="array" ref="Q268">IF(P268="","",_xlfn.XLOOKUP(G268,[1]Sheet1!$G:$G,[1]Sheet1!$Q:$S))</f>
        <v/>
      </c>
      <c r="T268" s="15" t="str">
        <f>IF(Sheet2!F268="","",Sheet2!F268&amp;"""")</f>
        <v/>
      </c>
      <c r="U268" s="12" t="str" cm="1">
        <f t="array" ref="U268">IF(T268="","",_xlfn.XLOOKUP(G268,[1]Sheet1!$G:$G,[1]Sheet1!$U:$W))</f>
        <v/>
      </c>
      <c r="X268" s="15" t="str">
        <f>IF(Sheet2!G268="","",Sheet2!G268&amp;"''")</f>
        <v/>
      </c>
    </row>
    <row r="269" spans="7:24" x14ac:dyDescent="0.25">
      <c r="G269" s="15" t="str">
        <f>IF(Sheet2!A269="","",Sheet2!A269)</f>
        <v/>
      </c>
      <c r="H269" s="18" t="str">
        <f>IF(Sheet2!O269="","",LEFT(Sheet2!O269, FIND(" ", Sheet2!O269)-1))</f>
        <v/>
      </c>
      <c r="I269" s="15" t="str">
        <f>IF(Sheet2!S269&lt;19,ROUND(Sheet2!I269,2)&amp;"'",IF(Sheet2!S269&lt;25,ROUND(Sheet2!J269,2)&amp;"'",IF(Sheet2!S269&lt;31,ROUND(Sheet2!K269,2)&amp;"'",IF(Sheet2!S269&lt;37,ROUND(Sheet2!L269,2)&amp;"'",""))))</f>
        <v/>
      </c>
      <c r="L269" s="15" t="str">
        <f>IF(Sheet2!D269="","",Sheet2!D269&amp;"''")</f>
        <v/>
      </c>
      <c r="O269" s="16" t="str">
        <f>IF(Sheet2!H269="","",ROUND(Sheet2!H269,2)&amp;"'")</f>
        <v/>
      </c>
      <c r="P269" s="18" t="str">
        <f>IF(Sheet2!E269="","",Sheet2!E269&amp;"''")</f>
        <v/>
      </c>
      <c r="Q269" s="12" t="str" cm="1">
        <f t="array" ref="Q269">IF(P269="","",_xlfn.XLOOKUP(G269,[1]Sheet1!$G:$G,[1]Sheet1!$Q:$S))</f>
        <v/>
      </c>
      <c r="T269" s="15" t="str">
        <f>IF(Sheet2!F269="","",Sheet2!F269&amp;"""")</f>
        <v/>
      </c>
      <c r="U269" s="12" t="str" cm="1">
        <f t="array" ref="U269">IF(T269="","",_xlfn.XLOOKUP(G269,[1]Sheet1!$G:$G,[1]Sheet1!$U:$W))</f>
        <v/>
      </c>
      <c r="X269" s="15" t="str">
        <f>IF(Sheet2!G269="","",Sheet2!G269&amp;"''")</f>
        <v/>
      </c>
    </row>
    <row r="270" spans="7:24" x14ac:dyDescent="0.25">
      <c r="G270" s="15" t="str">
        <f>IF(Sheet2!A270="","",Sheet2!A270)</f>
        <v/>
      </c>
      <c r="H270" s="18" t="str">
        <f>IF(Sheet2!O270="","",LEFT(Sheet2!O270, FIND(" ", Sheet2!O270)-1))</f>
        <v/>
      </c>
      <c r="I270" s="15" t="str">
        <f>IF(Sheet2!S270&lt;19,ROUND(Sheet2!I270,2)&amp;"'",IF(Sheet2!S270&lt;25,ROUND(Sheet2!J270,2)&amp;"'",IF(Sheet2!S270&lt;31,ROUND(Sheet2!K270,2)&amp;"'",IF(Sheet2!S270&lt;37,ROUND(Sheet2!L270,2)&amp;"'",""))))</f>
        <v/>
      </c>
      <c r="L270" s="15" t="str">
        <f>IF(Sheet2!D270="","",Sheet2!D270&amp;"''")</f>
        <v/>
      </c>
      <c r="O270" s="16" t="str">
        <f>IF(Sheet2!H270="","",ROUND(Sheet2!H270,2)&amp;"'")</f>
        <v/>
      </c>
      <c r="P270" s="18" t="str">
        <f>IF(Sheet2!E270="","",Sheet2!E270&amp;"''")</f>
        <v/>
      </c>
      <c r="Q270" s="12" t="str" cm="1">
        <f t="array" ref="Q270">IF(P270="","",_xlfn.XLOOKUP(G270,[1]Sheet1!$G:$G,[1]Sheet1!$Q:$S))</f>
        <v/>
      </c>
      <c r="T270" s="15" t="str">
        <f>IF(Sheet2!F270="","",Sheet2!F270&amp;"""")</f>
        <v/>
      </c>
      <c r="U270" s="12" t="str" cm="1">
        <f t="array" ref="U270">IF(T270="","",_xlfn.XLOOKUP(G270,[1]Sheet1!$G:$G,[1]Sheet1!$U:$W))</f>
        <v/>
      </c>
      <c r="X270" s="15" t="str">
        <f>IF(Sheet2!G270="","",Sheet2!G270&amp;"''")</f>
        <v/>
      </c>
    </row>
    <row r="271" spans="7:24" x14ac:dyDescent="0.25">
      <c r="G271" s="15" t="str">
        <f>IF(Sheet2!A271="","",Sheet2!A271)</f>
        <v/>
      </c>
      <c r="H271" s="18" t="str">
        <f>IF(Sheet2!O271="","",LEFT(Sheet2!O271, FIND(" ", Sheet2!O271)-1))</f>
        <v/>
      </c>
      <c r="I271" s="15" t="str">
        <f>IF(Sheet2!S271&lt;19,ROUND(Sheet2!I271,2)&amp;"'",IF(Sheet2!S271&lt;25,ROUND(Sheet2!J271,2)&amp;"'",IF(Sheet2!S271&lt;31,ROUND(Sheet2!K271,2)&amp;"'",IF(Sheet2!S271&lt;37,ROUND(Sheet2!L271,2)&amp;"'",""))))</f>
        <v/>
      </c>
      <c r="L271" s="15" t="str">
        <f>IF(Sheet2!D271="","",Sheet2!D271&amp;"''")</f>
        <v/>
      </c>
      <c r="O271" s="16" t="str">
        <f>IF(Sheet2!H271="","",ROUND(Sheet2!H271,2)&amp;"'")</f>
        <v/>
      </c>
      <c r="P271" s="18" t="str">
        <f>IF(Sheet2!E271="","",Sheet2!E271&amp;"''")</f>
        <v/>
      </c>
      <c r="Q271" s="12" t="str" cm="1">
        <f t="array" ref="Q271">IF(P271="","",_xlfn.XLOOKUP(G271,[1]Sheet1!$G:$G,[1]Sheet1!$Q:$S))</f>
        <v/>
      </c>
      <c r="T271" s="15" t="str">
        <f>IF(Sheet2!F271="","",Sheet2!F271&amp;"""")</f>
        <v/>
      </c>
      <c r="U271" s="12" t="str" cm="1">
        <f t="array" ref="U271">IF(T271="","",_xlfn.XLOOKUP(G271,[1]Sheet1!$G:$G,[1]Sheet1!$U:$W))</f>
        <v/>
      </c>
      <c r="X271" s="15" t="str">
        <f>IF(Sheet2!G271="","",Sheet2!G271&amp;"''")</f>
        <v/>
      </c>
    </row>
    <row r="272" spans="7:24" x14ac:dyDescent="0.25">
      <c r="G272" s="15" t="str">
        <f>IF(Sheet2!A272="","",Sheet2!A272)</f>
        <v/>
      </c>
      <c r="H272" s="18" t="str">
        <f>IF(Sheet2!O272="","",LEFT(Sheet2!O272, FIND(" ", Sheet2!O272)-1))</f>
        <v/>
      </c>
      <c r="I272" s="15" t="str">
        <f>IF(Sheet2!S272&lt;19,ROUND(Sheet2!I272,2)&amp;"'",IF(Sheet2!S272&lt;25,ROUND(Sheet2!J272,2)&amp;"'",IF(Sheet2!S272&lt;31,ROUND(Sheet2!K272,2)&amp;"'",IF(Sheet2!S272&lt;37,ROUND(Sheet2!L272,2)&amp;"'",""))))</f>
        <v/>
      </c>
      <c r="L272" s="15" t="str">
        <f>IF(Sheet2!D272="","",Sheet2!D272&amp;"''")</f>
        <v/>
      </c>
      <c r="O272" s="16" t="str">
        <f>IF(Sheet2!H272="","",ROUND(Sheet2!H272,2)&amp;"'")</f>
        <v/>
      </c>
      <c r="P272" s="18" t="str">
        <f>IF(Sheet2!E272="","",Sheet2!E272&amp;"''")</f>
        <v/>
      </c>
      <c r="Q272" s="12" t="str" cm="1">
        <f t="array" ref="Q272">IF(P272="","",_xlfn.XLOOKUP(G272,[1]Sheet1!$G:$G,[1]Sheet1!$Q:$S))</f>
        <v/>
      </c>
      <c r="T272" s="15" t="str">
        <f>IF(Sheet2!F272="","",Sheet2!F272&amp;"""")</f>
        <v/>
      </c>
      <c r="U272" s="12" t="str" cm="1">
        <f t="array" ref="U272">IF(T272="","",_xlfn.XLOOKUP(G272,[1]Sheet1!$G:$G,[1]Sheet1!$U:$W))</f>
        <v/>
      </c>
      <c r="X272" s="15" t="str">
        <f>IF(Sheet2!G272="","",Sheet2!G272&amp;"''")</f>
        <v/>
      </c>
    </row>
    <row r="273" spans="7:24" x14ac:dyDescent="0.25">
      <c r="G273" s="15" t="str">
        <f>IF(Sheet2!A273="","",Sheet2!A273)</f>
        <v/>
      </c>
      <c r="H273" s="18" t="str">
        <f>IF(Sheet2!O273="","",LEFT(Sheet2!O273, FIND(" ", Sheet2!O273)-1))</f>
        <v/>
      </c>
      <c r="I273" s="15" t="str">
        <f>IF(Sheet2!S273&lt;19,ROUND(Sheet2!I273,2)&amp;"'",IF(Sheet2!S273&lt;25,ROUND(Sheet2!J273,2)&amp;"'",IF(Sheet2!S273&lt;31,ROUND(Sheet2!K273,2)&amp;"'",IF(Sheet2!S273&lt;37,ROUND(Sheet2!L273,2)&amp;"'",""))))</f>
        <v/>
      </c>
      <c r="L273" s="15" t="str">
        <f>IF(Sheet2!D273="","",Sheet2!D273&amp;"''")</f>
        <v/>
      </c>
      <c r="O273" s="16" t="str">
        <f>IF(Sheet2!H273="","",ROUND(Sheet2!H273,2)&amp;"'")</f>
        <v/>
      </c>
      <c r="P273" s="18" t="str">
        <f>IF(Sheet2!E273="","",Sheet2!E273&amp;"''")</f>
        <v/>
      </c>
      <c r="Q273" s="12" t="str" cm="1">
        <f t="array" ref="Q273">IF(P273="","",_xlfn.XLOOKUP(G273,[1]Sheet1!$G:$G,[1]Sheet1!$Q:$S))</f>
        <v/>
      </c>
      <c r="T273" s="15" t="str">
        <f>IF(Sheet2!F273="","",Sheet2!F273&amp;"""")</f>
        <v/>
      </c>
      <c r="U273" s="12" t="str" cm="1">
        <f t="array" ref="U273">IF(T273="","",_xlfn.XLOOKUP(G273,[1]Sheet1!$G:$G,[1]Sheet1!$U:$W))</f>
        <v/>
      </c>
      <c r="X273" s="15" t="str">
        <f>IF(Sheet2!G273="","",Sheet2!G273&amp;"''")</f>
        <v/>
      </c>
    </row>
    <row r="274" spans="7:24" x14ac:dyDescent="0.25">
      <c r="G274" s="15" t="str">
        <f>IF(Sheet2!A274="","",Sheet2!A274)</f>
        <v/>
      </c>
      <c r="H274" s="18" t="str">
        <f>IF(Sheet2!O274="","",LEFT(Sheet2!O274, FIND(" ", Sheet2!O274)-1))</f>
        <v/>
      </c>
      <c r="I274" s="15" t="str">
        <f>IF(Sheet2!S274&lt;19,ROUND(Sheet2!I274,2)&amp;"'",IF(Sheet2!S274&lt;25,ROUND(Sheet2!J274,2)&amp;"'",IF(Sheet2!S274&lt;31,ROUND(Sheet2!K274,2)&amp;"'",IF(Sheet2!S274&lt;37,ROUND(Sheet2!L274,2)&amp;"'",""))))</f>
        <v/>
      </c>
      <c r="L274" s="15" t="str">
        <f>IF(Sheet2!D274="","",Sheet2!D274&amp;"''")</f>
        <v/>
      </c>
      <c r="O274" s="16" t="str">
        <f>IF(Sheet2!H274="","",ROUND(Sheet2!H274,2)&amp;"'")</f>
        <v/>
      </c>
      <c r="P274" s="18" t="str">
        <f>IF(Sheet2!E274="","",Sheet2!E274&amp;"''")</f>
        <v/>
      </c>
      <c r="Q274" s="12" t="str" cm="1">
        <f t="array" ref="Q274">IF(P274="","",_xlfn.XLOOKUP(G274,[1]Sheet1!$G:$G,[1]Sheet1!$Q:$S))</f>
        <v/>
      </c>
      <c r="T274" s="15" t="str">
        <f>IF(Sheet2!F274="","",Sheet2!F274&amp;"""")</f>
        <v/>
      </c>
      <c r="U274" s="12" t="str" cm="1">
        <f t="array" ref="U274">IF(T274="","",_xlfn.XLOOKUP(G274,[1]Sheet1!$G:$G,[1]Sheet1!$U:$W))</f>
        <v/>
      </c>
      <c r="X274" s="15" t="str">
        <f>IF(Sheet2!G274="","",Sheet2!G274&amp;"''")</f>
        <v/>
      </c>
    </row>
    <row r="275" spans="7:24" x14ac:dyDescent="0.25">
      <c r="G275" s="15" t="str">
        <f>IF(Sheet2!A275="","",Sheet2!A275)</f>
        <v/>
      </c>
      <c r="H275" s="18" t="str">
        <f>IF(Sheet2!O275="","",LEFT(Sheet2!O275, FIND(" ", Sheet2!O275)-1))</f>
        <v/>
      </c>
      <c r="I275" s="15" t="str">
        <f>IF(Sheet2!S275&lt;19,ROUND(Sheet2!I275,2)&amp;"'",IF(Sheet2!S275&lt;25,ROUND(Sheet2!J275,2)&amp;"'",IF(Sheet2!S275&lt;31,ROUND(Sheet2!K275,2)&amp;"'",IF(Sheet2!S275&lt;37,ROUND(Sheet2!L275,2)&amp;"'",""))))</f>
        <v/>
      </c>
      <c r="L275" s="15" t="str">
        <f>IF(Sheet2!D275="","",Sheet2!D275&amp;"''")</f>
        <v/>
      </c>
      <c r="O275" s="16" t="str">
        <f>IF(Sheet2!H275="","",ROUND(Sheet2!H275,2)&amp;"'")</f>
        <v/>
      </c>
      <c r="P275" s="18" t="str">
        <f>IF(Sheet2!E275="","",Sheet2!E275&amp;"''")</f>
        <v/>
      </c>
      <c r="Q275" s="12" t="str" cm="1">
        <f t="array" ref="Q275">IF(P275="","",_xlfn.XLOOKUP(G275,[1]Sheet1!$G:$G,[1]Sheet1!$Q:$S))</f>
        <v/>
      </c>
      <c r="T275" s="15" t="str">
        <f>IF(Sheet2!F275="","",Sheet2!F275&amp;"""")</f>
        <v/>
      </c>
      <c r="U275" s="12" t="str" cm="1">
        <f t="array" ref="U275">IF(T275="","",_xlfn.XLOOKUP(G275,[1]Sheet1!$G:$G,[1]Sheet1!$U:$W))</f>
        <v/>
      </c>
      <c r="X275" s="15" t="str">
        <f>IF(Sheet2!G275="","",Sheet2!G275&amp;"''")</f>
        <v/>
      </c>
    </row>
    <row r="276" spans="7:24" x14ac:dyDescent="0.25">
      <c r="G276" s="15" t="str">
        <f>IF(Sheet2!A276="","",Sheet2!A276)</f>
        <v/>
      </c>
      <c r="H276" s="18" t="str">
        <f>IF(Sheet2!O276="","",LEFT(Sheet2!O276, FIND(" ", Sheet2!O276)-1))</f>
        <v/>
      </c>
      <c r="I276" s="15" t="str">
        <f>IF(Sheet2!S276&lt;19,ROUND(Sheet2!I276,2)&amp;"'",IF(Sheet2!S276&lt;25,ROUND(Sheet2!J276,2)&amp;"'",IF(Sheet2!S276&lt;31,ROUND(Sheet2!K276,2)&amp;"'",IF(Sheet2!S276&lt;37,ROUND(Sheet2!L276,2)&amp;"'",""))))</f>
        <v/>
      </c>
      <c r="L276" s="15" t="str">
        <f>IF(Sheet2!D276="","",Sheet2!D276&amp;"''")</f>
        <v/>
      </c>
      <c r="O276" s="16" t="str">
        <f>IF(Sheet2!H276="","",ROUND(Sheet2!H276,2)&amp;"'")</f>
        <v/>
      </c>
      <c r="P276" s="18" t="str">
        <f>IF(Sheet2!E276="","",Sheet2!E276&amp;"''")</f>
        <v/>
      </c>
      <c r="Q276" s="12" t="str" cm="1">
        <f t="array" ref="Q276">IF(P276="","",_xlfn.XLOOKUP(G276,[1]Sheet1!$G:$G,[1]Sheet1!$Q:$S))</f>
        <v/>
      </c>
      <c r="T276" s="15" t="str">
        <f>IF(Sheet2!F276="","",Sheet2!F276&amp;"""")</f>
        <v/>
      </c>
      <c r="U276" s="12" t="str" cm="1">
        <f t="array" ref="U276">IF(T276="","",_xlfn.XLOOKUP(G276,[1]Sheet1!$G:$G,[1]Sheet1!$U:$W))</f>
        <v/>
      </c>
      <c r="X276" s="15" t="str">
        <f>IF(Sheet2!G276="","",Sheet2!G276&amp;"''")</f>
        <v/>
      </c>
    </row>
    <row r="277" spans="7:24" x14ac:dyDescent="0.25">
      <c r="G277" s="15" t="str">
        <f>IF(Sheet2!A277="","",Sheet2!A277)</f>
        <v/>
      </c>
      <c r="H277" s="18" t="str">
        <f>IF(Sheet2!O277="","",LEFT(Sheet2!O277, FIND(" ", Sheet2!O277)-1))</f>
        <v/>
      </c>
      <c r="I277" s="15" t="str">
        <f>IF(Sheet2!S277&lt;19,ROUND(Sheet2!I277,2)&amp;"'",IF(Sheet2!S277&lt;25,ROUND(Sheet2!J277,2)&amp;"'",IF(Sheet2!S277&lt;31,ROUND(Sheet2!K277,2)&amp;"'",IF(Sheet2!S277&lt;37,ROUND(Sheet2!L277,2)&amp;"'",""))))</f>
        <v/>
      </c>
      <c r="L277" s="15" t="str">
        <f>IF(Sheet2!D277="","",Sheet2!D277&amp;"''")</f>
        <v/>
      </c>
      <c r="O277" s="16" t="str">
        <f>IF(Sheet2!H277="","",ROUND(Sheet2!H277,2)&amp;"'")</f>
        <v/>
      </c>
      <c r="P277" s="18" t="str">
        <f>IF(Sheet2!E277="","",Sheet2!E277&amp;"''")</f>
        <v/>
      </c>
      <c r="Q277" s="12" t="str" cm="1">
        <f t="array" ref="Q277">IF(P277="","",_xlfn.XLOOKUP(G277,[1]Sheet1!$G:$G,[1]Sheet1!$Q:$S))</f>
        <v/>
      </c>
      <c r="T277" s="15" t="str">
        <f>IF(Sheet2!F277="","",Sheet2!F277&amp;"""")</f>
        <v/>
      </c>
      <c r="U277" s="12" t="str" cm="1">
        <f t="array" ref="U277">IF(T277="","",_xlfn.XLOOKUP(G277,[1]Sheet1!$G:$G,[1]Sheet1!$U:$W))</f>
        <v/>
      </c>
      <c r="X277" s="15" t="str">
        <f>IF(Sheet2!G277="","",Sheet2!G277&amp;"''")</f>
        <v/>
      </c>
    </row>
    <row r="278" spans="7:24" x14ac:dyDescent="0.25">
      <c r="G278" s="15" t="str">
        <f>IF(Sheet2!A278="","",Sheet2!A278)</f>
        <v/>
      </c>
      <c r="H278" s="18" t="str">
        <f>IF(Sheet2!O278="","",LEFT(Sheet2!O278, FIND(" ", Sheet2!O278)-1))</f>
        <v/>
      </c>
      <c r="I278" s="15" t="str">
        <f>IF(Sheet2!S278&lt;19,ROUND(Sheet2!I278,2)&amp;"'",IF(Sheet2!S278&lt;25,ROUND(Sheet2!J278,2)&amp;"'",IF(Sheet2!S278&lt;31,ROUND(Sheet2!K278,2)&amp;"'",IF(Sheet2!S278&lt;37,ROUND(Sheet2!L278,2)&amp;"'",""))))</f>
        <v/>
      </c>
      <c r="L278" s="15" t="str">
        <f>IF(Sheet2!D278="","",Sheet2!D278&amp;"''")</f>
        <v/>
      </c>
      <c r="O278" s="16" t="str">
        <f>IF(Sheet2!H278="","",ROUND(Sheet2!H278,2)&amp;"'")</f>
        <v/>
      </c>
      <c r="P278" s="18" t="str">
        <f>IF(Sheet2!E278="","",Sheet2!E278&amp;"''")</f>
        <v/>
      </c>
      <c r="Q278" s="12" t="str" cm="1">
        <f t="array" ref="Q278">IF(P278="","",_xlfn.XLOOKUP(G278,[1]Sheet1!$G:$G,[1]Sheet1!$Q:$S))</f>
        <v/>
      </c>
      <c r="T278" s="15" t="str">
        <f>IF(Sheet2!F278="","",Sheet2!F278&amp;"""")</f>
        <v/>
      </c>
      <c r="U278" s="12" t="str" cm="1">
        <f t="array" ref="U278">IF(T278="","",_xlfn.XLOOKUP(G278,[1]Sheet1!$G:$G,[1]Sheet1!$U:$W))</f>
        <v/>
      </c>
      <c r="X278" s="15" t="str">
        <f>IF(Sheet2!G278="","",Sheet2!G278&amp;"''")</f>
        <v/>
      </c>
    </row>
    <row r="279" spans="7:24" x14ac:dyDescent="0.25">
      <c r="G279" s="15" t="str">
        <f>IF(Sheet2!A279="","",Sheet2!A279)</f>
        <v/>
      </c>
      <c r="H279" s="18" t="str">
        <f>IF(Sheet2!O279="","",LEFT(Sheet2!O279, FIND(" ", Sheet2!O279)-1))</f>
        <v/>
      </c>
      <c r="I279" s="15" t="str">
        <f>IF(Sheet2!S279&lt;19,ROUND(Sheet2!I279,2)&amp;"'",IF(Sheet2!S279&lt;25,ROUND(Sheet2!J279,2)&amp;"'",IF(Sheet2!S279&lt;31,ROUND(Sheet2!K279,2)&amp;"'",IF(Sheet2!S279&lt;37,ROUND(Sheet2!L279,2)&amp;"'",""))))</f>
        <v/>
      </c>
      <c r="L279" s="15" t="str">
        <f>IF(Sheet2!D279="","",Sheet2!D279&amp;"''")</f>
        <v/>
      </c>
      <c r="O279" s="16" t="str">
        <f>IF(Sheet2!H279="","",ROUND(Sheet2!H279,2)&amp;"'")</f>
        <v/>
      </c>
      <c r="P279" s="18" t="str">
        <f>IF(Sheet2!E279="","",Sheet2!E279&amp;"''")</f>
        <v/>
      </c>
      <c r="Q279" s="12" t="str" cm="1">
        <f t="array" ref="Q279">IF(P279="","",_xlfn.XLOOKUP(G279,[1]Sheet1!$G:$G,[1]Sheet1!$Q:$S))</f>
        <v/>
      </c>
      <c r="T279" s="15" t="str">
        <f>IF(Sheet2!F279="","",Sheet2!F279&amp;"""")</f>
        <v/>
      </c>
      <c r="U279" s="12" t="str" cm="1">
        <f t="array" ref="U279">IF(T279="","",_xlfn.XLOOKUP(G279,[1]Sheet1!$G:$G,[1]Sheet1!$U:$W))</f>
        <v/>
      </c>
      <c r="X279" s="15" t="str">
        <f>IF(Sheet2!G279="","",Sheet2!G279&amp;"''")</f>
        <v/>
      </c>
    </row>
    <row r="280" spans="7:24" x14ac:dyDescent="0.25">
      <c r="G280" s="15" t="str">
        <f>IF(Sheet2!A280="","",Sheet2!A280)</f>
        <v/>
      </c>
      <c r="H280" s="18" t="str">
        <f>IF(Sheet2!O280="","",LEFT(Sheet2!O280, FIND(" ", Sheet2!O280)-1))</f>
        <v/>
      </c>
      <c r="I280" s="15" t="str">
        <f>IF(Sheet2!S280&lt;19,ROUND(Sheet2!I280,2)&amp;"'",IF(Sheet2!S280&lt;25,ROUND(Sheet2!J280,2)&amp;"'",IF(Sheet2!S280&lt;31,ROUND(Sheet2!K280,2)&amp;"'",IF(Sheet2!S280&lt;37,ROUND(Sheet2!L280,2)&amp;"'",""))))</f>
        <v/>
      </c>
      <c r="L280" s="15" t="str">
        <f>IF(Sheet2!D280="","",Sheet2!D280&amp;"''")</f>
        <v/>
      </c>
      <c r="O280" s="16" t="str">
        <f>IF(Sheet2!H280="","",ROUND(Sheet2!H280,2)&amp;"'")</f>
        <v/>
      </c>
      <c r="P280" s="18" t="str">
        <f>IF(Sheet2!E280="","",Sheet2!E280&amp;"''")</f>
        <v/>
      </c>
      <c r="Q280" s="12" t="str" cm="1">
        <f t="array" ref="Q280">IF(P280="","",_xlfn.XLOOKUP(G280,[1]Sheet1!$G:$G,[1]Sheet1!$Q:$S))</f>
        <v/>
      </c>
      <c r="T280" s="15" t="str">
        <f>IF(Sheet2!F280="","",Sheet2!F280&amp;"""")</f>
        <v/>
      </c>
      <c r="U280" s="12" t="str" cm="1">
        <f t="array" ref="U280">IF(T280="","",_xlfn.XLOOKUP(G280,[1]Sheet1!$G:$G,[1]Sheet1!$U:$W))</f>
        <v/>
      </c>
      <c r="X280" s="15" t="str">
        <f>IF(Sheet2!G280="","",Sheet2!G280&amp;"''")</f>
        <v/>
      </c>
    </row>
    <row r="281" spans="7:24" x14ac:dyDescent="0.25">
      <c r="G281" s="15" t="str">
        <f>IF(Sheet2!A281="","",Sheet2!A281)</f>
        <v/>
      </c>
      <c r="H281" s="18" t="str">
        <f>IF(Sheet2!O281="","",LEFT(Sheet2!O281, FIND(" ", Sheet2!O281)-1))</f>
        <v/>
      </c>
      <c r="I281" s="15" t="str">
        <f>IF(Sheet2!S281&lt;19,ROUND(Sheet2!I281,2)&amp;"'",IF(Sheet2!S281&lt;25,ROUND(Sheet2!J281,2)&amp;"'",IF(Sheet2!S281&lt;31,ROUND(Sheet2!K281,2)&amp;"'",IF(Sheet2!S281&lt;37,ROUND(Sheet2!L281,2)&amp;"'",""))))</f>
        <v/>
      </c>
      <c r="L281" s="15" t="str">
        <f>IF(Sheet2!D281="","",Sheet2!D281&amp;"''")</f>
        <v/>
      </c>
      <c r="O281" s="16" t="str">
        <f>IF(Sheet2!H281="","",ROUND(Sheet2!H281,2)&amp;"'")</f>
        <v/>
      </c>
      <c r="P281" s="18" t="str">
        <f>IF(Sheet2!E281="","",Sheet2!E281&amp;"''")</f>
        <v/>
      </c>
      <c r="Q281" s="12" t="str" cm="1">
        <f t="array" ref="Q281">IF(P281="","",_xlfn.XLOOKUP(G281,[1]Sheet1!$G:$G,[1]Sheet1!$Q:$S))</f>
        <v/>
      </c>
      <c r="T281" s="15" t="str">
        <f>IF(Sheet2!F281="","",Sheet2!F281&amp;"""")</f>
        <v/>
      </c>
      <c r="U281" s="12" t="str" cm="1">
        <f t="array" ref="U281">IF(T281="","",_xlfn.XLOOKUP(G281,[1]Sheet1!$G:$G,[1]Sheet1!$U:$W))</f>
        <v/>
      </c>
      <c r="X281" s="15" t="str">
        <f>IF(Sheet2!G281="","",Sheet2!G281&amp;"''")</f>
        <v/>
      </c>
    </row>
    <row r="282" spans="7:24" x14ac:dyDescent="0.25">
      <c r="G282" s="15" t="str">
        <f>IF(Sheet2!A282="","",Sheet2!A282)</f>
        <v/>
      </c>
      <c r="H282" s="18" t="str">
        <f>IF(Sheet2!O282="","",LEFT(Sheet2!O282, FIND(" ", Sheet2!O282)-1))</f>
        <v/>
      </c>
      <c r="I282" s="15" t="str">
        <f>IF(Sheet2!S282&lt;19,ROUND(Sheet2!I282,2)&amp;"'",IF(Sheet2!S282&lt;25,ROUND(Sheet2!J282,2)&amp;"'",IF(Sheet2!S282&lt;31,ROUND(Sheet2!K282,2)&amp;"'",IF(Sheet2!S282&lt;37,ROUND(Sheet2!L282,2)&amp;"'",""))))</f>
        <v/>
      </c>
      <c r="L282" s="15" t="str">
        <f>IF(Sheet2!D282="","",Sheet2!D282&amp;"''")</f>
        <v/>
      </c>
      <c r="O282" s="16" t="str">
        <f>IF(Sheet2!H282="","",ROUND(Sheet2!H282,2)&amp;"'")</f>
        <v/>
      </c>
      <c r="P282" s="18" t="str">
        <f>IF(Sheet2!E282="","",Sheet2!E282&amp;"''")</f>
        <v/>
      </c>
      <c r="Q282" s="12" t="str" cm="1">
        <f t="array" ref="Q282">IF(P282="","",_xlfn.XLOOKUP(G282,[1]Sheet1!$G:$G,[1]Sheet1!$Q:$S))</f>
        <v/>
      </c>
      <c r="T282" s="15" t="str">
        <f>IF(Sheet2!F282="","",Sheet2!F282&amp;"""")</f>
        <v/>
      </c>
      <c r="U282" s="12" t="str" cm="1">
        <f t="array" ref="U282">IF(T282="","",_xlfn.XLOOKUP(G282,[1]Sheet1!$G:$G,[1]Sheet1!$U:$W))</f>
        <v/>
      </c>
      <c r="X282" s="15" t="str">
        <f>IF(Sheet2!G282="","",Sheet2!G282&amp;"''")</f>
        <v/>
      </c>
    </row>
    <row r="283" spans="7:24" x14ac:dyDescent="0.25">
      <c r="G283" s="15" t="str">
        <f>IF(Sheet2!A283="","",Sheet2!A283)</f>
        <v/>
      </c>
      <c r="H283" s="18" t="str">
        <f>IF(Sheet2!O283="","",LEFT(Sheet2!O283, FIND(" ", Sheet2!O283)-1))</f>
        <v/>
      </c>
      <c r="I283" s="15" t="str">
        <f>IF(Sheet2!S283&lt;19,ROUND(Sheet2!I283,2)&amp;"'",IF(Sheet2!S283&lt;25,ROUND(Sheet2!J283,2)&amp;"'",IF(Sheet2!S283&lt;31,ROUND(Sheet2!K283,2)&amp;"'",IF(Sheet2!S283&lt;37,ROUND(Sheet2!L283,2)&amp;"'",""))))</f>
        <v/>
      </c>
      <c r="L283" s="15" t="str">
        <f>IF(Sheet2!D283="","",Sheet2!D283&amp;"''")</f>
        <v/>
      </c>
      <c r="O283" s="16" t="str">
        <f>IF(Sheet2!H283="","",ROUND(Sheet2!H283,2)&amp;"'")</f>
        <v/>
      </c>
      <c r="P283" s="18" t="str">
        <f>IF(Sheet2!E283="","",Sheet2!E283&amp;"''")</f>
        <v/>
      </c>
      <c r="Q283" s="12" t="str" cm="1">
        <f t="array" ref="Q283">IF(P283="","",_xlfn.XLOOKUP(G283,[1]Sheet1!$G:$G,[1]Sheet1!$Q:$S))</f>
        <v/>
      </c>
      <c r="T283" s="15" t="str">
        <f>IF(Sheet2!F283="","",Sheet2!F283&amp;"""")</f>
        <v/>
      </c>
      <c r="U283" s="12" t="str" cm="1">
        <f t="array" ref="U283">IF(T283="","",_xlfn.XLOOKUP(G283,[1]Sheet1!$G:$G,[1]Sheet1!$U:$W))</f>
        <v/>
      </c>
      <c r="X283" s="15" t="str">
        <f>IF(Sheet2!G283="","",Sheet2!G283&amp;"''")</f>
        <v/>
      </c>
    </row>
    <row r="284" spans="7:24" x14ac:dyDescent="0.25">
      <c r="G284" s="15" t="str">
        <f>IF(Sheet2!A284="","",Sheet2!A284)</f>
        <v/>
      </c>
      <c r="H284" s="18" t="str">
        <f>IF(Sheet2!O284="","",LEFT(Sheet2!O284, FIND(" ", Sheet2!O284)-1))</f>
        <v/>
      </c>
      <c r="I284" s="15" t="str">
        <f>IF(Sheet2!S284&lt;19,ROUND(Sheet2!I284,2)&amp;"'",IF(Sheet2!S284&lt;25,ROUND(Sheet2!J284,2)&amp;"'",IF(Sheet2!S284&lt;31,ROUND(Sheet2!K284,2)&amp;"'",IF(Sheet2!S284&lt;37,ROUND(Sheet2!L284,2)&amp;"'",""))))</f>
        <v/>
      </c>
      <c r="L284" s="15" t="str">
        <f>IF(Sheet2!D284="","",Sheet2!D284&amp;"''")</f>
        <v/>
      </c>
      <c r="O284" s="16" t="str">
        <f>IF(Sheet2!H284="","",ROUND(Sheet2!H284,2)&amp;"'")</f>
        <v/>
      </c>
      <c r="P284" s="18" t="str">
        <f>IF(Sheet2!E284="","",Sheet2!E284&amp;"''")</f>
        <v/>
      </c>
      <c r="Q284" s="12" t="str" cm="1">
        <f t="array" ref="Q284">IF(P284="","",_xlfn.XLOOKUP(G284,[1]Sheet1!$G:$G,[1]Sheet1!$Q:$S))</f>
        <v/>
      </c>
      <c r="T284" s="15" t="str">
        <f>IF(Sheet2!F284="","",Sheet2!F284&amp;"""")</f>
        <v/>
      </c>
      <c r="U284" s="12" t="str" cm="1">
        <f t="array" ref="U284">IF(T284="","",_xlfn.XLOOKUP(G284,[1]Sheet1!$G:$G,[1]Sheet1!$U:$W))</f>
        <v/>
      </c>
      <c r="X284" s="15" t="str">
        <f>IF(Sheet2!G284="","",Sheet2!G284&amp;"''")</f>
        <v/>
      </c>
    </row>
    <row r="285" spans="7:24" x14ac:dyDescent="0.25">
      <c r="G285" s="15" t="str">
        <f>IF(Sheet2!A285="","",Sheet2!A285)</f>
        <v/>
      </c>
      <c r="H285" s="18" t="str">
        <f>IF(Sheet2!O285="","",LEFT(Sheet2!O285, FIND(" ", Sheet2!O285)-1))</f>
        <v/>
      </c>
      <c r="I285" s="15" t="str">
        <f>IF(Sheet2!S285&lt;19,ROUND(Sheet2!I285,2)&amp;"'",IF(Sheet2!S285&lt;25,ROUND(Sheet2!J285,2)&amp;"'",IF(Sheet2!S285&lt;31,ROUND(Sheet2!K285,2)&amp;"'",IF(Sheet2!S285&lt;37,ROUND(Sheet2!L285,2)&amp;"'",""))))</f>
        <v/>
      </c>
      <c r="L285" s="15" t="str">
        <f>IF(Sheet2!D285="","",Sheet2!D285&amp;"''")</f>
        <v/>
      </c>
      <c r="O285" s="16" t="str">
        <f>IF(Sheet2!H285="","",ROUND(Sheet2!H285,2)&amp;"'")</f>
        <v/>
      </c>
      <c r="P285" s="18" t="str">
        <f>IF(Sheet2!E285="","",Sheet2!E285&amp;"''")</f>
        <v/>
      </c>
      <c r="Q285" s="12" t="str" cm="1">
        <f t="array" ref="Q285">IF(P285="","",_xlfn.XLOOKUP(G285,[1]Sheet1!$G:$G,[1]Sheet1!$Q:$S))</f>
        <v/>
      </c>
      <c r="T285" s="15" t="str">
        <f>IF(Sheet2!F285="","",Sheet2!F285&amp;"""")</f>
        <v/>
      </c>
      <c r="U285" s="12" t="str" cm="1">
        <f t="array" ref="U285">IF(T285="","",_xlfn.XLOOKUP(G285,[1]Sheet1!$G:$G,[1]Sheet1!$U:$W))</f>
        <v/>
      </c>
      <c r="X285" s="15" t="str">
        <f>IF(Sheet2!G285="","",Sheet2!G285&amp;"''")</f>
        <v/>
      </c>
    </row>
    <row r="286" spans="7:24" x14ac:dyDescent="0.25">
      <c r="G286" s="15" t="str">
        <f>IF(Sheet2!A286="","",Sheet2!A286)</f>
        <v/>
      </c>
      <c r="H286" s="18" t="str">
        <f>IF(Sheet2!O286="","",LEFT(Sheet2!O286, FIND(" ", Sheet2!O286)-1))</f>
        <v/>
      </c>
      <c r="I286" s="15" t="str">
        <f>IF(Sheet2!S286&lt;19,ROUND(Sheet2!I286,2)&amp;"'",IF(Sheet2!S286&lt;25,ROUND(Sheet2!J286,2)&amp;"'",IF(Sheet2!S286&lt;31,ROUND(Sheet2!K286,2)&amp;"'",IF(Sheet2!S286&lt;37,ROUND(Sheet2!L286,2)&amp;"'",""))))</f>
        <v/>
      </c>
      <c r="L286" s="15" t="str">
        <f>IF(Sheet2!D286="","",Sheet2!D286&amp;"''")</f>
        <v/>
      </c>
      <c r="O286" s="16" t="str">
        <f>IF(Sheet2!H286="","",ROUND(Sheet2!H286,2)&amp;"'")</f>
        <v/>
      </c>
      <c r="P286" s="18" t="str">
        <f>IF(Sheet2!E286="","",Sheet2!E286&amp;"''")</f>
        <v/>
      </c>
      <c r="Q286" s="12" t="str" cm="1">
        <f t="array" ref="Q286">IF(P286="","",_xlfn.XLOOKUP(G286,[1]Sheet1!$G:$G,[1]Sheet1!$Q:$S))</f>
        <v/>
      </c>
      <c r="T286" s="15" t="str">
        <f>IF(Sheet2!F286="","",Sheet2!F286&amp;"""")</f>
        <v/>
      </c>
      <c r="U286" s="12" t="str" cm="1">
        <f t="array" ref="U286">IF(T286="","",_xlfn.XLOOKUP(G286,[1]Sheet1!$G:$G,[1]Sheet1!$U:$W))</f>
        <v/>
      </c>
      <c r="X286" s="15" t="str">
        <f>IF(Sheet2!G286="","",Sheet2!G286&amp;"''")</f>
        <v/>
      </c>
    </row>
    <row r="287" spans="7:24" x14ac:dyDescent="0.25">
      <c r="G287" s="15" t="str">
        <f>IF(Sheet2!A287="","",Sheet2!A287)</f>
        <v/>
      </c>
      <c r="H287" s="18" t="str">
        <f>IF(Sheet2!O287="","",LEFT(Sheet2!O287, FIND(" ", Sheet2!O287)-1))</f>
        <v/>
      </c>
      <c r="I287" s="15" t="str">
        <f>IF(Sheet2!S287&lt;19,ROUND(Sheet2!I287,2)&amp;"'",IF(Sheet2!S287&lt;25,ROUND(Sheet2!J287,2)&amp;"'",IF(Sheet2!S287&lt;31,ROUND(Sheet2!K287,2)&amp;"'",IF(Sheet2!S287&lt;37,ROUND(Sheet2!L287,2)&amp;"'",""))))</f>
        <v/>
      </c>
      <c r="L287" s="15" t="str">
        <f>IF(Sheet2!D287="","",Sheet2!D287&amp;"''")</f>
        <v/>
      </c>
      <c r="O287" s="16" t="str">
        <f>IF(Sheet2!H287="","",ROUND(Sheet2!H287,2)&amp;"'")</f>
        <v/>
      </c>
      <c r="P287" s="18" t="str">
        <f>IF(Sheet2!E287="","",Sheet2!E287&amp;"''")</f>
        <v/>
      </c>
      <c r="Q287" s="12" t="str" cm="1">
        <f t="array" ref="Q287">IF(P287="","",_xlfn.XLOOKUP(G287,[1]Sheet1!$G:$G,[1]Sheet1!$Q:$S))</f>
        <v/>
      </c>
      <c r="T287" s="15" t="str">
        <f>IF(Sheet2!F287="","",Sheet2!F287&amp;"""")</f>
        <v/>
      </c>
      <c r="U287" s="12" t="str" cm="1">
        <f t="array" ref="U287">IF(T287="","",_xlfn.XLOOKUP(G287,[1]Sheet1!$G:$G,[1]Sheet1!$U:$W))</f>
        <v/>
      </c>
      <c r="X287" s="15" t="str">
        <f>IF(Sheet2!G287="","",Sheet2!G287&amp;"''")</f>
        <v/>
      </c>
    </row>
    <row r="288" spans="7:24" x14ac:dyDescent="0.25">
      <c r="G288" s="15" t="str">
        <f>IF(Sheet2!A288="","",Sheet2!A288)</f>
        <v/>
      </c>
      <c r="H288" s="18" t="str">
        <f>IF(Sheet2!O288="","",LEFT(Sheet2!O288, FIND(" ", Sheet2!O288)-1))</f>
        <v/>
      </c>
      <c r="I288" s="15" t="str">
        <f>IF(Sheet2!S288&lt;19,ROUND(Sheet2!I288,2)&amp;"'",IF(Sheet2!S288&lt;25,ROUND(Sheet2!J288,2)&amp;"'",IF(Sheet2!S288&lt;31,ROUND(Sheet2!K288,2)&amp;"'",IF(Sheet2!S288&lt;37,ROUND(Sheet2!L288,2)&amp;"'",""))))</f>
        <v/>
      </c>
      <c r="L288" s="15" t="str">
        <f>IF(Sheet2!D288="","",Sheet2!D288&amp;"''")</f>
        <v/>
      </c>
      <c r="O288" s="16" t="str">
        <f>IF(Sheet2!H288="","",ROUND(Sheet2!H288,2)&amp;"'")</f>
        <v/>
      </c>
      <c r="P288" s="18" t="str">
        <f>IF(Sheet2!E288="","",Sheet2!E288&amp;"''")</f>
        <v/>
      </c>
      <c r="Q288" s="12" t="str" cm="1">
        <f t="array" ref="Q288">IF(P288="","",_xlfn.XLOOKUP(G288,[1]Sheet1!$G:$G,[1]Sheet1!$Q:$S))</f>
        <v/>
      </c>
      <c r="T288" s="15" t="str">
        <f>IF(Sheet2!F288="","",Sheet2!F288&amp;"""")</f>
        <v/>
      </c>
      <c r="U288" s="12" t="str" cm="1">
        <f t="array" ref="U288">IF(T288="","",_xlfn.XLOOKUP(G288,[1]Sheet1!$G:$G,[1]Sheet1!$U:$W))</f>
        <v/>
      </c>
      <c r="X288" s="15" t="str">
        <f>IF(Sheet2!G288="","",Sheet2!G288&amp;"''")</f>
        <v/>
      </c>
    </row>
    <row r="289" spans="7:24" x14ac:dyDescent="0.25">
      <c r="G289" s="15" t="str">
        <f>IF(Sheet2!A289="","",Sheet2!A289)</f>
        <v/>
      </c>
      <c r="H289" s="18" t="str">
        <f>IF(Sheet2!O289="","",LEFT(Sheet2!O289, FIND(" ", Sheet2!O289)-1))</f>
        <v/>
      </c>
      <c r="I289" s="15" t="str">
        <f>IF(Sheet2!S289&lt;19,ROUND(Sheet2!I289,2)&amp;"'",IF(Sheet2!S289&lt;25,ROUND(Sheet2!J289,2)&amp;"'",IF(Sheet2!S289&lt;31,ROUND(Sheet2!K289,2)&amp;"'",IF(Sheet2!S289&lt;37,ROUND(Sheet2!L289,2)&amp;"'",""))))</f>
        <v/>
      </c>
      <c r="L289" s="15" t="str">
        <f>IF(Sheet2!D289="","",Sheet2!D289&amp;"''")</f>
        <v/>
      </c>
      <c r="O289" s="16" t="str">
        <f>IF(Sheet2!H289="","",ROUND(Sheet2!H289,2)&amp;"'")</f>
        <v/>
      </c>
      <c r="P289" s="18" t="str">
        <f>IF(Sheet2!E289="","",Sheet2!E289&amp;"''")</f>
        <v/>
      </c>
      <c r="Q289" s="12" t="str" cm="1">
        <f t="array" ref="Q289">IF(P289="","",_xlfn.XLOOKUP(G289,[1]Sheet1!$G:$G,[1]Sheet1!$Q:$S))</f>
        <v/>
      </c>
      <c r="T289" s="15" t="str">
        <f>IF(Sheet2!F289="","",Sheet2!F289&amp;"""")</f>
        <v/>
      </c>
      <c r="U289" s="12" t="str" cm="1">
        <f t="array" ref="U289">IF(T289="","",_xlfn.XLOOKUP(G289,[1]Sheet1!$G:$G,[1]Sheet1!$U:$W))</f>
        <v/>
      </c>
      <c r="X289" s="15" t="str">
        <f>IF(Sheet2!G289="","",Sheet2!G289&amp;"''")</f>
        <v/>
      </c>
    </row>
    <row r="290" spans="7:24" x14ac:dyDescent="0.25">
      <c r="G290" s="15" t="str">
        <f>IF(Sheet2!A290="","",Sheet2!A290)</f>
        <v/>
      </c>
      <c r="H290" s="18" t="str">
        <f>IF(Sheet2!O290="","",LEFT(Sheet2!O290, FIND(" ", Sheet2!O290)-1))</f>
        <v/>
      </c>
      <c r="I290" s="15" t="str">
        <f>IF(Sheet2!S290&lt;19,ROUND(Sheet2!I290,2)&amp;"'",IF(Sheet2!S290&lt;25,ROUND(Sheet2!J290,2)&amp;"'",IF(Sheet2!S290&lt;31,ROUND(Sheet2!K290,2)&amp;"'",IF(Sheet2!S290&lt;37,ROUND(Sheet2!L290,2)&amp;"'",""))))</f>
        <v/>
      </c>
      <c r="L290" s="15" t="str">
        <f>IF(Sheet2!D290="","",Sheet2!D290&amp;"''")</f>
        <v/>
      </c>
      <c r="O290" s="16" t="str">
        <f>IF(Sheet2!H290="","",ROUND(Sheet2!H290,2)&amp;"'")</f>
        <v/>
      </c>
      <c r="P290" s="18" t="str">
        <f>IF(Sheet2!E290="","",Sheet2!E290&amp;"''")</f>
        <v/>
      </c>
      <c r="Q290" s="12" t="str" cm="1">
        <f t="array" ref="Q290">IF(P290="","",_xlfn.XLOOKUP(G290,[1]Sheet1!$G:$G,[1]Sheet1!$Q:$S))</f>
        <v/>
      </c>
      <c r="T290" s="15" t="str">
        <f>IF(Sheet2!F290="","",Sheet2!F290&amp;"""")</f>
        <v/>
      </c>
      <c r="U290" s="12" t="str" cm="1">
        <f t="array" ref="U290">IF(T290="","",_xlfn.XLOOKUP(G290,[1]Sheet1!$G:$G,[1]Sheet1!$U:$W))</f>
        <v/>
      </c>
      <c r="X290" s="15" t="str">
        <f>IF(Sheet2!G290="","",Sheet2!G290&amp;"''")</f>
        <v/>
      </c>
    </row>
    <row r="291" spans="7:24" x14ac:dyDescent="0.25">
      <c r="G291" s="15" t="str">
        <f>IF(Sheet2!A291="","",Sheet2!A291)</f>
        <v/>
      </c>
      <c r="H291" s="18" t="str">
        <f>IF(Sheet2!O291="","",LEFT(Sheet2!O291, FIND(" ", Sheet2!O291)-1))</f>
        <v/>
      </c>
      <c r="I291" s="15" t="str">
        <f>IF(Sheet2!S291&lt;19,ROUND(Sheet2!I291,2)&amp;"'",IF(Sheet2!S291&lt;25,ROUND(Sheet2!J291,2)&amp;"'",IF(Sheet2!S291&lt;31,ROUND(Sheet2!K291,2)&amp;"'",IF(Sheet2!S291&lt;37,ROUND(Sheet2!L291,2)&amp;"'",""))))</f>
        <v/>
      </c>
      <c r="L291" s="15" t="str">
        <f>IF(Sheet2!D291="","",Sheet2!D291&amp;"''")</f>
        <v/>
      </c>
      <c r="O291" s="16" t="str">
        <f>IF(Sheet2!H291="","",ROUND(Sheet2!H291,2)&amp;"'")</f>
        <v/>
      </c>
      <c r="P291" s="18" t="str">
        <f>IF(Sheet2!E291="","",Sheet2!E291&amp;"''")</f>
        <v/>
      </c>
      <c r="Q291" s="12" t="str" cm="1">
        <f t="array" ref="Q291">IF(P291="","",_xlfn.XLOOKUP(G291,[1]Sheet1!$G:$G,[1]Sheet1!$Q:$S))</f>
        <v/>
      </c>
      <c r="T291" s="15" t="str">
        <f>IF(Sheet2!F291="","",Sheet2!F291&amp;"""")</f>
        <v/>
      </c>
      <c r="U291" s="12" t="str" cm="1">
        <f t="array" ref="U291">IF(T291="","",_xlfn.XLOOKUP(G291,[1]Sheet1!$G:$G,[1]Sheet1!$U:$W))</f>
        <v/>
      </c>
      <c r="X291" s="15" t="str">
        <f>IF(Sheet2!G291="","",Sheet2!G291&amp;"''")</f>
        <v/>
      </c>
    </row>
    <row r="292" spans="7:24" x14ac:dyDescent="0.25">
      <c r="G292" s="15" t="str">
        <f>IF(Sheet2!A292="","",Sheet2!A292)</f>
        <v/>
      </c>
      <c r="H292" s="18" t="str">
        <f>IF(Sheet2!O292="","",LEFT(Sheet2!O292, FIND(" ", Sheet2!O292)-1))</f>
        <v/>
      </c>
      <c r="I292" s="15" t="str">
        <f>IF(Sheet2!S292&lt;19,ROUND(Sheet2!I292,2)&amp;"'",IF(Sheet2!S292&lt;25,ROUND(Sheet2!J292,2)&amp;"'",IF(Sheet2!S292&lt;31,ROUND(Sheet2!K292,2)&amp;"'",IF(Sheet2!S292&lt;37,ROUND(Sheet2!L292,2)&amp;"'",""))))</f>
        <v/>
      </c>
      <c r="L292" s="15" t="str">
        <f>IF(Sheet2!D292="","",Sheet2!D292&amp;"''")</f>
        <v/>
      </c>
      <c r="O292" s="16" t="str">
        <f>IF(Sheet2!H292="","",ROUND(Sheet2!H292,2)&amp;"'")</f>
        <v/>
      </c>
      <c r="P292" s="18" t="str">
        <f>IF(Sheet2!E292="","",Sheet2!E292&amp;"''")</f>
        <v/>
      </c>
      <c r="Q292" s="12" t="str" cm="1">
        <f t="array" ref="Q292">IF(P292="","",_xlfn.XLOOKUP(G292,[1]Sheet1!$G:$G,[1]Sheet1!$Q:$S))</f>
        <v/>
      </c>
      <c r="T292" s="15" t="str">
        <f>IF(Sheet2!F292="","",Sheet2!F292&amp;"""")</f>
        <v/>
      </c>
      <c r="U292" s="12" t="str" cm="1">
        <f t="array" ref="U292">IF(T292="","",_xlfn.XLOOKUP(G292,[1]Sheet1!$G:$G,[1]Sheet1!$U:$W))</f>
        <v/>
      </c>
      <c r="X292" s="15" t="str">
        <f>IF(Sheet2!G292="","",Sheet2!G292&amp;"''")</f>
        <v/>
      </c>
    </row>
    <row r="293" spans="7:24" x14ac:dyDescent="0.25">
      <c r="G293" s="15" t="str">
        <f>IF(Sheet2!A293="","",Sheet2!A293)</f>
        <v/>
      </c>
      <c r="H293" s="18" t="str">
        <f>IF(Sheet2!O293="","",LEFT(Sheet2!O293, FIND(" ", Sheet2!O293)-1))</f>
        <v/>
      </c>
      <c r="I293" s="15" t="str">
        <f>IF(Sheet2!S293&lt;19,ROUND(Sheet2!I293,2)&amp;"'",IF(Sheet2!S293&lt;25,ROUND(Sheet2!J293,2)&amp;"'",IF(Sheet2!S293&lt;31,ROUND(Sheet2!K293,2)&amp;"'",IF(Sheet2!S293&lt;37,ROUND(Sheet2!L293,2)&amp;"'",""))))</f>
        <v/>
      </c>
      <c r="L293" s="15" t="str">
        <f>IF(Sheet2!D293="","",Sheet2!D293&amp;"''")</f>
        <v/>
      </c>
      <c r="O293" s="16" t="str">
        <f>IF(Sheet2!H293="","",ROUND(Sheet2!H293,2)&amp;"'")</f>
        <v/>
      </c>
      <c r="P293" s="18" t="str">
        <f>IF(Sheet2!E293="","",Sheet2!E293&amp;"''")</f>
        <v/>
      </c>
      <c r="Q293" s="12" t="str" cm="1">
        <f t="array" ref="Q293">IF(P293="","",_xlfn.XLOOKUP(G293,[1]Sheet1!$G:$G,[1]Sheet1!$Q:$S))</f>
        <v/>
      </c>
      <c r="T293" s="15" t="str">
        <f>IF(Sheet2!F293="","",Sheet2!F293&amp;"""")</f>
        <v/>
      </c>
      <c r="U293" s="12" t="str" cm="1">
        <f t="array" ref="U293">IF(T293="","",_xlfn.XLOOKUP(G293,[1]Sheet1!$G:$G,[1]Sheet1!$U:$W))</f>
        <v/>
      </c>
      <c r="X293" s="15" t="str">
        <f>IF(Sheet2!G293="","",Sheet2!G293&amp;"''")</f>
        <v/>
      </c>
    </row>
    <row r="294" spans="7:24" x14ac:dyDescent="0.25">
      <c r="G294" s="15" t="str">
        <f>IF(Sheet2!A294="","",Sheet2!A294)</f>
        <v/>
      </c>
      <c r="H294" s="18" t="str">
        <f>IF(Sheet2!O294="","",LEFT(Sheet2!O294, FIND(" ", Sheet2!O294)-1))</f>
        <v/>
      </c>
      <c r="I294" s="15" t="str">
        <f>IF(Sheet2!S294&lt;19,ROUND(Sheet2!I294,2)&amp;"'",IF(Sheet2!S294&lt;25,ROUND(Sheet2!J294,2)&amp;"'",IF(Sheet2!S294&lt;31,ROUND(Sheet2!K294,2)&amp;"'",IF(Sheet2!S294&lt;37,ROUND(Sheet2!L294,2)&amp;"'",""))))</f>
        <v/>
      </c>
      <c r="L294" s="15" t="str">
        <f>IF(Sheet2!D294="","",Sheet2!D294&amp;"''")</f>
        <v/>
      </c>
      <c r="O294" s="16" t="str">
        <f>IF(Sheet2!H294="","",ROUND(Sheet2!H294,2)&amp;"'")</f>
        <v/>
      </c>
      <c r="P294" s="18" t="str">
        <f>IF(Sheet2!E294="","",Sheet2!E294&amp;"''")</f>
        <v/>
      </c>
      <c r="Q294" s="12" t="str" cm="1">
        <f t="array" ref="Q294">IF(P294="","",_xlfn.XLOOKUP(G294,[1]Sheet1!$G:$G,[1]Sheet1!$Q:$S))</f>
        <v/>
      </c>
      <c r="T294" s="15" t="str">
        <f>IF(Sheet2!F294="","",Sheet2!F294&amp;"""")</f>
        <v/>
      </c>
      <c r="U294" s="12" t="str" cm="1">
        <f t="array" ref="U294">IF(T294="","",_xlfn.XLOOKUP(G294,[1]Sheet1!$G:$G,[1]Sheet1!$U:$W))</f>
        <v/>
      </c>
      <c r="X294" s="15" t="str">
        <f>IF(Sheet2!G294="","",Sheet2!G294&amp;"''")</f>
        <v/>
      </c>
    </row>
    <row r="295" spans="7:24" x14ac:dyDescent="0.25">
      <c r="G295" s="15" t="str">
        <f>IF(Sheet2!A295="","",Sheet2!A295)</f>
        <v/>
      </c>
      <c r="H295" s="18" t="str">
        <f>IF(Sheet2!O295="","",LEFT(Sheet2!O295, FIND(" ", Sheet2!O295)-1))</f>
        <v/>
      </c>
      <c r="I295" s="15" t="str">
        <f>IF(Sheet2!S295&lt;19,ROUND(Sheet2!I295,2)&amp;"'",IF(Sheet2!S295&lt;25,ROUND(Sheet2!J295,2)&amp;"'",IF(Sheet2!S295&lt;31,ROUND(Sheet2!K295,2)&amp;"'",IF(Sheet2!S295&lt;37,ROUND(Sheet2!L295,2)&amp;"'",""))))</f>
        <v/>
      </c>
      <c r="L295" s="15" t="str">
        <f>IF(Sheet2!D295="","",Sheet2!D295&amp;"''")</f>
        <v/>
      </c>
      <c r="O295" s="16" t="str">
        <f>IF(Sheet2!H295="","",ROUND(Sheet2!H295,2)&amp;"'")</f>
        <v/>
      </c>
      <c r="P295" s="18" t="str">
        <f>IF(Sheet2!E295="","",Sheet2!E295&amp;"''")</f>
        <v/>
      </c>
      <c r="Q295" s="12" t="str" cm="1">
        <f t="array" ref="Q295">IF(P295="","",_xlfn.XLOOKUP(G295,[1]Sheet1!$G:$G,[1]Sheet1!$Q:$S))</f>
        <v/>
      </c>
      <c r="T295" s="15" t="str">
        <f>IF(Sheet2!F295="","",Sheet2!F295&amp;"""")</f>
        <v/>
      </c>
      <c r="U295" s="12" t="str" cm="1">
        <f t="array" ref="U295">IF(T295="","",_xlfn.XLOOKUP(G295,[1]Sheet1!$G:$G,[1]Sheet1!$U:$W))</f>
        <v/>
      </c>
      <c r="X295" s="15" t="str">
        <f>IF(Sheet2!G295="","",Sheet2!G295&amp;"''")</f>
        <v/>
      </c>
    </row>
    <row r="296" spans="7:24" x14ac:dyDescent="0.25">
      <c r="G296" s="15" t="str">
        <f>IF(Sheet2!A296="","",Sheet2!A296)</f>
        <v/>
      </c>
      <c r="H296" s="18" t="str">
        <f>IF(Sheet2!O296="","",LEFT(Sheet2!O296, FIND(" ", Sheet2!O296)-1))</f>
        <v/>
      </c>
      <c r="I296" s="15" t="str">
        <f>IF(Sheet2!S296&lt;19,ROUND(Sheet2!I296,2)&amp;"'",IF(Sheet2!S296&lt;25,ROUND(Sheet2!J296,2)&amp;"'",IF(Sheet2!S296&lt;31,ROUND(Sheet2!K296,2)&amp;"'",IF(Sheet2!S296&lt;37,ROUND(Sheet2!L296,2)&amp;"'",""))))</f>
        <v/>
      </c>
      <c r="L296" s="15" t="str">
        <f>IF(Sheet2!D296="","",Sheet2!D296&amp;"''")</f>
        <v/>
      </c>
      <c r="O296" s="16" t="str">
        <f>IF(Sheet2!H296="","",ROUND(Sheet2!H296,2)&amp;"'")</f>
        <v/>
      </c>
      <c r="P296" s="18" t="str">
        <f>IF(Sheet2!E296="","",Sheet2!E296&amp;"''")</f>
        <v/>
      </c>
      <c r="Q296" s="12" t="str" cm="1">
        <f t="array" ref="Q296">IF(P296="","",_xlfn.XLOOKUP(G296,[1]Sheet1!$G:$G,[1]Sheet1!$Q:$S))</f>
        <v/>
      </c>
      <c r="T296" s="15" t="str">
        <f>IF(Sheet2!F296="","",Sheet2!F296&amp;"""")</f>
        <v/>
      </c>
      <c r="U296" s="12" t="str" cm="1">
        <f t="array" ref="U296">IF(T296="","",_xlfn.XLOOKUP(G296,[1]Sheet1!$G:$G,[1]Sheet1!$U:$W))</f>
        <v/>
      </c>
      <c r="X296" s="15" t="str">
        <f>IF(Sheet2!G296="","",Sheet2!G296&amp;"''")</f>
        <v/>
      </c>
    </row>
    <row r="297" spans="7:24" x14ac:dyDescent="0.25">
      <c r="G297" s="15" t="str">
        <f>IF(Sheet2!A297="","",Sheet2!A297)</f>
        <v/>
      </c>
      <c r="H297" s="18" t="str">
        <f>IF(Sheet2!O297="","",LEFT(Sheet2!O297, FIND(" ", Sheet2!O297)-1))</f>
        <v/>
      </c>
      <c r="I297" s="15" t="str">
        <f>IF(Sheet2!S297&lt;19,ROUND(Sheet2!I297,2)&amp;"'",IF(Sheet2!S297&lt;25,ROUND(Sheet2!J297,2)&amp;"'",IF(Sheet2!S297&lt;31,ROUND(Sheet2!K297,2)&amp;"'",IF(Sheet2!S297&lt;37,ROUND(Sheet2!L297,2)&amp;"'",""))))</f>
        <v/>
      </c>
      <c r="L297" s="15" t="str">
        <f>IF(Sheet2!D297="","",Sheet2!D297&amp;"''")</f>
        <v/>
      </c>
      <c r="O297" s="16" t="str">
        <f>IF(Sheet2!H297="","",ROUND(Sheet2!H297,2)&amp;"'")</f>
        <v/>
      </c>
      <c r="P297" s="18" t="str">
        <f>IF(Sheet2!E297="","",Sheet2!E297&amp;"''")</f>
        <v/>
      </c>
      <c r="Q297" s="12" t="str" cm="1">
        <f t="array" ref="Q297">IF(P297="","",_xlfn.XLOOKUP(G297,[1]Sheet1!$G:$G,[1]Sheet1!$Q:$S))</f>
        <v/>
      </c>
      <c r="T297" s="15" t="str">
        <f>IF(Sheet2!F297="","",Sheet2!F297&amp;"""")</f>
        <v/>
      </c>
      <c r="U297" s="12" t="str" cm="1">
        <f t="array" ref="U297">IF(T297="","",_xlfn.XLOOKUP(G297,[1]Sheet1!$G:$G,[1]Sheet1!$U:$W))</f>
        <v/>
      </c>
      <c r="X297" s="15" t="str">
        <f>IF(Sheet2!G297="","",Sheet2!G297&amp;"''")</f>
        <v/>
      </c>
    </row>
    <row r="298" spans="7:24" x14ac:dyDescent="0.25">
      <c r="G298" s="15" t="str">
        <f>IF(Sheet2!A298="","",Sheet2!A298)</f>
        <v/>
      </c>
      <c r="H298" s="18" t="str">
        <f>IF(Sheet2!O298="","",LEFT(Sheet2!O298, FIND(" ", Sheet2!O298)-1))</f>
        <v/>
      </c>
      <c r="I298" s="15" t="str">
        <f>IF(Sheet2!S298&lt;19,ROUND(Sheet2!I298,2)&amp;"'",IF(Sheet2!S298&lt;25,ROUND(Sheet2!J298,2)&amp;"'",IF(Sheet2!S298&lt;31,ROUND(Sheet2!K298,2)&amp;"'",IF(Sheet2!S298&lt;37,ROUND(Sheet2!L298,2)&amp;"'",""))))</f>
        <v/>
      </c>
      <c r="L298" s="15" t="str">
        <f>IF(Sheet2!D298="","",Sheet2!D298&amp;"''")</f>
        <v/>
      </c>
      <c r="O298" s="16" t="str">
        <f>IF(Sheet2!H298="","",ROUND(Sheet2!H298,2)&amp;"'")</f>
        <v/>
      </c>
      <c r="P298" s="18" t="str">
        <f>IF(Sheet2!E298="","",Sheet2!E298&amp;"''")</f>
        <v/>
      </c>
      <c r="Q298" s="12" t="str" cm="1">
        <f t="array" ref="Q298">IF(P298="","",_xlfn.XLOOKUP(G298,[1]Sheet1!$G:$G,[1]Sheet1!$Q:$S))</f>
        <v/>
      </c>
      <c r="T298" s="15" t="str">
        <f>IF(Sheet2!F298="","",Sheet2!F298&amp;"""")</f>
        <v/>
      </c>
      <c r="U298" s="12" t="str" cm="1">
        <f t="array" ref="U298">IF(T298="","",_xlfn.XLOOKUP(G298,[1]Sheet1!$G:$G,[1]Sheet1!$U:$W))</f>
        <v/>
      </c>
      <c r="X298" s="15" t="str">
        <f>IF(Sheet2!G298="","",Sheet2!G298&amp;"''")</f>
        <v/>
      </c>
    </row>
    <row r="299" spans="7:24" x14ac:dyDescent="0.25">
      <c r="G299" s="15" t="str">
        <f>IF(Sheet2!A299="","",Sheet2!A299)</f>
        <v/>
      </c>
      <c r="H299" s="18" t="str">
        <f>IF(Sheet2!O299="","",LEFT(Sheet2!O299, FIND(" ", Sheet2!O299)-1))</f>
        <v/>
      </c>
      <c r="I299" s="15" t="str">
        <f>IF(Sheet2!S299&lt;19,ROUND(Sheet2!I299,2)&amp;"'",IF(Sheet2!S299&lt;25,ROUND(Sheet2!J299,2)&amp;"'",IF(Sheet2!S299&lt;31,ROUND(Sheet2!K299,2)&amp;"'",IF(Sheet2!S299&lt;37,ROUND(Sheet2!L299,2)&amp;"'",""))))</f>
        <v/>
      </c>
      <c r="L299" s="15" t="str">
        <f>IF(Sheet2!D299="","",Sheet2!D299&amp;"''")</f>
        <v/>
      </c>
      <c r="O299" s="16" t="str">
        <f>IF(Sheet2!H299="","",ROUND(Sheet2!H299,2)&amp;"'")</f>
        <v/>
      </c>
      <c r="P299" s="18" t="str">
        <f>IF(Sheet2!E299="","",Sheet2!E299&amp;"''")</f>
        <v/>
      </c>
      <c r="Q299" s="12" t="str" cm="1">
        <f t="array" ref="Q299">IF(P299="","",_xlfn.XLOOKUP(G299,[1]Sheet1!$G:$G,[1]Sheet1!$Q:$S))</f>
        <v/>
      </c>
      <c r="T299" s="15" t="str">
        <f>IF(Sheet2!F299="","",Sheet2!F299&amp;"""")</f>
        <v/>
      </c>
      <c r="U299" s="12" t="str" cm="1">
        <f t="array" ref="U299">IF(T299="","",_xlfn.XLOOKUP(G299,[1]Sheet1!$G:$G,[1]Sheet1!$U:$W))</f>
        <v/>
      </c>
      <c r="X299" s="15" t="str">
        <f>IF(Sheet2!G299="","",Sheet2!G299&amp;"''")</f>
        <v/>
      </c>
    </row>
    <row r="300" spans="7:24" x14ac:dyDescent="0.25">
      <c r="G300" s="15" t="str">
        <f>IF(Sheet2!A300="","",Sheet2!A300)</f>
        <v/>
      </c>
      <c r="H300" s="18" t="str">
        <f>IF(Sheet2!O300="","",LEFT(Sheet2!O300, FIND(" ", Sheet2!O300)-1))</f>
        <v/>
      </c>
      <c r="I300" s="15" t="str">
        <f>IF(Sheet2!S300&lt;19,ROUND(Sheet2!I300,2)&amp;"'",IF(Sheet2!S300&lt;25,ROUND(Sheet2!J300,2)&amp;"'",IF(Sheet2!S300&lt;31,ROUND(Sheet2!K300,2)&amp;"'",IF(Sheet2!S300&lt;37,ROUND(Sheet2!L300,2)&amp;"'",""))))</f>
        <v/>
      </c>
      <c r="L300" s="15" t="str">
        <f>IF(Sheet2!D300="","",Sheet2!D300&amp;"''")</f>
        <v/>
      </c>
      <c r="O300" s="16" t="str">
        <f>IF(Sheet2!H300="","",ROUND(Sheet2!H300,2)&amp;"'")</f>
        <v/>
      </c>
      <c r="P300" s="18" t="str">
        <f>IF(Sheet2!E300="","",Sheet2!E300&amp;"''")</f>
        <v/>
      </c>
      <c r="Q300" s="12" t="str" cm="1">
        <f t="array" ref="Q300">IF(P300="","",_xlfn.XLOOKUP(G300,[1]Sheet1!$G:$G,[1]Sheet1!$Q:$S))</f>
        <v/>
      </c>
      <c r="T300" s="15" t="str">
        <f>IF(Sheet2!F300="","",Sheet2!F300&amp;"""")</f>
        <v/>
      </c>
      <c r="U300" s="12" t="str" cm="1">
        <f t="array" ref="U300">IF(T300="","",_xlfn.XLOOKUP(G300,[1]Sheet1!$G:$G,[1]Sheet1!$U:$W))</f>
        <v/>
      </c>
      <c r="X300" s="15" t="str">
        <f>IF(Sheet2!G300="","",Sheet2!G300&amp;"''")</f>
        <v/>
      </c>
    </row>
    <row r="301" spans="7:24" x14ac:dyDescent="0.25">
      <c r="G301" s="15" t="str">
        <f>IF(Sheet2!A301="","",Sheet2!A301)</f>
        <v/>
      </c>
      <c r="H301" s="18" t="str">
        <f>IF(Sheet2!O301="","",LEFT(Sheet2!O301, FIND(" ", Sheet2!O301)-1))</f>
        <v/>
      </c>
      <c r="I301" s="15" t="str">
        <f>IF(Sheet2!S301&lt;19,ROUND(Sheet2!I301,2)&amp;"'",IF(Sheet2!S301&lt;25,ROUND(Sheet2!J301,2)&amp;"'",IF(Sheet2!S301&lt;31,ROUND(Sheet2!K301,2)&amp;"'",IF(Sheet2!S301&lt;37,ROUND(Sheet2!L301,2)&amp;"'",""))))</f>
        <v/>
      </c>
      <c r="L301" s="15" t="str">
        <f>IF(Sheet2!D301="","",Sheet2!D301&amp;"''")</f>
        <v/>
      </c>
      <c r="O301" s="16" t="str">
        <f>IF(Sheet2!H301="","",ROUND(Sheet2!H301,2)&amp;"'")</f>
        <v/>
      </c>
      <c r="P301" s="18" t="str">
        <f>IF(Sheet2!E301="","",Sheet2!E301&amp;"''")</f>
        <v/>
      </c>
      <c r="Q301" s="12" t="str" cm="1">
        <f t="array" ref="Q301">IF(P301="","",_xlfn.XLOOKUP(G301,[1]Sheet1!$G:$G,[1]Sheet1!$Q:$S))</f>
        <v/>
      </c>
      <c r="T301" s="15" t="str">
        <f>IF(Sheet2!F301="","",Sheet2!F301&amp;"""")</f>
        <v/>
      </c>
      <c r="U301" s="12" t="str" cm="1">
        <f t="array" ref="U301">IF(T301="","",_xlfn.XLOOKUP(G301,[1]Sheet1!$G:$G,[1]Sheet1!$U:$W))</f>
        <v/>
      </c>
      <c r="X301" s="15" t="str">
        <f>IF(Sheet2!G301="","",Sheet2!G301&amp;"''")</f>
        <v/>
      </c>
    </row>
    <row r="302" spans="7:24" x14ac:dyDescent="0.25">
      <c r="G302" s="15" t="str">
        <f>IF(Sheet2!A302="","",Sheet2!A302)</f>
        <v/>
      </c>
      <c r="H302" s="18" t="str">
        <f>IF(Sheet2!O302="","",LEFT(Sheet2!O302, FIND(" ", Sheet2!O302)-1))</f>
        <v/>
      </c>
      <c r="I302" s="15" t="str">
        <f>IF(Sheet2!S302&lt;19,ROUND(Sheet2!I302,2)&amp;"'",IF(Sheet2!S302&lt;25,ROUND(Sheet2!J302,2)&amp;"'",IF(Sheet2!S302&lt;31,ROUND(Sheet2!K302,2)&amp;"'",IF(Sheet2!S302&lt;37,ROUND(Sheet2!L302,2)&amp;"'",""))))</f>
        <v/>
      </c>
      <c r="L302" s="15" t="str">
        <f>IF(Sheet2!D302="","",Sheet2!D302&amp;"''")</f>
        <v/>
      </c>
      <c r="O302" s="16" t="str">
        <f>IF(Sheet2!H302="","",ROUND(Sheet2!H302,2)&amp;"'")</f>
        <v/>
      </c>
      <c r="P302" s="18" t="str">
        <f>IF(Sheet2!E302="","",Sheet2!E302&amp;"''")</f>
        <v/>
      </c>
      <c r="Q302" s="12" t="str" cm="1">
        <f t="array" ref="Q302">IF(P302="","",_xlfn.XLOOKUP(G302,[1]Sheet1!$G:$G,[1]Sheet1!$Q:$S))</f>
        <v/>
      </c>
      <c r="T302" s="15" t="str">
        <f>IF(Sheet2!F302="","",Sheet2!F302&amp;"""")</f>
        <v/>
      </c>
      <c r="U302" s="12" t="str" cm="1">
        <f t="array" ref="U302">IF(T302="","",_xlfn.XLOOKUP(G302,[1]Sheet1!$G:$G,[1]Sheet1!$U:$W))</f>
        <v/>
      </c>
      <c r="X302" s="15" t="str">
        <f>IF(Sheet2!G302="","",Sheet2!G302&amp;"''")</f>
        <v/>
      </c>
    </row>
    <row r="303" spans="7:24" x14ac:dyDescent="0.25">
      <c r="G303" s="15" t="str">
        <f>IF(Sheet2!A303="","",Sheet2!A303)</f>
        <v/>
      </c>
      <c r="H303" s="18" t="str">
        <f>IF(Sheet2!O303="","",LEFT(Sheet2!O303, FIND(" ", Sheet2!O303)-1))</f>
        <v/>
      </c>
      <c r="I303" s="15" t="str">
        <f>IF(Sheet2!S303&lt;19,ROUND(Sheet2!I303,2)&amp;"'",IF(Sheet2!S303&lt;25,ROUND(Sheet2!J303,2)&amp;"'",IF(Sheet2!S303&lt;31,ROUND(Sheet2!K303,2)&amp;"'",IF(Sheet2!S303&lt;37,ROUND(Sheet2!L303,2)&amp;"'",""))))</f>
        <v/>
      </c>
      <c r="L303" s="15" t="str">
        <f>IF(Sheet2!D303="","",Sheet2!D303&amp;"''")</f>
        <v/>
      </c>
      <c r="O303" s="16" t="str">
        <f>IF(Sheet2!H303="","",ROUND(Sheet2!H303,2)&amp;"'")</f>
        <v/>
      </c>
      <c r="P303" s="18" t="str">
        <f>IF(Sheet2!E303="","",Sheet2!E303&amp;"''")</f>
        <v/>
      </c>
      <c r="Q303" s="12" t="str" cm="1">
        <f t="array" ref="Q303">IF(P303="","",_xlfn.XLOOKUP(G303,[1]Sheet1!$G:$G,[1]Sheet1!$Q:$S))</f>
        <v/>
      </c>
      <c r="T303" s="15" t="str">
        <f>IF(Sheet2!F303="","",Sheet2!F303&amp;"""")</f>
        <v/>
      </c>
      <c r="U303" s="12" t="str" cm="1">
        <f t="array" ref="U303">IF(T303="","",_xlfn.XLOOKUP(G303,[1]Sheet1!$G:$G,[1]Sheet1!$U:$W))</f>
        <v/>
      </c>
      <c r="X303" s="15" t="str">
        <f>IF(Sheet2!G303="","",Sheet2!G303&amp;"''")</f>
        <v/>
      </c>
    </row>
    <row r="304" spans="7:24" x14ac:dyDescent="0.25">
      <c r="G304" s="15" t="str">
        <f>IF(Sheet2!A304="","",Sheet2!A304)</f>
        <v/>
      </c>
      <c r="H304" s="18" t="str">
        <f>IF(Sheet2!O304="","",LEFT(Sheet2!O304, FIND(" ", Sheet2!O304)-1))</f>
        <v/>
      </c>
      <c r="I304" s="15" t="str">
        <f>IF(Sheet2!S304&lt;19,ROUND(Sheet2!I304,2)&amp;"'",IF(Sheet2!S304&lt;25,ROUND(Sheet2!J304,2)&amp;"'",IF(Sheet2!S304&lt;31,ROUND(Sheet2!K304,2)&amp;"'",IF(Sheet2!S304&lt;37,ROUND(Sheet2!L304,2)&amp;"'",""))))</f>
        <v/>
      </c>
      <c r="L304" s="15" t="str">
        <f>IF(Sheet2!D304="","",Sheet2!D304&amp;"''")</f>
        <v/>
      </c>
      <c r="O304" s="16" t="str">
        <f>IF(Sheet2!H304="","",ROUND(Sheet2!H304,2)&amp;"'")</f>
        <v/>
      </c>
      <c r="P304" s="18" t="str">
        <f>IF(Sheet2!E304="","",Sheet2!E304&amp;"''")</f>
        <v/>
      </c>
      <c r="Q304" s="12" t="str" cm="1">
        <f t="array" ref="Q304">IF(P304="","",_xlfn.XLOOKUP(G304,[1]Sheet1!$G:$G,[1]Sheet1!$Q:$S))</f>
        <v/>
      </c>
      <c r="T304" s="15" t="str">
        <f>IF(Sheet2!F304="","",Sheet2!F304&amp;"""")</f>
        <v/>
      </c>
      <c r="U304" s="12" t="str" cm="1">
        <f t="array" ref="U304">IF(T304="","",_xlfn.XLOOKUP(G304,[1]Sheet1!$G:$G,[1]Sheet1!$U:$W))</f>
        <v/>
      </c>
      <c r="X304" s="15" t="str">
        <f>IF(Sheet2!G304="","",Sheet2!G304&amp;"''")</f>
        <v/>
      </c>
    </row>
    <row r="305" spans="7:24" x14ac:dyDescent="0.25">
      <c r="G305" s="15" t="str">
        <f>IF(Sheet2!A305="","",Sheet2!A305)</f>
        <v/>
      </c>
      <c r="H305" s="18" t="str">
        <f>IF(Sheet2!O305="","",LEFT(Sheet2!O305, FIND(" ", Sheet2!O305)-1))</f>
        <v/>
      </c>
      <c r="I305" s="15" t="str">
        <f>IF(Sheet2!S305&lt;19,ROUND(Sheet2!I305,2)&amp;"'",IF(Sheet2!S305&lt;25,ROUND(Sheet2!J305,2)&amp;"'",IF(Sheet2!S305&lt;31,ROUND(Sheet2!K305,2)&amp;"'",IF(Sheet2!S305&lt;37,ROUND(Sheet2!L305,2)&amp;"'",""))))</f>
        <v/>
      </c>
      <c r="L305" s="15" t="str">
        <f>IF(Sheet2!D305="","",Sheet2!D305&amp;"''")</f>
        <v/>
      </c>
      <c r="O305" s="16" t="str">
        <f>IF(Sheet2!H305="","",ROUND(Sheet2!H305,2)&amp;"'")</f>
        <v/>
      </c>
      <c r="P305" s="18" t="str">
        <f>IF(Sheet2!E305="","",Sheet2!E305&amp;"''")</f>
        <v/>
      </c>
      <c r="Q305" s="12" t="str" cm="1">
        <f t="array" ref="Q305">IF(P305="","",_xlfn.XLOOKUP(G305,[1]Sheet1!$G:$G,[1]Sheet1!$Q:$S))</f>
        <v/>
      </c>
      <c r="T305" s="15" t="str">
        <f>IF(Sheet2!F305="","",Sheet2!F305&amp;"""")</f>
        <v/>
      </c>
      <c r="U305" s="12" t="str" cm="1">
        <f t="array" ref="U305">IF(T305="","",_xlfn.XLOOKUP(G305,[1]Sheet1!$G:$G,[1]Sheet1!$U:$W))</f>
        <v/>
      </c>
      <c r="X305" s="15" t="str">
        <f>IF(Sheet2!G305="","",Sheet2!G305&amp;"''")</f>
        <v/>
      </c>
    </row>
    <row r="306" spans="7:24" x14ac:dyDescent="0.25">
      <c r="G306" s="15" t="str">
        <f>IF(Sheet2!A306="","",Sheet2!A306)</f>
        <v/>
      </c>
      <c r="H306" s="18" t="str">
        <f>IF(Sheet2!O306="","",LEFT(Sheet2!O306, FIND(" ", Sheet2!O306)-1))</f>
        <v/>
      </c>
      <c r="I306" s="15" t="str">
        <f>IF(Sheet2!S306&lt;19,ROUND(Sheet2!I306,2)&amp;"'",IF(Sheet2!S306&lt;25,ROUND(Sheet2!J306,2)&amp;"'",IF(Sheet2!S306&lt;31,ROUND(Sheet2!K306,2)&amp;"'",IF(Sheet2!S306&lt;37,ROUND(Sheet2!L306,2)&amp;"'",""))))</f>
        <v/>
      </c>
      <c r="L306" s="15" t="str">
        <f>IF(Sheet2!D306="","",Sheet2!D306&amp;"''")</f>
        <v/>
      </c>
      <c r="O306" s="16" t="str">
        <f>IF(Sheet2!H306="","",ROUND(Sheet2!H306,2)&amp;"'")</f>
        <v/>
      </c>
      <c r="P306" s="18" t="str">
        <f>IF(Sheet2!E306="","",Sheet2!E306&amp;"''")</f>
        <v/>
      </c>
      <c r="Q306" s="12" t="str" cm="1">
        <f t="array" ref="Q306">IF(P306="","",_xlfn.XLOOKUP(G306,[1]Sheet1!$G:$G,[1]Sheet1!$Q:$S))</f>
        <v/>
      </c>
      <c r="T306" s="15" t="str">
        <f>IF(Sheet2!F306="","",Sheet2!F306&amp;"""")</f>
        <v/>
      </c>
      <c r="U306" s="12" t="str" cm="1">
        <f t="array" ref="U306">IF(T306="","",_xlfn.XLOOKUP(G306,[1]Sheet1!$G:$G,[1]Sheet1!$U:$W))</f>
        <v/>
      </c>
      <c r="X306" s="15" t="str">
        <f>IF(Sheet2!G306="","",Sheet2!G306&amp;"''")</f>
        <v/>
      </c>
    </row>
    <row r="307" spans="7:24" x14ac:dyDescent="0.25">
      <c r="G307" s="15" t="str">
        <f>IF(Sheet2!A307="","",Sheet2!A307)</f>
        <v/>
      </c>
      <c r="H307" s="18" t="str">
        <f>IF(Sheet2!O307="","",LEFT(Sheet2!O307, FIND(" ", Sheet2!O307)-1))</f>
        <v/>
      </c>
      <c r="I307" s="15" t="str">
        <f>IF(Sheet2!S307&lt;19,ROUND(Sheet2!I307,2)&amp;"'",IF(Sheet2!S307&lt;25,ROUND(Sheet2!J307,2)&amp;"'",IF(Sheet2!S307&lt;31,ROUND(Sheet2!K307,2)&amp;"'",IF(Sheet2!S307&lt;37,ROUND(Sheet2!L307,2)&amp;"'",""))))</f>
        <v/>
      </c>
      <c r="L307" s="15" t="str">
        <f>IF(Sheet2!D307="","",Sheet2!D307&amp;"''")</f>
        <v/>
      </c>
      <c r="O307" s="16" t="str">
        <f>IF(Sheet2!H307="","",ROUND(Sheet2!H307,2)&amp;"'")</f>
        <v/>
      </c>
      <c r="P307" s="18" t="str">
        <f>IF(Sheet2!E307="","",Sheet2!E307&amp;"''")</f>
        <v/>
      </c>
      <c r="Q307" s="12" t="str" cm="1">
        <f t="array" ref="Q307">IF(P307="","",_xlfn.XLOOKUP(G307,[1]Sheet1!$G:$G,[1]Sheet1!$Q:$S))</f>
        <v/>
      </c>
      <c r="T307" s="15" t="str">
        <f>IF(Sheet2!F307="","",Sheet2!F307&amp;"""")</f>
        <v/>
      </c>
      <c r="U307" s="12" t="str" cm="1">
        <f t="array" ref="U307">IF(T307="","",_xlfn.XLOOKUP(G307,[1]Sheet1!$G:$G,[1]Sheet1!$U:$W))</f>
        <v/>
      </c>
      <c r="X307" s="15" t="str">
        <f>IF(Sheet2!G307="","",Sheet2!G307&amp;"''")</f>
        <v/>
      </c>
    </row>
    <row r="308" spans="7:24" x14ac:dyDescent="0.25">
      <c r="G308" s="15" t="str">
        <f>IF(Sheet2!A308="","",Sheet2!A308)</f>
        <v/>
      </c>
      <c r="H308" s="18" t="str">
        <f>IF(Sheet2!O308="","",LEFT(Sheet2!O308, FIND(" ", Sheet2!O308)-1))</f>
        <v/>
      </c>
      <c r="I308" s="15" t="str">
        <f>IF(Sheet2!S308&lt;19,ROUND(Sheet2!I308,2)&amp;"'",IF(Sheet2!S308&lt;25,ROUND(Sheet2!J308,2)&amp;"'",IF(Sheet2!S308&lt;31,ROUND(Sheet2!K308,2)&amp;"'",IF(Sheet2!S308&lt;37,ROUND(Sheet2!L308,2)&amp;"'",""))))</f>
        <v/>
      </c>
      <c r="L308" s="15" t="str">
        <f>IF(Sheet2!D308="","",Sheet2!D308&amp;"''")</f>
        <v/>
      </c>
      <c r="O308" s="16" t="str">
        <f>IF(Sheet2!H308="","",ROUND(Sheet2!H308,2)&amp;"'")</f>
        <v/>
      </c>
      <c r="P308" s="18" t="str">
        <f>IF(Sheet2!E308="","",Sheet2!E308&amp;"''")</f>
        <v/>
      </c>
      <c r="Q308" s="12" t="str" cm="1">
        <f t="array" ref="Q308">IF(P308="","",_xlfn.XLOOKUP(G308,[1]Sheet1!$G:$G,[1]Sheet1!$Q:$S))</f>
        <v/>
      </c>
      <c r="T308" s="15" t="str">
        <f>IF(Sheet2!F308="","",Sheet2!F308&amp;"""")</f>
        <v/>
      </c>
      <c r="U308" s="12" t="str" cm="1">
        <f t="array" ref="U308">IF(T308="","",_xlfn.XLOOKUP(G308,[1]Sheet1!$G:$G,[1]Sheet1!$U:$W))</f>
        <v/>
      </c>
      <c r="X308" s="15" t="str">
        <f>IF(Sheet2!G308="","",Sheet2!G308&amp;"''")</f>
        <v/>
      </c>
    </row>
    <row r="309" spans="7:24" x14ac:dyDescent="0.25">
      <c r="G309" s="15" t="str">
        <f>IF(Sheet2!A309="","",Sheet2!A309)</f>
        <v/>
      </c>
      <c r="H309" s="18" t="str">
        <f>IF(Sheet2!O309="","",LEFT(Sheet2!O309, FIND(" ", Sheet2!O309)-1))</f>
        <v/>
      </c>
      <c r="I309" s="15" t="str">
        <f>IF(Sheet2!S309&lt;19,ROUND(Sheet2!I309,2)&amp;"'",IF(Sheet2!S309&lt;25,ROUND(Sheet2!J309,2)&amp;"'",IF(Sheet2!S309&lt;31,ROUND(Sheet2!K309,2)&amp;"'",IF(Sheet2!S309&lt;37,ROUND(Sheet2!L309,2)&amp;"'",""))))</f>
        <v/>
      </c>
      <c r="L309" s="15" t="str">
        <f>IF(Sheet2!D309="","",Sheet2!D309&amp;"''")</f>
        <v/>
      </c>
      <c r="O309" s="16" t="str">
        <f>IF(Sheet2!H309="","",ROUND(Sheet2!H309,2)&amp;"'")</f>
        <v/>
      </c>
      <c r="P309" s="18" t="str">
        <f>IF(Sheet2!E309="","",Sheet2!E309&amp;"''")</f>
        <v/>
      </c>
      <c r="Q309" s="12" t="str" cm="1">
        <f t="array" ref="Q309">IF(P309="","",_xlfn.XLOOKUP(G309,[1]Sheet1!$G:$G,[1]Sheet1!$Q:$S))</f>
        <v/>
      </c>
      <c r="T309" s="15" t="str">
        <f>IF(Sheet2!F309="","",Sheet2!F309&amp;"""")</f>
        <v/>
      </c>
      <c r="U309" s="12" t="str" cm="1">
        <f t="array" ref="U309">IF(T309="","",_xlfn.XLOOKUP(G309,[1]Sheet1!$G:$G,[1]Sheet1!$U:$W))</f>
        <v/>
      </c>
      <c r="X309" s="15" t="str">
        <f>IF(Sheet2!G309="","",Sheet2!G309&amp;"''")</f>
        <v/>
      </c>
    </row>
    <row r="310" spans="7:24" x14ac:dyDescent="0.25">
      <c r="G310" s="15" t="str">
        <f>IF(Sheet2!A310="","",Sheet2!A310)</f>
        <v/>
      </c>
      <c r="H310" s="18" t="str">
        <f>IF(Sheet2!O310="","",LEFT(Sheet2!O310, FIND(" ", Sheet2!O310)-1))</f>
        <v/>
      </c>
      <c r="I310" s="15" t="str">
        <f>IF(Sheet2!S310&lt;19,ROUND(Sheet2!I310,2)&amp;"'",IF(Sheet2!S310&lt;25,ROUND(Sheet2!J310,2)&amp;"'",IF(Sheet2!S310&lt;31,ROUND(Sheet2!K310,2)&amp;"'",IF(Sheet2!S310&lt;37,ROUND(Sheet2!L310,2)&amp;"'",""))))</f>
        <v/>
      </c>
      <c r="L310" s="15" t="str">
        <f>IF(Sheet2!D310="","",Sheet2!D310&amp;"''")</f>
        <v/>
      </c>
      <c r="O310" s="16" t="str">
        <f>IF(Sheet2!H310="","",ROUND(Sheet2!H310,2)&amp;"'")</f>
        <v/>
      </c>
      <c r="P310" s="18" t="str">
        <f>IF(Sheet2!E310="","",Sheet2!E310&amp;"''")</f>
        <v/>
      </c>
      <c r="Q310" s="12" t="str" cm="1">
        <f t="array" ref="Q310">IF(P310="","",_xlfn.XLOOKUP(G310,[1]Sheet1!$G:$G,[1]Sheet1!$Q:$S))</f>
        <v/>
      </c>
      <c r="T310" s="15" t="str">
        <f>IF(Sheet2!F310="","",Sheet2!F310&amp;"""")</f>
        <v/>
      </c>
      <c r="U310" s="12" t="str" cm="1">
        <f t="array" ref="U310">IF(T310="","",_xlfn.XLOOKUP(G310,[1]Sheet1!$G:$G,[1]Sheet1!$U:$W))</f>
        <v/>
      </c>
      <c r="X310" s="15" t="str">
        <f>IF(Sheet2!G310="","",Sheet2!G310&amp;"''")</f>
        <v/>
      </c>
    </row>
    <row r="311" spans="7:24" x14ac:dyDescent="0.25">
      <c r="G311" s="15" t="str">
        <f>IF(Sheet2!A311="","",Sheet2!A311)</f>
        <v/>
      </c>
      <c r="H311" s="18" t="str">
        <f>IF(Sheet2!O311="","",LEFT(Sheet2!O311, FIND(" ", Sheet2!O311)-1))</f>
        <v/>
      </c>
      <c r="I311" s="15" t="str">
        <f>IF(Sheet2!S311&lt;19,ROUND(Sheet2!I311,2)&amp;"'",IF(Sheet2!S311&lt;25,ROUND(Sheet2!J311,2)&amp;"'",IF(Sheet2!S311&lt;31,ROUND(Sheet2!K311,2)&amp;"'",IF(Sheet2!S311&lt;37,ROUND(Sheet2!L311,2)&amp;"'",""))))</f>
        <v/>
      </c>
      <c r="L311" s="15" t="str">
        <f>IF(Sheet2!D311="","",Sheet2!D311&amp;"''")</f>
        <v/>
      </c>
      <c r="O311" s="16" t="str">
        <f>IF(Sheet2!H311="","",ROUND(Sheet2!H311,2)&amp;"'")</f>
        <v/>
      </c>
      <c r="P311" s="18" t="str">
        <f>IF(Sheet2!E311="","",Sheet2!E311&amp;"''")</f>
        <v/>
      </c>
      <c r="Q311" s="12" t="str" cm="1">
        <f t="array" ref="Q311">IF(P311="","",_xlfn.XLOOKUP(G311,[1]Sheet1!$G:$G,[1]Sheet1!$Q:$S))</f>
        <v/>
      </c>
      <c r="T311" s="15" t="str">
        <f>IF(Sheet2!F311="","",Sheet2!F311&amp;"""")</f>
        <v/>
      </c>
      <c r="U311" s="12" t="str" cm="1">
        <f t="array" ref="U311">IF(T311="","",_xlfn.XLOOKUP(G311,[1]Sheet1!$G:$G,[1]Sheet1!$U:$W))</f>
        <v/>
      </c>
      <c r="X311" s="15" t="str">
        <f>IF(Sheet2!G311="","",Sheet2!G311&amp;"''")</f>
        <v/>
      </c>
    </row>
    <row r="312" spans="7:24" x14ac:dyDescent="0.25">
      <c r="G312" s="15" t="str">
        <f>IF(Sheet2!A312="","",Sheet2!A312)</f>
        <v/>
      </c>
      <c r="H312" s="18" t="str">
        <f>IF(Sheet2!O312="","",LEFT(Sheet2!O312, FIND(" ", Sheet2!O312)-1))</f>
        <v/>
      </c>
      <c r="I312" s="15" t="str">
        <f>IF(Sheet2!S312&lt;19,ROUND(Sheet2!I312,2)&amp;"'",IF(Sheet2!S312&lt;25,ROUND(Sheet2!J312,2)&amp;"'",IF(Sheet2!S312&lt;31,ROUND(Sheet2!K312,2)&amp;"'",IF(Sheet2!S312&lt;37,ROUND(Sheet2!L312,2)&amp;"'",""))))</f>
        <v/>
      </c>
      <c r="L312" s="15" t="str">
        <f>IF(Sheet2!D312="","",Sheet2!D312&amp;"''")</f>
        <v/>
      </c>
      <c r="O312" s="16" t="str">
        <f>IF(Sheet2!H312="","",ROUND(Sheet2!H312,2)&amp;"'")</f>
        <v/>
      </c>
      <c r="P312" s="18" t="str">
        <f>IF(Sheet2!E312="","",Sheet2!E312&amp;"''")</f>
        <v/>
      </c>
      <c r="Q312" s="12" t="str" cm="1">
        <f t="array" ref="Q312">IF(P312="","",_xlfn.XLOOKUP(G312,[1]Sheet1!$G:$G,[1]Sheet1!$Q:$S))</f>
        <v/>
      </c>
      <c r="T312" s="15" t="str">
        <f>IF(Sheet2!F312="","",Sheet2!F312&amp;"""")</f>
        <v/>
      </c>
      <c r="U312" s="12" t="str" cm="1">
        <f t="array" ref="U312">IF(T312="","",_xlfn.XLOOKUP(G312,[1]Sheet1!$G:$G,[1]Sheet1!$U:$W))</f>
        <v/>
      </c>
      <c r="X312" s="15" t="str">
        <f>IF(Sheet2!G312="","",Sheet2!G312&amp;"''")</f>
        <v/>
      </c>
    </row>
    <row r="313" spans="7:24" x14ac:dyDescent="0.25">
      <c r="G313" s="15" t="str">
        <f>IF(Sheet2!A313="","",Sheet2!A313)</f>
        <v/>
      </c>
      <c r="H313" s="18" t="str">
        <f>IF(Sheet2!O313="","",LEFT(Sheet2!O313, FIND(" ", Sheet2!O313)-1))</f>
        <v/>
      </c>
      <c r="I313" s="15" t="str">
        <f>IF(Sheet2!S313&lt;19,ROUND(Sheet2!I313,2)&amp;"'",IF(Sheet2!S313&lt;25,ROUND(Sheet2!J313,2)&amp;"'",IF(Sheet2!S313&lt;31,ROUND(Sheet2!K313,2)&amp;"'",IF(Sheet2!S313&lt;37,ROUND(Sheet2!L313,2)&amp;"'",""))))</f>
        <v/>
      </c>
      <c r="L313" s="15" t="str">
        <f>IF(Sheet2!D313="","",Sheet2!D313&amp;"''")</f>
        <v/>
      </c>
      <c r="O313" s="16" t="str">
        <f>IF(Sheet2!H313="","",ROUND(Sheet2!H313,2)&amp;"'")</f>
        <v/>
      </c>
      <c r="P313" s="18" t="str">
        <f>IF(Sheet2!E313="","",Sheet2!E313&amp;"''")</f>
        <v/>
      </c>
      <c r="Q313" s="12" t="str" cm="1">
        <f t="array" ref="Q313">IF(P313="","",_xlfn.XLOOKUP(G313,[1]Sheet1!$G:$G,[1]Sheet1!$Q:$S))</f>
        <v/>
      </c>
      <c r="T313" s="15" t="str">
        <f>IF(Sheet2!F313="","",Sheet2!F313&amp;"""")</f>
        <v/>
      </c>
      <c r="U313" s="12" t="str" cm="1">
        <f t="array" ref="U313">IF(T313="","",_xlfn.XLOOKUP(G313,[1]Sheet1!$G:$G,[1]Sheet1!$U:$W))</f>
        <v/>
      </c>
      <c r="X313" s="15" t="str">
        <f>IF(Sheet2!G313="","",Sheet2!G313&amp;"''")</f>
        <v/>
      </c>
    </row>
    <row r="314" spans="7:24" x14ac:dyDescent="0.25">
      <c r="G314" s="15" t="str">
        <f>IF(Sheet2!A314="","",Sheet2!A314)</f>
        <v/>
      </c>
      <c r="H314" s="18" t="str">
        <f>IF(Sheet2!O314="","",LEFT(Sheet2!O314, FIND(" ", Sheet2!O314)-1))</f>
        <v/>
      </c>
      <c r="I314" s="15" t="str">
        <f>IF(Sheet2!S314&lt;19,ROUND(Sheet2!I314,2)&amp;"'",IF(Sheet2!S314&lt;25,ROUND(Sheet2!J314,2)&amp;"'",IF(Sheet2!S314&lt;31,ROUND(Sheet2!K314,2)&amp;"'",IF(Sheet2!S314&lt;37,ROUND(Sheet2!L314,2)&amp;"'",""))))</f>
        <v/>
      </c>
      <c r="L314" s="15" t="str">
        <f>IF(Sheet2!D314="","",Sheet2!D314&amp;"''")</f>
        <v/>
      </c>
      <c r="O314" s="16" t="str">
        <f>IF(Sheet2!H314="","",ROUND(Sheet2!H314,2)&amp;"'")</f>
        <v/>
      </c>
      <c r="P314" s="18" t="str">
        <f>IF(Sheet2!E314="","",Sheet2!E314&amp;"''")</f>
        <v/>
      </c>
      <c r="Q314" s="12" t="str" cm="1">
        <f t="array" ref="Q314">IF(P314="","",_xlfn.XLOOKUP(G314,[1]Sheet1!$G:$G,[1]Sheet1!$Q:$S))</f>
        <v/>
      </c>
      <c r="T314" s="15" t="str">
        <f>IF(Sheet2!F314="","",Sheet2!F314&amp;"""")</f>
        <v/>
      </c>
      <c r="U314" s="12" t="str" cm="1">
        <f t="array" ref="U314">IF(T314="","",_xlfn.XLOOKUP(G314,[1]Sheet1!$G:$G,[1]Sheet1!$U:$W))</f>
        <v/>
      </c>
      <c r="X314" s="15" t="str">
        <f>IF(Sheet2!G314="","",Sheet2!G314&amp;"''")</f>
        <v/>
      </c>
    </row>
    <row r="315" spans="7:24" x14ac:dyDescent="0.25">
      <c r="G315" s="15" t="str">
        <f>IF(Sheet2!A315="","",Sheet2!A315)</f>
        <v/>
      </c>
      <c r="H315" s="18" t="str">
        <f>IF(Sheet2!O315="","",LEFT(Sheet2!O315, FIND(" ", Sheet2!O315)-1))</f>
        <v/>
      </c>
      <c r="I315" s="15" t="str">
        <f>IF(Sheet2!S315&lt;19,ROUND(Sheet2!I315,2)&amp;"'",IF(Sheet2!S315&lt;25,ROUND(Sheet2!J315,2)&amp;"'",IF(Sheet2!S315&lt;31,ROUND(Sheet2!K315,2)&amp;"'",IF(Sheet2!S315&lt;37,ROUND(Sheet2!L315,2)&amp;"'",""))))</f>
        <v/>
      </c>
      <c r="L315" s="15" t="str">
        <f>IF(Sheet2!D315="","",Sheet2!D315&amp;"''")</f>
        <v/>
      </c>
      <c r="O315" s="16" t="str">
        <f>IF(Sheet2!H315="","",ROUND(Sheet2!H315,2)&amp;"'")</f>
        <v/>
      </c>
      <c r="P315" s="18" t="str">
        <f>IF(Sheet2!E315="","",Sheet2!E315&amp;"''")</f>
        <v/>
      </c>
      <c r="Q315" s="12" t="str" cm="1">
        <f t="array" ref="Q315">IF(P315="","",_xlfn.XLOOKUP(G315,[1]Sheet1!$G:$G,[1]Sheet1!$Q:$S))</f>
        <v/>
      </c>
      <c r="T315" s="15" t="str">
        <f>IF(Sheet2!F315="","",Sheet2!F315&amp;"""")</f>
        <v/>
      </c>
      <c r="U315" s="12" t="str" cm="1">
        <f t="array" ref="U315">IF(T315="","",_xlfn.XLOOKUP(G315,[1]Sheet1!$G:$G,[1]Sheet1!$U:$W))</f>
        <v/>
      </c>
      <c r="X315" s="15" t="str">
        <f>IF(Sheet2!G315="","",Sheet2!G315&amp;"''")</f>
        <v/>
      </c>
    </row>
    <row r="316" spans="7:24" x14ac:dyDescent="0.25">
      <c r="G316" s="15" t="str">
        <f>IF(Sheet2!A316="","",Sheet2!A316)</f>
        <v/>
      </c>
      <c r="H316" s="18" t="str">
        <f>IF(Sheet2!O316="","",LEFT(Sheet2!O316, FIND(" ", Sheet2!O316)-1))</f>
        <v/>
      </c>
      <c r="I316" s="15" t="str">
        <f>IF(Sheet2!S316&lt;19,ROUND(Sheet2!I316,2)&amp;"'",IF(Sheet2!S316&lt;25,ROUND(Sheet2!J316,2)&amp;"'",IF(Sheet2!S316&lt;31,ROUND(Sheet2!K316,2)&amp;"'",IF(Sheet2!S316&lt;37,ROUND(Sheet2!L316,2)&amp;"'",""))))</f>
        <v/>
      </c>
      <c r="L316" s="15" t="str">
        <f>IF(Sheet2!D316="","",Sheet2!D316&amp;"''")</f>
        <v/>
      </c>
      <c r="O316" s="16" t="str">
        <f>IF(Sheet2!H316="","",ROUND(Sheet2!H316,2)&amp;"'")</f>
        <v/>
      </c>
      <c r="P316" s="18" t="str">
        <f>IF(Sheet2!E316="","",Sheet2!E316&amp;"''")</f>
        <v/>
      </c>
      <c r="Q316" s="12" t="str" cm="1">
        <f t="array" ref="Q316">IF(P316="","",_xlfn.XLOOKUP(G316,[1]Sheet1!$G:$G,[1]Sheet1!$Q:$S))</f>
        <v/>
      </c>
      <c r="T316" s="15" t="str">
        <f>IF(Sheet2!F316="","",Sheet2!F316&amp;"""")</f>
        <v/>
      </c>
      <c r="U316" s="12" t="str" cm="1">
        <f t="array" ref="U316">IF(T316="","",_xlfn.XLOOKUP(G316,[1]Sheet1!$G:$G,[1]Sheet1!$U:$W))</f>
        <v/>
      </c>
      <c r="X316" s="15" t="str">
        <f>IF(Sheet2!G316="","",Sheet2!G316&amp;"''")</f>
        <v/>
      </c>
    </row>
    <row r="317" spans="7:24" x14ac:dyDescent="0.25">
      <c r="G317" s="15" t="str">
        <f>IF(Sheet2!A317="","",Sheet2!A317)</f>
        <v/>
      </c>
      <c r="H317" s="18" t="str">
        <f>IF(Sheet2!O317="","",LEFT(Sheet2!O317, FIND(" ", Sheet2!O317)-1))</f>
        <v/>
      </c>
      <c r="I317" s="15" t="str">
        <f>IF(Sheet2!S317&lt;19,ROUND(Sheet2!I317,2)&amp;"'",IF(Sheet2!S317&lt;25,ROUND(Sheet2!J317,2)&amp;"'",IF(Sheet2!S317&lt;31,ROUND(Sheet2!K317,2)&amp;"'",IF(Sheet2!S317&lt;37,ROUND(Sheet2!L317,2)&amp;"'",""))))</f>
        <v/>
      </c>
      <c r="L317" s="15" t="str">
        <f>IF(Sheet2!D317="","",Sheet2!D317&amp;"''")</f>
        <v/>
      </c>
      <c r="O317" s="16" t="str">
        <f>IF(Sheet2!H317="","",ROUND(Sheet2!H317,2)&amp;"'")</f>
        <v/>
      </c>
      <c r="P317" s="18" t="str">
        <f>IF(Sheet2!E317="","",Sheet2!E317&amp;"''")</f>
        <v/>
      </c>
      <c r="Q317" s="12" t="str" cm="1">
        <f t="array" ref="Q317">IF(P317="","",_xlfn.XLOOKUP(G317,[1]Sheet1!$G:$G,[1]Sheet1!$Q:$S))</f>
        <v/>
      </c>
      <c r="T317" s="15" t="str">
        <f>IF(Sheet2!F317="","",Sheet2!F317&amp;"""")</f>
        <v/>
      </c>
      <c r="U317" s="12" t="str" cm="1">
        <f t="array" ref="U317">IF(T317="","",_xlfn.XLOOKUP(G317,[1]Sheet1!$G:$G,[1]Sheet1!$U:$W))</f>
        <v/>
      </c>
      <c r="X317" s="15" t="str">
        <f>IF(Sheet2!G317="","",Sheet2!G317&amp;"''")</f>
        <v/>
      </c>
    </row>
    <row r="318" spans="7:24" x14ac:dyDescent="0.25">
      <c r="G318" s="15" t="str">
        <f>IF(Sheet2!A318="","",Sheet2!A318)</f>
        <v/>
      </c>
      <c r="H318" s="18" t="str">
        <f>IF(Sheet2!O318="","",LEFT(Sheet2!O318, FIND(" ", Sheet2!O318)-1))</f>
        <v/>
      </c>
      <c r="I318" s="15" t="str">
        <f>IF(Sheet2!S318&lt;19,ROUND(Sheet2!I318,2)&amp;"'",IF(Sheet2!S318&lt;25,ROUND(Sheet2!J318,2)&amp;"'",IF(Sheet2!S318&lt;31,ROUND(Sheet2!K318,2)&amp;"'",IF(Sheet2!S318&lt;37,ROUND(Sheet2!L318,2)&amp;"'",""))))</f>
        <v/>
      </c>
      <c r="L318" s="15" t="str">
        <f>IF(Sheet2!D318="","",Sheet2!D318&amp;"''")</f>
        <v/>
      </c>
      <c r="O318" s="16" t="str">
        <f>IF(Sheet2!H318="","",ROUND(Sheet2!H318,2)&amp;"'")</f>
        <v/>
      </c>
      <c r="P318" s="18" t="str">
        <f>IF(Sheet2!E318="","",Sheet2!E318&amp;"''")</f>
        <v/>
      </c>
      <c r="Q318" s="12" t="str" cm="1">
        <f t="array" ref="Q318">IF(P318="","",_xlfn.XLOOKUP(G318,[1]Sheet1!$G:$G,[1]Sheet1!$Q:$S))</f>
        <v/>
      </c>
      <c r="T318" s="15" t="str">
        <f>IF(Sheet2!F318="","",Sheet2!F318&amp;"""")</f>
        <v/>
      </c>
      <c r="U318" s="12" t="str" cm="1">
        <f t="array" ref="U318">IF(T318="","",_xlfn.XLOOKUP(G318,[1]Sheet1!$G:$G,[1]Sheet1!$U:$W))</f>
        <v/>
      </c>
      <c r="X318" s="15" t="str">
        <f>IF(Sheet2!G318="","",Sheet2!G318&amp;"''")</f>
        <v/>
      </c>
    </row>
    <row r="319" spans="7:24" x14ac:dyDescent="0.25">
      <c r="G319" s="15" t="str">
        <f>IF(Sheet2!A319="","",Sheet2!A319)</f>
        <v/>
      </c>
      <c r="H319" s="18" t="str">
        <f>IF(Sheet2!O319="","",LEFT(Sheet2!O319, FIND(" ", Sheet2!O319)-1))</f>
        <v/>
      </c>
      <c r="I319" s="15" t="str">
        <f>IF(Sheet2!S319&lt;19,ROUND(Sheet2!I319,2)&amp;"'",IF(Sheet2!S319&lt;25,ROUND(Sheet2!J319,2)&amp;"'",IF(Sheet2!S319&lt;31,ROUND(Sheet2!K319,2)&amp;"'",IF(Sheet2!S319&lt;37,ROUND(Sheet2!L319,2)&amp;"'",""))))</f>
        <v/>
      </c>
      <c r="L319" s="15" t="str">
        <f>IF(Sheet2!D319="","",Sheet2!D319&amp;"''")</f>
        <v/>
      </c>
      <c r="O319" s="16" t="str">
        <f>IF(Sheet2!H319="","",ROUND(Sheet2!H319,2)&amp;"'")</f>
        <v/>
      </c>
      <c r="P319" s="18" t="str">
        <f>IF(Sheet2!E319="","",Sheet2!E319&amp;"''")</f>
        <v/>
      </c>
      <c r="Q319" s="12" t="str" cm="1">
        <f t="array" ref="Q319">IF(P319="","",_xlfn.XLOOKUP(G319,[1]Sheet1!$G:$G,[1]Sheet1!$Q:$S))</f>
        <v/>
      </c>
      <c r="T319" s="15" t="str">
        <f>IF(Sheet2!F319="","",Sheet2!F319&amp;"""")</f>
        <v/>
      </c>
      <c r="U319" s="12" t="str" cm="1">
        <f t="array" ref="U319">IF(T319="","",_xlfn.XLOOKUP(G319,[1]Sheet1!$G:$G,[1]Sheet1!$U:$W))</f>
        <v/>
      </c>
      <c r="X319" s="15" t="str">
        <f>IF(Sheet2!G319="","",Sheet2!G319&amp;"''")</f>
        <v/>
      </c>
    </row>
    <row r="320" spans="7:24" x14ac:dyDescent="0.25">
      <c r="G320" s="15" t="str">
        <f>IF(Sheet2!A320="","",Sheet2!A320)</f>
        <v/>
      </c>
      <c r="H320" s="18" t="str">
        <f>IF(Sheet2!O320="","",LEFT(Sheet2!O320, FIND(" ", Sheet2!O320)-1))</f>
        <v/>
      </c>
      <c r="I320" s="15" t="str">
        <f>IF(Sheet2!S320&lt;19,ROUND(Sheet2!I320,2)&amp;"'",IF(Sheet2!S320&lt;25,ROUND(Sheet2!J320,2)&amp;"'",IF(Sheet2!S320&lt;31,ROUND(Sheet2!K320,2)&amp;"'",IF(Sheet2!S320&lt;37,ROUND(Sheet2!L320,2)&amp;"'",""))))</f>
        <v/>
      </c>
      <c r="L320" s="15" t="str">
        <f>IF(Sheet2!D320="","",Sheet2!D320&amp;"''")</f>
        <v/>
      </c>
      <c r="O320" s="16" t="str">
        <f>IF(Sheet2!H320="","",ROUND(Sheet2!H320,2)&amp;"'")</f>
        <v/>
      </c>
      <c r="P320" s="18" t="str">
        <f>IF(Sheet2!E320="","",Sheet2!E320&amp;"''")</f>
        <v/>
      </c>
      <c r="Q320" s="12" t="str" cm="1">
        <f t="array" ref="Q320">IF(P320="","",_xlfn.XLOOKUP(G320,[1]Sheet1!$G:$G,[1]Sheet1!$Q:$S))</f>
        <v/>
      </c>
      <c r="T320" s="15" t="str">
        <f>IF(Sheet2!F320="","",Sheet2!F320&amp;"""")</f>
        <v/>
      </c>
      <c r="U320" s="12" t="str" cm="1">
        <f t="array" ref="U320">IF(T320="","",_xlfn.XLOOKUP(G320,[1]Sheet1!$G:$G,[1]Sheet1!$U:$W))</f>
        <v/>
      </c>
      <c r="X320" s="15" t="str">
        <f>IF(Sheet2!G320="","",Sheet2!G320&amp;"''")</f>
        <v/>
      </c>
    </row>
    <row r="321" spans="7:24" x14ac:dyDescent="0.25">
      <c r="G321" s="15" t="str">
        <f>IF(Sheet2!A321="","",Sheet2!A321)</f>
        <v/>
      </c>
      <c r="H321" s="18" t="str">
        <f>IF(Sheet2!O321="","",LEFT(Sheet2!O321, FIND(" ", Sheet2!O321)-1))</f>
        <v/>
      </c>
      <c r="I321" s="15" t="str">
        <f>IF(Sheet2!S321&lt;19,ROUND(Sheet2!I321,2)&amp;"'",IF(Sheet2!S321&lt;25,ROUND(Sheet2!J321,2)&amp;"'",IF(Sheet2!S321&lt;31,ROUND(Sheet2!K321,2)&amp;"'",IF(Sheet2!S321&lt;37,ROUND(Sheet2!L321,2)&amp;"'",""))))</f>
        <v/>
      </c>
      <c r="L321" s="15" t="str">
        <f>IF(Sheet2!D321="","",Sheet2!D321&amp;"''")</f>
        <v/>
      </c>
      <c r="O321" s="16" t="str">
        <f>IF(Sheet2!H321="","",ROUND(Sheet2!H321,2)&amp;"'")</f>
        <v/>
      </c>
      <c r="P321" s="18" t="str">
        <f>IF(Sheet2!E321="","",Sheet2!E321&amp;"''")</f>
        <v/>
      </c>
      <c r="Q321" s="12" t="str" cm="1">
        <f t="array" ref="Q321">IF(P321="","",_xlfn.XLOOKUP(G321,[1]Sheet1!$G:$G,[1]Sheet1!$Q:$S))</f>
        <v/>
      </c>
      <c r="T321" s="15" t="str">
        <f>IF(Sheet2!F321="","",Sheet2!F321&amp;"""")</f>
        <v/>
      </c>
      <c r="U321" s="12" t="str" cm="1">
        <f t="array" ref="U321">IF(T321="","",_xlfn.XLOOKUP(G321,[1]Sheet1!$G:$G,[1]Sheet1!$U:$W))</f>
        <v/>
      </c>
      <c r="X321" s="15" t="str">
        <f>IF(Sheet2!G321="","",Sheet2!G321&amp;"''")</f>
        <v/>
      </c>
    </row>
    <row r="322" spans="7:24" x14ac:dyDescent="0.25">
      <c r="G322" s="15" t="str">
        <f>IF(Sheet2!A322="","",Sheet2!A322)</f>
        <v/>
      </c>
      <c r="H322" s="18" t="str">
        <f>IF(Sheet2!O322="","",LEFT(Sheet2!O322, FIND(" ", Sheet2!O322)-1))</f>
        <v/>
      </c>
      <c r="I322" s="15" t="str">
        <f>IF(Sheet2!S322&lt;19,ROUND(Sheet2!I322,2)&amp;"'",IF(Sheet2!S322&lt;25,ROUND(Sheet2!J322,2)&amp;"'",IF(Sheet2!S322&lt;31,ROUND(Sheet2!K322,2)&amp;"'",IF(Sheet2!S322&lt;37,ROUND(Sheet2!L322,2)&amp;"'",""))))</f>
        <v/>
      </c>
      <c r="L322" s="15" t="str">
        <f>IF(Sheet2!D322="","",Sheet2!D322&amp;"''")</f>
        <v/>
      </c>
      <c r="O322" s="16" t="str">
        <f>IF(Sheet2!H322="","",ROUND(Sheet2!H322,2)&amp;"'")</f>
        <v/>
      </c>
      <c r="P322" s="18" t="str">
        <f>IF(Sheet2!E322="","",Sheet2!E322&amp;"''")</f>
        <v/>
      </c>
      <c r="Q322" s="12" t="str" cm="1">
        <f t="array" ref="Q322">IF(P322="","",_xlfn.XLOOKUP(G322,[1]Sheet1!$G:$G,[1]Sheet1!$Q:$S))</f>
        <v/>
      </c>
      <c r="T322" s="15" t="str">
        <f>IF(Sheet2!F322="","",Sheet2!F322&amp;"""")</f>
        <v/>
      </c>
      <c r="U322" s="12" t="str" cm="1">
        <f t="array" ref="U322">IF(T322="","",_xlfn.XLOOKUP(G322,[1]Sheet1!$G:$G,[1]Sheet1!$U:$W))</f>
        <v/>
      </c>
      <c r="X322" s="15" t="str">
        <f>IF(Sheet2!G322="","",Sheet2!G322&amp;"''")</f>
        <v/>
      </c>
    </row>
    <row r="323" spans="7:24" x14ac:dyDescent="0.25">
      <c r="G323" s="15" t="str">
        <f>IF(Sheet2!A323="","",Sheet2!A323)</f>
        <v/>
      </c>
      <c r="H323" s="18" t="str">
        <f>IF(Sheet2!O323="","",LEFT(Sheet2!O323, FIND(" ", Sheet2!O323)-1))</f>
        <v/>
      </c>
      <c r="I323" s="15" t="str">
        <f>IF(Sheet2!S323&lt;19,ROUND(Sheet2!I323,2)&amp;"'",IF(Sheet2!S323&lt;25,ROUND(Sheet2!J323,2)&amp;"'",IF(Sheet2!S323&lt;31,ROUND(Sheet2!K323,2)&amp;"'",IF(Sheet2!S323&lt;37,ROUND(Sheet2!L323,2)&amp;"'",""))))</f>
        <v/>
      </c>
      <c r="L323" s="15" t="str">
        <f>IF(Sheet2!D323="","",Sheet2!D323&amp;"''")</f>
        <v/>
      </c>
      <c r="O323" s="16" t="str">
        <f>IF(Sheet2!H323="","",ROUND(Sheet2!H323,2)&amp;"'")</f>
        <v/>
      </c>
      <c r="P323" s="18" t="str">
        <f>IF(Sheet2!E323="","",Sheet2!E323&amp;"''")</f>
        <v/>
      </c>
      <c r="Q323" s="12" t="str" cm="1">
        <f t="array" ref="Q323">IF(P323="","",_xlfn.XLOOKUP(G323,[1]Sheet1!$G:$G,[1]Sheet1!$Q:$S))</f>
        <v/>
      </c>
      <c r="T323" s="15" t="str">
        <f>IF(Sheet2!F323="","",Sheet2!F323&amp;"""")</f>
        <v/>
      </c>
      <c r="U323" s="12" t="str" cm="1">
        <f t="array" ref="U323">IF(T323="","",_xlfn.XLOOKUP(G323,[1]Sheet1!$G:$G,[1]Sheet1!$U:$W))</f>
        <v/>
      </c>
      <c r="X323" s="15" t="str">
        <f>IF(Sheet2!G323="","",Sheet2!G323&amp;"''")</f>
        <v/>
      </c>
    </row>
    <row r="324" spans="7:24" x14ac:dyDescent="0.25">
      <c r="G324" s="15" t="str">
        <f>IF(Sheet2!A324="","",Sheet2!A324)</f>
        <v/>
      </c>
      <c r="H324" s="18" t="str">
        <f>IF(Sheet2!O324="","",LEFT(Sheet2!O324, FIND(" ", Sheet2!O324)-1))</f>
        <v/>
      </c>
      <c r="I324" s="15" t="str">
        <f>IF(Sheet2!S324&lt;19,ROUND(Sheet2!I324,2)&amp;"'",IF(Sheet2!S324&lt;25,ROUND(Sheet2!J324,2)&amp;"'",IF(Sheet2!S324&lt;31,ROUND(Sheet2!K324,2)&amp;"'",IF(Sheet2!S324&lt;37,ROUND(Sheet2!L324,2)&amp;"'",""))))</f>
        <v/>
      </c>
      <c r="L324" s="15" t="str">
        <f>IF(Sheet2!D324="","",Sheet2!D324&amp;"''")</f>
        <v/>
      </c>
      <c r="O324" s="16" t="str">
        <f>IF(Sheet2!H324="","",ROUND(Sheet2!H324,2)&amp;"'")</f>
        <v/>
      </c>
      <c r="P324" s="18" t="str">
        <f>IF(Sheet2!E324="","",Sheet2!E324&amp;"''")</f>
        <v/>
      </c>
      <c r="Q324" s="12" t="str" cm="1">
        <f t="array" ref="Q324">IF(P324="","",_xlfn.XLOOKUP(G324,[1]Sheet1!$G:$G,[1]Sheet1!$Q:$S))</f>
        <v/>
      </c>
      <c r="T324" s="15" t="str">
        <f>IF(Sheet2!F324="","",Sheet2!F324&amp;"""")</f>
        <v/>
      </c>
      <c r="U324" s="12" t="str" cm="1">
        <f t="array" ref="U324">IF(T324="","",_xlfn.XLOOKUP(G324,[1]Sheet1!$G:$G,[1]Sheet1!$U:$W))</f>
        <v/>
      </c>
      <c r="X324" s="15" t="str">
        <f>IF(Sheet2!G324="","",Sheet2!G324&amp;"''")</f>
        <v/>
      </c>
    </row>
    <row r="325" spans="7:24" x14ac:dyDescent="0.25">
      <c r="G325" s="15" t="str">
        <f>IF(Sheet2!A325="","",Sheet2!A325)</f>
        <v/>
      </c>
      <c r="H325" s="18" t="str">
        <f>IF(Sheet2!O325="","",LEFT(Sheet2!O325, FIND(" ", Sheet2!O325)-1))</f>
        <v/>
      </c>
      <c r="I325" s="15" t="str">
        <f>IF(Sheet2!S325&lt;19,ROUND(Sheet2!I325,2)&amp;"'",IF(Sheet2!S325&lt;25,ROUND(Sheet2!J325,2)&amp;"'",IF(Sheet2!S325&lt;31,ROUND(Sheet2!K325,2)&amp;"'",IF(Sheet2!S325&lt;37,ROUND(Sheet2!L325,2)&amp;"'",""))))</f>
        <v/>
      </c>
      <c r="L325" s="15" t="str">
        <f>IF(Sheet2!D325="","",Sheet2!D325&amp;"''")</f>
        <v/>
      </c>
      <c r="O325" s="16" t="str">
        <f>IF(Sheet2!H325="","",ROUND(Sheet2!H325,2)&amp;"'")</f>
        <v/>
      </c>
      <c r="P325" s="18" t="str">
        <f>IF(Sheet2!E325="","",Sheet2!E325&amp;"''")</f>
        <v/>
      </c>
      <c r="Q325" s="12" t="str" cm="1">
        <f t="array" ref="Q325">IF(P325="","",_xlfn.XLOOKUP(G325,[1]Sheet1!$G:$G,[1]Sheet1!$Q:$S))</f>
        <v/>
      </c>
      <c r="T325" s="15" t="str">
        <f>IF(Sheet2!F325="","",Sheet2!F325&amp;"""")</f>
        <v/>
      </c>
      <c r="U325" s="12" t="str" cm="1">
        <f t="array" ref="U325">IF(T325="","",_xlfn.XLOOKUP(G325,[1]Sheet1!$G:$G,[1]Sheet1!$U:$W))</f>
        <v/>
      </c>
      <c r="X325" s="15" t="str">
        <f>IF(Sheet2!G325="","",Sheet2!G325&amp;"''")</f>
        <v/>
      </c>
    </row>
    <row r="326" spans="7:24" x14ac:dyDescent="0.25">
      <c r="G326" s="15" t="str">
        <f>IF(Sheet2!A326="","",Sheet2!A326)</f>
        <v/>
      </c>
      <c r="H326" s="18" t="str">
        <f>IF(Sheet2!O326="","",LEFT(Sheet2!O326, FIND(" ", Sheet2!O326)-1))</f>
        <v/>
      </c>
      <c r="I326" s="15" t="str">
        <f>IF(Sheet2!S326&lt;19,ROUND(Sheet2!I326,2)&amp;"'",IF(Sheet2!S326&lt;25,ROUND(Sheet2!J326,2)&amp;"'",IF(Sheet2!S326&lt;31,ROUND(Sheet2!K326,2)&amp;"'",IF(Sheet2!S326&lt;37,ROUND(Sheet2!L326,2)&amp;"'",""))))</f>
        <v/>
      </c>
      <c r="L326" s="15" t="str">
        <f>IF(Sheet2!D326="","",Sheet2!D326&amp;"''")</f>
        <v/>
      </c>
      <c r="O326" s="16" t="str">
        <f>IF(Sheet2!H326="","",ROUND(Sheet2!H326,2)&amp;"'")</f>
        <v/>
      </c>
      <c r="P326" s="18" t="str">
        <f>IF(Sheet2!E326="","",Sheet2!E326&amp;"''")</f>
        <v/>
      </c>
      <c r="Q326" s="12" t="str" cm="1">
        <f t="array" ref="Q326">IF(P326="","",_xlfn.XLOOKUP(G326,[1]Sheet1!$G:$G,[1]Sheet1!$Q:$S))</f>
        <v/>
      </c>
      <c r="T326" s="15" t="str">
        <f>IF(Sheet2!F326="","",Sheet2!F326&amp;"""")</f>
        <v/>
      </c>
      <c r="U326" s="12" t="str" cm="1">
        <f t="array" ref="U326">IF(T326="","",_xlfn.XLOOKUP(G326,[1]Sheet1!$G:$G,[1]Sheet1!$U:$W))</f>
        <v/>
      </c>
      <c r="X326" s="15" t="str">
        <f>IF(Sheet2!G326="","",Sheet2!G326&amp;"''")</f>
        <v/>
      </c>
    </row>
    <row r="327" spans="7:24" x14ac:dyDescent="0.25">
      <c r="G327" s="15" t="str">
        <f>IF(Sheet2!A327="","",Sheet2!A327)</f>
        <v/>
      </c>
      <c r="H327" s="18" t="str">
        <f>IF(Sheet2!O327="","",LEFT(Sheet2!O327, FIND(" ", Sheet2!O327)-1))</f>
        <v/>
      </c>
      <c r="I327" s="15" t="str">
        <f>IF(Sheet2!S327&lt;19,ROUND(Sheet2!I327,2)&amp;"'",IF(Sheet2!S327&lt;25,ROUND(Sheet2!J327,2)&amp;"'",IF(Sheet2!S327&lt;31,ROUND(Sheet2!K327,2)&amp;"'",IF(Sheet2!S327&lt;37,ROUND(Sheet2!L327,2)&amp;"'",""))))</f>
        <v/>
      </c>
      <c r="L327" s="15" t="str">
        <f>IF(Sheet2!D327="","",Sheet2!D327&amp;"''")</f>
        <v/>
      </c>
      <c r="O327" s="16" t="str">
        <f>IF(Sheet2!H327="","",ROUND(Sheet2!H327,2)&amp;"'")</f>
        <v/>
      </c>
      <c r="P327" s="18" t="str">
        <f>IF(Sheet2!E327="","",Sheet2!E327&amp;"''")</f>
        <v/>
      </c>
      <c r="Q327" s="12" t="str" cm="1">
        <f t="array" ref="Q327">IF(P327="","",_xlfn.XLOOKUP(G327,[1]Sheet1!$G:$G,[1]Sheet1!$Q:$S))</f>
        <v/>
      </c>
      <c r="T327" s="15" t="str">
        <f>IF(Sheet2!F327="","",Sheet2!F327&amp;"""")</f>
        <v/>
      </c>
      <c r="U327" s="12" t="str" cm="1">
        <f t="array" ref="U327">IF(T327="","",_xlfn.XLOOKUP(G327,[1]Sheet1!$G:$G,[1]Sheet1!$U:$W))</f>
        <v/>
      </c>
      <c r="X327" s="15" t="str">
        <f>IF(Sheet2!G327="","",Sheet2!G327&amp;"''")</f>
        <v/>
      </c>
    </row>
    <row r="328" spans="7:24" x14ac:dyDescent="0.25">
      <c r="G328" s="15" t="str">
        <f>IF(Sheet2!A328="","",Sheet2!A328)</f>
        <v/>
      </c>
      <c r="H328" s="18" t="str">
        <f>IF(Sheet2!O328="","",LEFT(Sheet2!O328, FIND(" ", Sheet2!O328)-1))</f>
        <v/>
      </c>
      <c r="I328" s="15" t="str">
        <f>IF(Sheet2!S328&lt;19,ROUND(Sheet2!I328,2)&amp;"'",IF(Sheet2!S328&lt;25,ROUND(Sheet2!J328,2)&amp;"'",IF(Sheet2!S328&lt;31,ROUND(Sheet2!K328,2)&amp;"'",IF(Sheet2!S328&lt;37,ROUND(Sheet2!L328,2)&amp;"'",""))))</f>
        <v/>
      </c>
      <c r="L328" s="15" t="str">
        <f>IF(Sheet2!D328="","",Sheet2!D328&amp;"''")</f>
        <v/>
      </c>
      <c r="O328" s="16" t="str">
        <f>IF(Sheet2!H328="","",ROUND(Sheet2!H328,2)&amp;"'")</f>
        <v/>
      </c>
      <c r="P328" s="18" t="str">
        <f>IF(Sheet2!E328="","",Sheet2!E328&amp;"''")</f>
        <v/>
      </c>
      <c r="Q328" s="12" t="str" cm="1">
        <f t="array" ref="Q328">IF(P328="","",_xlfn.XLOOKUP(G328,[1]Sheet1!$G:$G,[1]Sheet1!$Q:$S))</f>
        <v/>
      </c>
      <c r="T328" s="15" t="str">
        <f>IF(Sheet2!F328="","",Sheet2!F328&amp;"""")</f>
        <v/>
      </c>
      <c r="U328" s="12" t="str" cm="1">
        <f t="array" ref="U328">IF(T328="","",_xlfn.XLOOKUP(G328,[1]Sheet1!$G:$G,[1]Sheet1!$U:$W))</f>
        <v/>
      </c>
      <c r="X328" s="15" t="str">
        <f>IF(Sheet2!G328="","",Sheet2!G328&amp;"''")</f>
        <v/>
      </c>
    </row>
    <row r="329" spans="7:24" x14ac:dyDescent="0.25">
      <c r="G329" s="15" t="str">
        <f>IF(Sheet2!A329="","",Sheet2!A329)</f>
        <v/>
      </c>
      <c r="H329" s="18" t="str">
        <f>IF(Sheet2!O329="","",LEFT(Sheet2!O329, FIND(" ", Sheet2!O329)-1))</f>
        <v/>
      </c>
      <c r="I329" s="15" t="str">
        <f>IF(Sheet2!S329&lt;19,ROUND(Sheet2!I329,2)&amp;"'",IF(Sheet2!S329&lt;25,ROUND(Sheet2!J329,2)&amp;"'",IF(Sheet2!S329&lt;31,ROUND(Sheet2!K329,2)&amp;"'",IF(Sheet2!S329&lt;37,ROUND(Sheet2!L329,2)&amp;"'",""))))</f>
        <v/>
      </c>
      <c r="L329" s="15" t="str">
        <f>IF(Sheet2!D329="","",Sheet2!D329&amp;"''")</f>
        <v/>
      </c>
      <c r="O329" s="16" t="str">
        <f>IF(Sheet2!H329="","",ROUND(Sheet2!H329,2)&amp;"'")</f>
        <v/>
      </c>
      <c r="P329" s="18" t="str">
        <f>IF(Sheet2!E329="","",Sheet2!E329&amp;"''")</f>
        <v/>
      </c>
      <c r="Q329" s="12" t="str" cm="1">
        <f t="array" ref="Q329">IF(P329="","",_xlfn.XLOOKUP(G329,[1]Sheet1!$G:$G,[1]Sheet1!$Q:$S))</f>
        <v/>
      </c>
      <c r="T329" s="15" t="str">
        <f>IF(Sheet2!F329="","",Sheet2!F329&amp;"""")</f>
        <v/>
      </c>
      <c r="U329" s="12" t="str" cm="1">
        <f t="array" ref="U329">IF(T329="","",_xlfn.XLOOKUP(G329,[1]Sheet1!$G:$G,[1]Sheet1!$U:$W))</f>
        <v/>
      </c>
      <c r="X329" s="15" t="str">
        <f>IF(Sheet2!G329="","",Sheet2!G329&amp;"''")</f>
        <v/>
      </c>
    </row>
    <row r="330" spans="7:24" x14ac:dyDescent="0.25">
      <c r="G330" s="15" t="str">
        <f>IF(Sheet2!A330="","",Sheet2!A330)</f>
        <v/>
      </c>
      <c r="H330" s="18" t="str">
        <f>IF(Sheet2!O330="","",LEFT(Sheet2!O330, FIND(" ", Sheet2!O330)-1))</f>
        <v/>
      </c>
      <c r="I330" s="15" t="str">
        <f>IF(Sheet2!S330&lt;19,ROUND(Sheet2!I330,2)&amp;"'",IF(Sheet2!S330&lt;25,ROUND(Sheet2!J330,2)&amp;"'",IF(Sheet2!S330&lt;31,ROUND(Sheet2!K330,2)&amp;"'",IF(Sheet2!S330&lt;37,ROUND(Sheet2!L330,2)&amp;"'",""))))</f>
        <v/>
      </c>
      <c r="L330" s="15" t="str">
        <f>IF(Sheet2!D330="","",Sheet2!D330&amp;"''")</f>
        <v/>
      </c>
      <c r="O330" s="16" t="str">
        <f>IF(Sheet2!H330="","",ROUND(Sheet2!H330,2)&amp;"'")</f>
        <v/>
      </c>
      <c r="P330" s="18" t="str">
        <f>IF(Sheet2!E330="","",Sheet2!E330&amp;"''")</f>
        <v/>
      </c>
      <c r="Q330" s="12" t="str" cm="1">
        <f t="array" ref="Q330">IF(P330="","",_xlfn.XLOOKUP(G330,[1]Sheet1!$G:$G,[1]Sheet1!$Q:$S))</f>
        <v/>
      </c>
      <c r="T330" s="15" t="str">
        <f>IF(Sheet2!F330="","",Sheet2!F330&amp;"""")</f>
        <v/>
      </c>
      <c r="U330" s="12" t="str" cm="1">
        <f t="array" ref="U330">IF(T330="","",_xlfn.XLOOKUP(G330,[1]Sheet1!$G:$G,[1]Sheet1!$U:$W))</f>
        <v/>
      </c>
      <c r="X330" s="15" t="str">
        <f>IF(Sheet2!G330="","",Sheet2!G330&amp;"''")</f>
        <v/>
      </c>
    </row>
    <row r="331" spans="7:24" x14ac:dyDescent="0.25">
      <c r="G331" s="15" t="str">
        <f>IF(Sheet2!A331="","",Sheet2!A331)</f>
        <v/>
      </c>
      <c r="H331" s="18" t="str">
        <f>IF(Sheet2!O331="","",LEFT(Sheet2!O331, FIND(" ", Sheet2!O331)-1))</f>
        <v/>
      </c>
      <c r="I331" s="15" t="str">
        <f>IF(Sheet2!S331&lt;19,ROUND(Sheet2!I331,2)&amp;"'",IF(Sheet2!S331&lt;25,ROUND(Sheet2!J331,2)&amp;"'",IF(Sheet2!S331&lt;31,ROUND(Sheet2!K331,2)&amp;"'",IF(Sheet2!S331&lt;37,ROUND(Sheet2!L331,2)&amp;"'",""))))</f>
        <v/>
      </c>
      <c r="L331" s="15" t="str">
        <f>IF(Sheet2!D331="","",Sheet2!D331&amp;"''")</f>
        <v/>
      </c>
      <c r="O331" s="16" t="str">
        <f>IF(Sheet2!H331="","",ROUND(Sheet2!H331,2)&amp;"'")</f>
        <v/>
      </c>
      <c r="P331" s="18" t="str">
        <f>IF(Sheet2!E331="","",Sheet2!E331&amp;"''")</f>
        <v/>
      </c>
      <c r="Q331" s="12" t="str" cm="1">
        <f t="array" ref="Q331">IF(P331="","",_xlfn.XLOOKUP(G331,[1]Sheet1!$G:$G,[1]Sheet1!$Q:$S))</f>
        <v/>
      </c>
      <c r="T331" s="15" t="str">
        <f>IF(Sheet2!F331="","",Sheet2!F331&amp;"""")</f>
        <v/>
      </c>
      <c r="U331" s="12" t="str" cm="1">
        <f t="array" ref="U331">IF(T331="","",_xlfn.XLOOKUP(G331,[1]Sheet1!$G:$G,[1]Sheet1!$U:$W))</f>
        <v/>
      </c>
      <c r="X331" s="15" t="str">
        <f>IF(Sheet2!G331="","",Sheet2!G331&amp;"''")</f>
        <v/>
      </c>
    </row>
    <row r="332" spans="7:24" x14ac:dyDescent="0.25">
      <c r="G332" s="15" t="str">
        <f>IF(Sheet2!A332="","",Sheet2!A332)</f>
        <v/>
      </c>
      <c r="H332" s="18" t="str">
        <f>IF(Sheet2!O332="","",LEFT(Sheet2!O332, FIND(" ", Sheet2!O332)-1))</f>
        <v/>
      </c>
      <c r="I332" s="15" t="str">
        <f>IF(Sheet2!S332&lt;19,ROUND(Sheet2!I332,2)&amp;"'",IF(Sheet2!S332&lt;25,ROUND(Sheet2!J332,2)&amp;"'",IF(Sheet2!S332&lt;31,ROUND(Sheet2!K332,2)&amp;"'",IF(Sheet2!S332&lt;37,ROUND(Sheet2!L332,2)&amp;"'",""))))</f>
        <v/>
      </c>
      <c r="L332" s="15" t="str">
        <f>IF(Sheet2!D332="","",Sheet2!D332&amp;"''")</f>
        <v/>
      </c>
      <c r="O332" s="16" t="str">
        <f>IF(Sheet2!H332="","",ROUND(Sheet2!H332,2)&amp;"'")</f>
        <v/>
      </c>
      <c r="P332" s="18" t="str">
        <f>IF(Sheet2!E332="","",Sheet2!E332&amp;"''")</f>
        <v/>
      </c>
      <c r="Q332" s="12" t="str" cm="1">
        <f t="array" ref="Q332">IF(P332="","",_xlfn.XLOOKUP(G332,[1]Sheet1!$G:$G,[1]Sheet1!$Q:$S))</f>
        <v/>
      </c>
      <c r="T332" s="15" t="str">
        <f>IF(Sheet2!F332="","",Sheet2!F332&amp;"""")</f>
        <v/>
      </c>
      <c r="U332" s="12" t="str" cm="1">
        <f t="array" ref="U332">IF(T332="","",_xlfn.XLOOKUP(G332,[1]Sheet1!$G:$G,[1]Sheet1!$U:$W))</f>
        <v/>
      </c>
      <c r="X332" s="15" t="str">
        <f>IF(Sheet2!G332="","",Sheet2!G332&amp;"''")</f>
        <v/>
      </c>
    </row>
    <row r="333" spans="7:24" x14ac:dyDescent="0.25">
      <c r="G333" s="15" t="str">
        <f>IF(Sheet2!A333="","",Sheet2!A333)</f>
        <v/>
      </c>
      <c r="H333" s="18" t="str">
        <f>IF(Sheet2!O333="","",LEFT(Sheet2!O333, FIND(" ", Sheet2!O333)-1))</f>
        <v/>
      </c>
      <c r="I333" s="15" t="str">
        <f>IF(Sheet2!S333&lt;19,ROUND(Sheet2!I333,2)&amp;"'",IF(Sheet2!S333&lt;25,ROUND(Sheet2!J333,2)&amp;"'",IF(Sheet2!S333&lt;31,ROUND(Sheet2!K333,2)&amp;"'",IF(Sheet2!S333&lt;37,ROUND(Sheet2!L333,2)&amp;"'",""))))</f>
        <v/>
      </c>
      <c r="L333" s="15" t="str">
        <f>IF(Sheet2!D333="","",Sheet2!D333&amp;"''")</f>
        <v/>
      </c>
      <c r="O333" s="16" t="str">
        <f>IF(Sheet2!H333="","",ROUND(Sheet2!H333,2)&amp;"'")</f>
        <v/>
      </c>
      <c r="P333" s="18" t="str">
        <f>IF(Sheet2!E333="","",Sheet2!E333&amp;"''")</f>
        <v/>
      </c>
      <c r="Q333" s="12" t="str" cm="1">
        <f t="array" ref="Q333">IF(P333="","",_xlfn.XLOOKUP(G333,[1]Sheet1!$G:$G,[1]Sheet1!$Q:$S))</f>
        <v/>
      </c>
      <c r="T333" s="15" t="str">
        <f>IF(Sheet2!F333="","",Sheet2!F333&amp;"""")</f>
        <v/>
      </c>
      <c r="U333" s="12" t="str" cm="1">
        <f t="array" ref="U333">IF(T333="","",_xlfn.XLOOKUP(G333,[1]Sheet1!$G:$G,[1]Sheet1!$U:$W))</f>
        <v/>
      </c>
      <c r="X333" s="15" t="str">
        <f>IF(Sheet2!G333="","",Sheet2!G333&amp;"''")</f>
        <v/>
      </c>
    </row>
    <row r="334" spans="7:24" x14ac:dyDescent="0.25">
      <c r="G334" s="15" t="str">
        <f>IF(Sheet2!A334="","",Sheet2!A334)</f>
        <v/>
      </c>
      <c r="H334" s="18" t="str">
        <f>IF(Sheet2!O334="","",LEFT(Sheet2!O334, FIND(" ", Sheet2!O334)-1))</f>
        <v/>
      </c>
      <c r="I334" s="15" t="str">
        <f>IF(Sheet2!S334&lt;19,ROUND(Sheet2!I334,2)&amp;"'",IF(Sheet2!S334&lt;25,ROUND(Sheet2!J334,2)&amp;"'",IF(Sheet2!S334&lt;31,ROUND(Sheet2!K334,2)&amp;"'",IF(Sheet2!S334&lt;37,ROUND(Sheet2!L334,2)&amp;"'",""))))</f>
        <v/>
      </c>
      <c r="L334" s="15" t="str">
        <f>IF(Sheet2!D334="","",Sheet2!D334&amp;"''")</f>
        <v/>
      </c>
      <c r="O334" s="16" t="str">
        <f>IF(Sheet2!H334="","",ROUND(Sheet2!H334,2)&amp;"'")</f>
        <v/>
      </c>
      <c r="P334" s="18" t="str">
        <f>IF(Sheet2!E334="","",Sheet2!E334&amp;"''")</f>
        <v/>
      </c>
      <c r="Q334" s="12" t="str" cm="1">
        <f t="array" ref="Q334">IF(P334="","",_xlfn.XLOOKUP(G334,[1]Sheet1!$G:$G,[1]Sheet1!$Q:$S))</f>
        <v/>
      </c>
      <c r="T334" s="15" t="str">
        <f>IF(Sheet2!F334="","",Sheet2!F334&amp;"""")</f>
        <v/>
      </c>
      <c r="U334" s="12" t="str" cm="1">
        <f t="array" ref="U334">IF(T334="","",_xlfn.XLOOKUP(G334,[1]Sheet1!$G:$G,[1]Sheet1!$U:$W))</f>
        <v/>
      </c>
      <c r="X334" s="15" t="str">
        <f>IF(Sheet2!G334="","",Sheet2!G334&amp;"''")</f>
        <v/>
      </c>
    </row>
    <row r="335" spans="7:24" x14ac:dyDescent="0.25">
      <c r="G335" s="15" t="str">
        <f>IF(Sheet2!A335="","",Sheet2!A335)</f>
        <v/>
      </c>
      <c r="H335" s="18" t="str">
        <f>IF(Sheet2!O335="","",LEFT(Sheet2!O335, FIND(" ", Sheet2!O335)-1))</f>
        <v/>
      </c>
      <c r="I335" s="15" t="str">
        <f>IF(Sheet2!S335&lt;19,ROUND(Sheet2!I335,2)&amp;"'",IF(Sheet2!S335&lt;25,ROUND(Sheet2!J335,2)&amp;"'",IF(Sheet2!S335&lt;31,ROUND(Sheet2!K335,2)&amp;"'",IF(Sheet2!S335&lt;37,ROUND(Sheet2!L335,2)&amp;"'",""))))</f>
        <v/>
      </c>
      <c r="L335" s="15" t="str">
        <f>IF(Sheet2!D335="","",Sheet2!D335&amp;"''")</f>
        <v/>
      </c>
      <c r="O335" s="16" t="str">
        <f>IF(Sheet2!H335="","",ROUND(Sheet2!H335,2)&amp;"'")</f>
        <v/>
      </c>
      <c r="P335" s="18" t="str">
        <f>IF(Sheet2!E335="","",Sheet2!E335&amp;"''")</f>
        <v/>
      </c>
      <c r="Q335" s="12" t="str" cm="1">
        <f t="array" ref="Q335">IF(P335="","",_xlfn.XLOOKUP(G335,[1]Sheet1!$G:$G,[1]Sheet1!$Q:$S))</f>
        <v/>
      </c>
      <c r="T335" s="15" t="str">
        <f>IF(Sheet2!F335="","",Sheet2!F335&amp;"""")</f>
        <v/>
      </c>
      <c r="U335" s="12" t="str" cm="1">
        <f t="array" ref="U335">IF(T335="","",_xlfn.XLOOKUP(G335,[1]Sheet1!$G:$G,[1]Sheet1!$U:$W))</f>
        <v/>
      </c>
      <c r="X335" s="15" t="str">
        <f>IF(Sheet2!G335="","",Sheet2!G335&amp;"''")</f>
        <v/>
      </c>
    </row>
    <row r="336" spans="7:24" x14ac:dyDescent="0.25">
      <c r="G336" s="15" t="str">
        <f>IF(Sheet2!A336="","",Sheet2!A336)</f>
        <v/>
      </c>
      <c r="H336" s="18" t="str">
        <f>IF(Sheet2!O336="","",LEFT(Sheet2!O336, FIND(" ", Sheet2!O336)-1))</f>
        <v/>
      </c>
      <c r="I336" s="15" t="str">
        <f>IF(Sheet2!S336&lt;19,ROUND(Sheet2!I336,2)&amp;"'",IF(Sheet2!S336&lt;25,ROUND(Sheet2!J336,2)&amp;"'",IF(Sheet2!S336&lt;31,ROUND(Sheet2!K336,2)&amp;"'",IF(Sheet2!S336&lt;37,ROUND(Sheet2!L336,2)&amp;"'",""))))</f>
        <v/>
      </c>
      <c r="L336" s="15" t="str">
        <f>IF(Sheet2!D336="","",Sheet2!D336&amp;"''")</f>
        <v/>
      </c>
      <c r="O336" s="16" t="str">
        <f>IF(Sheet2!H336="","",ROUND(Sheet2!H336,2)&amp;"'")</f>
        <v/>
      </c>
      <c r="P336" s="18" t="str">
        <f>IF(Sheet2!E336="","",Sheet2!E336&amp;"''")</f>
        <v/>
      </c>
      <c r="Q336" s="12" t="str" cm="1">
        <f t="array" ref="Q336">IF(P336="","",_xlfn.XLOOKUP(G336,[1]Sheet1!$G:$G,[1]Sheet1!$Q:$S))</f>
        <v/>
      </c>
      <c r="T336" s="15" t="str">
        <f>IF(Sheet2!F336="","",Sheet2!F336&amp;"""")</f>
        <v/>
      </c>
      <c r="U336" s="12" t="str" cm="1">
        <f t="array" ref="U336">IF(T336="","",_xlfn.XLOOKUP(G336,[1]Sheet1!$G:$G,[1]Sheet1!$U:$W))</f>
        <v/>
      </c>
      <c r="X336" s="15" t="str">
        <f>IF(Sheet2!G336="","",Sheet2!G336&amp;"''")</f>
        <v/>
      </c>
    </row>
    <row r="337" spans="7:24" x14ac:dyDescent="0.25">
      <c r="G337" s="15" t="str">
        <f>IF(Sheet2!A337="","",Sheet2!A337)</f>
        <v/>
      </c>
      <c r="H337" s="18" t="str">
        <f>IF(Sheet2!O337="","",LEFT(Sheet2!O337, FIND(" ", Sheet2!O337)-1))</f>
        <v/>
      </c>
      <c r="I337" s="15" t="str">
        <f>IF(Sheet2!S337&lt;19,ROUND(Sheet2!I337,2)&amp;"'",IF(Sheet2!S337&lt;25,ROUND(Sheet2!J337,2)&amp;"'",IF(Sheet2!S337&lt;31,ROUND(Sheet2!K337,2)&amp;"'",IF(Sheet2!S337&lt;37,ROUND(Sheet2!L337,2)&amp;"'",""))))</f>
        <v/>
      </c>
      <c r="L337" s="15" t="str">
        <f>IF(Sheet2!D337="","",Sheet2!D337&amp;"''")</f>
        <v/>
      </c>
      <c r="O337" s="16" t="str">
        <f>IF(Sheet2!H337="","",ROUND(Sheet2!H337,2)&amp;"'")</f>
        <v/>
      </c>
      <c r="P337" s="18" t="str">
        <f>IF(Sheet2!E337="","",Sheet2!E337&amp;"''")</f>
        <v/>
      </c>
      <c r="Q337" s="12" t="str" cm="1">
        <f t="array" ref="Q337">IF(P337="","",_xlfn.XLOOKUP(G337,[1]Sheet1!$G:$G,[1]Sheet1!$Q:$S))</f>
        <v/>
      </c>
      <c r="T337" s="15" t="str">
        <f>IF(Sheet2!F337="","",Sheet2!F337&amp;"""")</f>
        <v/>
      </c>
      <c r="U337" s="12" t="str" cm="1">
        <f t="array" ref="U337">IF(T337="","",_xlfn.XLOOKUP(G337,[1]Sheet1!$G:$G,[1]Sheet1!$U:$W))</f>
        <v/>
      </c>
      <c r="X337" s="15" t="str">
        <f>IF(Sheet2!G337="","",Sheet2!G337&amp;"''")</f>
        <v/>
      </c>
    </row>
    <row r="338" spans="7:24" x14ac:dyDescent="0.25">
      <c r="G338" s="15" t="str">
        <f>IF(Sheet2!A338="","",Sheet2!A338)</f>
        <v/>
      </c>
      <c r="H338" s="18" t="str">
        <f>IF(Sheet2!O338="","",LEFT(Sheet2!O338, FIND(" ", Sheet2!O338)-1))</f>
        <v/>
      </c>
      <c r="I338" s="15" t="str">
        <f>IF(Sheet2!S338&lt;19,ROUND(Sheet2!I338,2)&amp;"'",IF(Sheet2!S338&lt;25,ROUND(Sheet2!J338,2)&amp;"'",IF(Sheet2!S338&lt;31,ROUND(Sheet2!K338,2)&amp;"'",IF(Sheet2!S338&lt;37,ROUND(Sheet2!L338,2)&amp;"'",""))))</f>
        <v/>
      </c>
      <c r="L338" s="15" t="str">
        <f>IF(Sheet2!D338="","",Sheet2!D338&amp;"''")</f>
        <v/>
      </c>
      <c r="O338" s="16" t="str">
        <f>IF(Sheet2!H338="","",ROUND(Sheet2!H338,2)&amp;"'")</f>
        <v/>
      </c>
      <c r="P338" s="18" t="str">
        <f>IF(Sheet2!E338="","",Sheet2!E338&amp;"''")</f>
        <v/>
      </c>
      <c r="Q338" s="12" t="str" cm="1">
        <f t="array" ref="Q338">IF(P338="","",_xlfn.XLOOKUP(G338,[1]Sheet1!$G:$G,[1]Sheet1!$Q:$S))</f>
        <v/>
      </c>
      <c r="T338" s="15" t="str">
        <f>IF(Sheet2!F338="","",Sheet2!F338&amp;"""")</f>
        <v/>
      </c>
      <c r="U338" s="12" t="str" cm="1">
        <f t="array" ref="U338">IF(T338="","",_xlfn.XLOOKUP(G338,[1]Sheet1!$G:$G,[1]Sheet1!$U:$W))</f>
        <v/>
      </c>
      <c r="X338" s="15" t="str">
        <f>IF(Sheet2!G338="","",Sheet2!G338&amp;"''")</f>
        <v/>
      </c>
    </row>
    <row r="339" spans="7:24" x14ac:dyDescent="0.25">
      <c r="G339" s="15" t="str">
        <f>IF(Sheet2!A339="","",Sheet2!A339)</f>
        <v/>
      </c>
      <c r="H339" s="18" t="str">
        <f>IF(Sheet2!O339="","",LEFT(Sheet2!O339, FIND(" ", Sheet2!O339)-1))</f>
        <v/>
      </c>
      <c r="I339" s="15" t="str">
        <f>IF(Sheet2!S339&lt;19,ROUND(Sheet2!I339,2)&amp;"'",IF(Sheet2!S339&lt;25,ROUND(Sheet2!J339,2)&amp;"'",IF(Sheet2!S339&lt;31,ROUND(Sheet2!K339,2)&amp;"'",IF(Sheet2!S339&lt;37,ROUND(Sheet2!L339,2)&amp;"'",""))))</f>
        <v/>
      </c>
      <c r="L339" s="15" t="str">
        <f>IF(Sheet2!D339="","",Sheet2!D339&amp;"''")</f>
        <v/>
      </c>
      <c r="O339" s="16" t="str">
        <f>IF(Sheet2!H339="","",ROUND(Sheet2!H339,2)&amp;"'")</f>
        <v/>
      </c>
      <c r="P339" s="18" t="str">
        <f>IF(Sheet2!E339="","",Sheet2!E339&amp;"''")</f>
        <v/>
      </c>
      <c r="Q339" s="12" t="str" cm="1">
        <f t="array" ref="Q339">IF(P339="","",_xlfn.XLOOKUP(G339,[1]Sheet1!$G:$G,[1]Sheet1!$Q:$S))</f>
        <v/>
      </c>
      <c r="T339" s="15" t="str">
        <f>IF(Sheet2!F339="","",Sheet2!F339&amp;"""")</f>
        <v/>
      </c>
      <c r="U339" s="12" t="str" cm="1">
        <f t="array" ref="U339">IF(T339="","",_xlfn.XLOOKUP(G339,[1]Sheet1!$G:$G,[1]Sheet1!$U:$W))</f>
        <v/>
      </c>
      <c r="X339" s="15" t="str">
        <f>IF(Sheet2!G339="","",Sheet2!G339&amp;"''")</f>
        <v/>
      </c>
    </row>
    <row r="340" spans="7:24" x14ac:dyDescent="0.25">
      <c r="G340" s="15" t="str">
        <f>IF(Sheet2!A340="","",Sheet2!A340)</f>
        <v/>
      </c>
      <c r="H340" s="18" t="str">
        <f>IF(Sheet2!O340="","",LEFT(Sheet2!O340, FIND(" ", Sheet2!O340)-1))</f>
        <v/>
      </c>
      <c r="I340" s="15" t="str">
        <f>IF(Sheet2!S340&lt;19,ROUND(Sheet2!I340,2)&amp;"'",IF(Sheet2!S340&lt;25,ROUND(Sheet2!J340,2)&amp;"'",IF(Sheet2!S340&lt;31,ROUND(Sheet2!K340,2)&amp;"'",IF(Sheet2!S340&lt;37,ROUND(Sheet2!L340,2)&amp;"'",""))))</f>
        <v/>
      </c>
      <c r="L340" s="15" t="str">
        <f>IF(Sheet2!D340="","",Sheet2!D340&amp;"''")</f>
        <v/>
      </c>
      <c r="O340" s="16" t="str">
        <f>IF(Sheet2!H340="","",ROUND(Sheet2!H340,2)&amp;"'")</f>
        <v/>
      </c>
      <c r="P340" s="18" t="str">
        <f>IF(Sheet2!E340="","",Sheet2!E340&amp;"''")</f>
        <v/>
      </c>
      <c r="Q340" s="12" t="str" cm="1">
        <f t="array" ref="Q340">IF(P340="","",_xlfn.XLOOKUP(G340,[1]Sheet1!$G:$G,[1]Sheet1!$Q:$S))</f>
        <v/>
      </c>
      <c r="T340" s="15" t="str">
        <f>IF(Sheet2!F340="","",Sheet2!F340&amp;"""")</f>
        <v/>
      </c>
      <c r="U340" s="12" t="str" cm="1">
        <f t="array" ref="U340">IF(T340="","",_xlfn.XLOOKUP(G340,[1]Sheet1!$G:$G,[1]Sheet1!$U:$W))</f>
        <v/>
      </c>
      <c r="X340" s="15" t="str">
        <f>IF(Sheet2!G340="","",Sheet2!G340&amp;"''")</f>
        <v/>
      </c>
    </row>
    <row r="341" spans="7:24" x14ac:dyDescent="0.25">
      <c r="G341" s="15" t="str">
        <f>IF(Sheet2!A341="","",Sheet2!A341)</f>
        <v/>
      </c>
      <c r="H341" s="18" t="str">
        <f>IF(Sheet2!O341="","",LEFT(Sheet2!O341, FIND(" ", Sheet2!O341)-1))</f>
        <v/>
      </c>
      <c r="I341" s="15" t="str">
        <f>IF(Sheet2!S341&lt;19,ROUND(Sheet2!I341,2)&amp;"'",IF(Sheet2!S341&lt;25,ROUND(Sheet2!J341,2)&amp;"'",IF(Sheet2!S341&lt;31,ROUND(Sheet2!K341,2)&amp;"'",IF(Sheet2!S341&lt;37,ROUND(Sheet2!L341,2)&amp;"'",""))))</f>
        <v/>
      </c>
      <c r="L341" s="15" t="str">
        <f>IF(Sheet2!D341="","",Sheet2!D341&amp;"''")</f>
        <v/>
      </c>
      <c r="O341" s="16" t="str">
        <f>IF(Sheet2!H341="","",ROUND(Sheet2!H341,2)&amp;"'")</f>
        <v/>
      </c>
      <c r="P341" s="18" t="str">
        <f>IF(Sheet2!E341="","",Sheet2!E341&amp;"''")</f>
        <v/>
      </c>
      <c r="Q341" s="12" t="str" cm="1">
        <f t="array" ref="Q341">IF(P341="","",_xlfn.XLOOKUP(G341,[1]Sheet1!$G:$G,[1]Sheet1!$Q:$S))</f>
        <v/>
      </c>
      <c r="T341" s="15" t="str">
        <f>IF(Sheet2!F341="","",Sheet2!F341&amp;"""")</f>
        <v/>
      </c>
      <c r="U341" s="12" t="str" cm="1">
        <f t="array" ref="U341">IF(T341="","",_xlfn.XLOOKUP(G341,[1]Sheet1!$G:$G,[1]Sheet1!$U:$W))</f>
        <v/>
      </c>
      <c r="X341" s="15" t="str">
        <f>IF(Sheet2!G341="","",Sheet2!G341&amp;"''")</f>
        <v/>
      </c>
    </row>
    <row r="342" spans="7:24" x14ac:dyDescent="0.25">
      <c r="G342" s="15" t="str">
        <f>IF(Sheet2!A342="","",Sheet2!A342)</f>
        <v/>
      </c>
      <c r="H342" s="18" t="str">
        <f>IF(Sheet2!O342="","",LEFT(Sheet2!O342, FIND(" ", Sheet2!O342)-1))</f>
        <v/>
      </c>
      <c r="I342" s="15" t="str">
        <f>IF(Sheet2!S342&lt;19,ROUND(Sheet2!I342,2)&amp;"'",IF(Sheet2!S342&lt;25,ROUND(Sheet2!J342,2)&amp;"'",IF(Sheet2!S342&lt;31,ROUND(Sheet2!K342,2)&amp;"'",IF(Sheet2!S342&lt;37,ROUND(Sheet2!L342,2)&amp;"'",""))))</f>
        <v/>
      </c>
      <c r="L342" s="15" t="str">
        <f>IF(Sheet2!D342="","",Sheet2!D342&amp;"''")</f>
        <v/>
      </c>
      <c r="O342" s="16" t="str">
        <f>IF(Sheet2!H342="","",ROUND(Sheet2!H342,2)&amp;"'")</f>
        <v/>
      </c>
      <c r="P342" s="18" t="str">
        <f>IF(Sheet2!E342="","",Sheet2!E342&amp;"''")</f>
        <v/>
      </c>
      <c r="Q342" s="12" t="str" cm="1">
        <f t="array" ref="Q342">IF(P342="","",_xlfn.XLOOKUP(G342,[1]Sheet1!$G:$G,[1]Sheet1!$Q:$S))</f>
        <v/>
      </c>
      <c r="T342" s="15" t="str">
        <f>IF(Sheet2!F342="","",Sheet2!F342&amp;"""")</f>
        <v/>
      </c>
      <c r="U342" s="12" t="str" cm="1">
        <f t="array" ref="U342">IF(T342="","",_xlfn.XLOOKUP(G342,[1]Sheet1!$G:$G,[1]Sheet1!$U:$W))</f>
        <v/>
      </c>
      <c r="X342" s="15" t="str">
        <f>IF(Sheet2!G342="","",Sheet2!G342&amp;"''")</f>
        <v/>
      </c>
    </row>
    <row r="343" spans="7:24" x14ac:dyDescent="0.25">
      <c r="G343" s="15" t="str">
        <f>IF(Sheet2!A343="","",Sheet2!A343)</f>
        <v/>
      </c>
      <c r="H343" s="18" t="str">
        <f>IF(Sheet2!O343="","",LEFT(Sheet2!O343, FIND(" ", Sheet2!O343)-1))</f>
        <v/>
      </c>
      <c r="I343" s="15" t="str">
        <f>IF(Sheet2!S343&lt;19,ROUND(Sheet2!I343,2)&amp;"'",IF(Sheet2!S343&lt;25,ROUND(Sheet2!J343,2)&amp;"'",IF(Sheet2!S343&lt;31,ROUND(Sheet2!K343,2)&amp;"'",IF(Sheet2!S343&lt;37,ROUND(Sheet2!L343,2)&amp;"'",""))))</f>
        <v/>
      </c>
      <c r="L343" s="15" t="str">
        <f>IF(Sheet2!D343="","",Sheet2!D343&amp;"''")</f>
        <v/>
      </c>
      <c r="O343" s="16" t="str">
        <f>IF(Sheet2!H343="","",ROUND(Sheet2!H343,2)&amp;"'")</f>
        <v/>
      </c>
      <c r="P343" s="18" t="str">
        <f>IF(Sheet2!E343="","",Sheet2!E343&amp;"''")</f>
        <v/>
      </c>
      <c r="Q343" s="12" t="str" cm="1">
        <f t="array" ref="Q343">IF(P343="","",_xlfn.XLOOKUP(G343,[1]Sheet1!$G:$G,[1]Sheet1!$Q:$S))</f>
        <v/>
      </c>
      <c r="T343" s="15" t="str">
        <f>IF(Sheet2!F343="","",Sheet2!F343&amp;"""")</f>
        <v/>
      </c>
      <c r="U343" s="12" t="str" cm="1">
        <f t="array" ref="U343">IF(T343="","",_xlfn.XLOOKUP(G343,[1]Sheet1!$G:$G,[1]Sheet1!$U:$W))</f>
        <v/>
      </c>
      <c r="X343" s="15" t="str">
        <f>IF(Sheet2!G343="","",Sheet2!G343&amp;"''")</f>
        <v/>
      </c>
    </row>
    <row r="344" spans="7:24" x14ac:dyDescent="0.25">
      <c r="G344" s="15" t="str">
        <f>IF(Sheet2!A344="","",Sheet2!A344)</f>
        <v/>
      </c>
      <c r="H344" s="18" t="str">
        <f>IF(Sheet2!O344="","",LEFT(Sheet2!O344, FIND(" ", Sheet2!O344)-1))</f>
        <v/>
      </c>
      <c r="I344" s="15" t="str">
        <f>IF(Sheet2!S344&lt;19,ROUND(Sheet2!I344,2)&amp;"'",IF(Sheet2!S344&lt;25,ROUND(Sheet2!J344,2)&amp;"'",IF(Sheet2!S344&lt;31,ROUND(Sheet2!K344,2)&amp;"'",IF(Sheet2!S344&lt;37,ROUND(Sheet2!L344,2)&amp;"'",""))))</f>
        <v/>
      </c>
      <c r="L344" s="15" t="str">
        <f>IF(Sheet2!D344="","",Sheet2!D344&amp;"''")</f>
        <v/>
      </c>
      <c r="O344" s="16" t="str">
        <f>IF(Sheet2!H344="","",ROUND(Sheet2!H344,2)&amp;"'")</f>
        <v/>
      </c>
      <c r="P344" s="18" t="str">
        <f>IF(Sheet2!E344="","",Sheet2!E344&amp;"''")</f>
        <v/>
      </c>
      <c r="Q344" s="12" t="str" cm="1">
        <f t="array" ref="Q344">IF(P344="","",_xlfn.XLOOKUP(G344,[1]Sheet1!$G:$G,[1]Sheet1!$Q:$S))</f>
        <v/>
      </c>
      <c r="T344" s="15" t="str">
        <f>IF(Sheet2!F344="","",Sheet2!F344&amp;"""")</f>
        <v/>
      </c>
      <c r="U344" s="12" t="str" cm="1">
        <f t="array" ref="U344">IF(T344="","",_xlfn.XLOOKUP(G344,[1]Sheet1!$G:$G,[1]Sheet1!$U:$W))</f>
        <v/>
      </c>
      <c r="X344" s="15" t="str">
        <f>IF(Sheet2!G344="","",Sheet2!G344&amp;"''")</f>
        <v/>
      </c>
    </row>
    <row r="345" spans="7:24" x14ac:dyDescent="0.25">
      <c r="G345" s="15" t="str">
        <f>IF(Sheet2!A345="","",Sheet2!A345)</f>
        <v/>
      </c>
      <c r="H345" s="18" t="str">
        <f>IF(Sheet2!O345="","",LEFT(Sheet2!O345, FIND(" ", Sheet2!O345)-1))</f>
        <v/>
      </c>
      <c r="I345" s="15" t="str">
        <f>IF(Sheet2!S345&lt;19,ROUND(Sheet2!I345,2)&amp;"'",IF(Sheet2!S345&lt;25,ROUND(Sheet2!J345,2)&amp;"'",IF(Sheet2!S345&lt;31,ROUND(Sheet2!K345,2)&amp;"'",IF(Sheet2!S345&lt;37,ROUND(Sheet2!L345,2)&amp;"'",""))))</f>
        <v/>
      </c>
      <c r="L345" s="15" t="str">
        <f>IF(Sheet2!D345="","",Sheet2!D345&amp;"''")</f>
        <v/>
      </c>
      <c r="O345" s="16" t="str">
        <f>IF(Sheet2!H345="","",ROUND(Sheet2!H345,2)&amp;"'")</f>
        <v/>
      </c>
      <c r="P345" s="18" t="str">
        <f>IF(Sheet2!E345="","",Sheet2!E345&amp;"''")</f>
        <v/>
      </c>
      <c r="Q345" s="12" t="str" cm="1">
        <f t="array" ref="Q345">IF(P345="","",_xlfn.XLOOKUP(G345,[1]Sheet1!$G:$G,[1]Sheet1!$Q:$S))</f>
        <v/>
      </c>
      <c r="T345" s="15" t="str">
        <f>IF(Sheet2!F345="","",Sheet2!F345&amp;"""")</f>
        <v/>
      </c>
      <c r="U345" s="12" t="str" cm="1">
        <f t="array" ref="U345">IF(T345="","",_xlfn.XLOOKUP(G345,[1]Sheet1!$G:$G,[1]Sheet1!$U:$W))</f>
        <v/>
      </c>
      <c r="X345" s="15" t="str">
        <f>IF(Sheet2!G345="","",Sheet2!G345&amp;"''")</f>
        <v/>
      </c>
    </row>
    <row r="346" spans="7:24" x14ac:dyDescent="0.25">
      <c r="G346" s="15" t="str">
        <f>IF(Sheet2!A346="","",Sheet2!A346)</f>
        <v/>
      </c>
      <c r="H346" s="18" t="str">
        <f>IF(Sheet2!O346="","",LEFT(Sheet2!O346, FIND(" ", Sheet2!O346)-1))</f>
        <v/>
      </c>
      <c r="I346" s="15" t="str">
        <f>IF(Sheet2!S346&lt;19,ROUND(Sheet2!I346,2)&amp;"'",IF(Sheet2!S346&lt;25,ROUND(Sheet2!J346,2)&amp;"'",IF(Sheet2!S346&lt;31,ROUND(Sheet2!K346,2)&amp;"'",IF(Sheet2!S346&lt;37,ROUND(Sheet2!L346,2)&amp;"'",""))))</f>
        <v/>
      </c>
      <c r="L346" s="15" t="str">
        <f>IF(Sheet2!D346="","",Sheet2!D346&amp;"''")</f>
        <v/>
      </c>
      <c r="O346" s="16" t="str">
        <f>IF(Sheet2!H346="","",ROUND(Sheet2!H346,2)&amp;"'")</f>
        <v/>
      </c>
      <c r="P346" s="18" t="str">
        <f>IF(Sheet2!E346="","",Sheet2!E346&amp;"''")</f>
        <v/>
      </c>
      <c r="Q346" s="12" t="str" cm="1">
        <f t="array" ref="Q346">IF(P346="","",_xlfn.XLOOKUP(G346,[1]Sheet1!$G:$G,[1]Sheet1!$Q:$S))</f>
        <v/>
      </c>
      <c r="T346" s="15" t="str">
        <f>IF(Sheet2!F346="","",Sheet2!F346&amp;"""")</f>
        <v/>
      </c>
      <c r="U346" s="12" t="str" cm="1">
        <f t="array" ref="U346">IF(T346="","",_xlfn.XLOOKUP(G346,[1]Sheet1!$G:$G,[1]Sheet1!$U:$W))</f>
        <v/>
      </c>
      <c r="X346" s="15" t="str">
        <f>IF(Sheet2!G346="","",Sheet2!G346&amp;"''")</f>
        <v/>
      </c>
    </row>
    <row r="347" spans="7:24" x14ac:dyDescent="0.25">
      <c r="G347" s="15" t="str">
        <f>IF(Sheet2!A347="","",Sheet2!A347)</f>
        <v/>
      </c>
      <c r="H347" s="18" t="str">
        <f>IF(Sheet2!O347="","",LEFT(Sheet2!O347, FIND(" ", Sheet2!O347)-1))</f>
        <v/>
      </c>
      <c r="I347" s="15" t="str">
        <f>IF(Sheet2!S347&lt;19,ROUND(Sheet2!I347,2)&amp;"'",IF(Sheet2!S347&lt;25,ROUND(Sheet2!J347,2)&amp;"'",IF(Sheet2!S347&lt;31,ROUND(Sheet2!K347,2)&amp;"'",IF(Sheet2!S347&lt;37,ROUND(Sheet2!L347,2)&amp;"'",""))))</f>
        <v/>
      </c>
      <c r="L347" s="15" t="str">
        <f>IF(Sheet2!D347="","",Sheet2!D347&amp;"''")</f>
        <v/>
      </c>
      <c r="O347" s="16" t="str">
        <f>IF(Sheet2!H347="","",ROUND(Sheet2!H347,2)&amp;"'")</f>
        <v/>
      </c>
      <c r="P347" s="18" t="str">
        <f>IF(Sheet2!E347="","",Sheet2!E347&amp;"''")</f>
        <v/>
      </c>
      <c r="Q347" s="12" t="str" cm="1">
        <f t="array" ref="Q347">IF(P347="","",_xlfn.XLOOKUP(G347,[1]Sheet1!$G:$G,[1]Sheet1!$Q:$S))</f>
        <v/>
      </c>
      <c r="T347" s="15" t="str">
        <f>IF(Sheet2!F347="","",Sheet2!F347&amp;"""")</f>
        <v/>
      </c>
      <c r="U347" s="12" t="str" cm="1">
        <f t="array" ref="U347">IF(T347="","",_xlfn.XLOOKUP(G347,[1]Sheet1!$G:$G,[1]Sheet1!$U:$W))</f>
        <v/>
      </c>
      <c r="X347" s="15" t="str">
        <f>IF(Sheet2!G347="","",Sheet2!G347&amp;"''")</f>
        <v/>
      </c>
    </row>
    <row r="348" spans="7:24" x14ac:dyDescent="0.25">
      <c r="G348" s="15" t="str">
        <f>IF(Sheet2!A348="","",Sheet2!A348)</f>
        <v/>
      </c>
      <c r="H348" s="18" t="str">
        <f>IF(Sheet2!O348="","",LEFT(Sheet2!O348, FIND(" ", Sheet2!O348)-1))</f>
        <v/>
      </c>
      <c r="I348" s="15" t="str">
        <f>IF(Sheet2!S348&lt;19,ROUND(Sheet2!I348,2)&amp;"'",IF(Sheet2!S348&lt;25,ROUND(Sheet2!J348,2)&amp;"'",IF(Sheet2!S348&lt;31,ROUND(Sheet2!K348,2)&amp;"'",IF(Sheet2!S348&lt;37,ROUND(Sheet2!L348,2)&amp;"'",""))))</f>
        <v/>
      </c>
      <c r="L348" s="15" t="str">
        <f>IF(Sheet2!D348="","",Sheet2!D348&amp;"''")</f>
        <v/>
      </c>
      <c r="O348" s="16" t="str">
        <f>IF(Sheet2!H348="","",ROUND(Sheet2!H348,2)&amp;"'")</f>
        <v/>
      </c>
      <c r="P348" s="18" t="str">
        <f>IF(Sheet2!E348="","",Sheet2!E348&amp;"''")</f>
        <v/>
      </c>
      <c r="Q348" s="12" t="str" cm="1">
        <f t="array" ref="Q348">IF(P348="","",_xlfn.XLOOKUP(G348,[1]Sheet1!$G:$G,[1]Sheet1!$Q:$S))</f>
        <v/>
      </c>
      <c r="T348" s="15" t="str">
        <f>IF(Sheet2!F348="","",Sheet2!F348&amp;"""")</f>
        <v/>
      </c>
      <c r="U348" s="12" t="str" cm="1">
        <f t="array" ref="U348">IF(T348="","",_xlfn.XLOOKUP(G348,[1]Sheet1!$G:$G,[1]Sheet1!$U:$W))</f>
        <v/>
      </c>
      <c r="X348" s="15" t="str">
        <f>IF(Sheet2!G348="","",Sheet2!G348&amp;"''")</f>
        <v/>
      </c>
    </row>
    <row r="349" spans="7:24" x14ac:dyDescent="0.25">
      <c r="G349" s="15" t="str">
        <f>IF(Sheet2!A349="","",Sheet2!A349)</f>
        <v/>
      </c>
      <c r="H349" s="18" t="str">
        <f>IF(Sheet2!O349="","",LEFT(Sheet2!O349, FIND(" ", Sheet2!O349)-1))</f>
        <v/>
      </c>
      <c r="I349" s="15" t="str">
        <f>IF(Sheet2!S349&lt;19,ROUND(Sheet2!I349,2)&amp;"'",IF(Sheet2!S349&lt;25,ROUND(Sheet2!J349,2)&amp;"'",IF(Sheet2!S349&lt;31,ROUND(Sheet2!K349,2)&amp;"'",IF(Sheet2!S349&lt;37,ROUND(Sheet2!L349,2)&amp;"'",""))))</f>
        <v/>
      </c>
      <c r="L349" s="15" t="str">
        <f>IF(Sheet2!D349="","",Sheet2!D349&amp;"''")</f>
        <v/>
      </c>
      <c r="O349" s="16" t="str">
        <f>IF(Sheet2!H349="","",ROUND(Sheet2!H349,2)&amp;"'")</f>
        <v/>
      </c>
      <c r="P349" s="18" t="str">
        <f>IF(Sheet2!E349="","",Sheet2!E349&amp;"''")</f>
        <v/>
      </c>
      <c r="Q349" s="12" t="str" cm="1">
        <f t="array" ref="Q349">IF(P349="","",_xlfn.XLOOKUP(G349,[1]Sheet1!$G:$G,[1]Sheet1!$Q:$S))</f>
        <v/>
      </c>
      <c r="T349" s="15" t="str">
        <f>IF(Sheet2!F349="","",Sheet2!F349&amp;"""")</f>
        <v/>
      </c>
      <c r="U349" s="12" t="str" cm="1">
        <f t="array" ref="U349">IF(T349="","",_xlfn.XLOOKUP(G349,[1]Sheet1!$G:$G,[1]Sheet1!$U:$W))</f>
        <v/>
      </c>
      <c r="X349" s="15" t="str">
        <f>IF(Sheet2!G349="","",Sheet2!G349&amp;"''")</f>
        <v/>
      </c>
    </row>
    <row r="350" spans="7:24" x14ac:dyDescent="0.25">
      <c r="G350" s="15" t="str">
        <f>IF(Sheet2!A350="","",Sheet2!A350)</f>
        <v/>
      </c>
      <c r="H350" s="18" t="str">
        <f>IF(Sheet2!O350="","",LEFT(Sheet2!O350, FIND(" ", Sheet2!O350)-1))</f>
        <v/>
      </c>
      <c r="I350" s="15" t="str">
        <f>IF(Sheet2!S350&lt;19,ROUND(Sheet2!I350,2)&amp;"'",IF(Sheet2!S350&lt;25,ROUND(Sheet2!J350,2)&amp;"'",IF(Sheet2!S350&lt;31,ROUND(Sheet2!K350,2)&amp;"'",IF(Sheet2!S350&lt;37,ROUND(Sheet2!L350,2)&amp;"'",""))))</f>
        <v/>
      </c>
      <c r="L350" s="15" t="str">
        <f>IF(Sheet2!D350="","",Sheet2!D350&amp;"''")</f>
        <v/>
      </c>
      <c r="O350" s="16" t="str">
        <f>IF(Sheet2!H350="","",ROUND(Sheet2!H350,2)&amp;"'")</f>
        <v/>
      </c>
      <c r="P350" s="18" t="str">
        <f>IF(Sheet2!E350="","",Sheet2!E350&amp;"''")</f>
        <v/>
      </c>
      <c r="Q350" s="12" t="str" cm="1">
        <f t="array" ref="Q350">IF(P350="","",_xlfn.XLOOKUP(G350,[1]Sheet1!$G:$G,[1]Sheet1!$Q:$S))</f>
        <v/>
      </c>
      <c r="T350" s="15" t="str">
        <f>IF(Sheet2!F350="","",Sheet2!F350&amp;"""")</f>
        <v/>
      </c>
      <c r="U350" s="12" t="str" cm="1">
        <f t="array" ref="U350">IF(T350="","",_xlfn.XLOOKUP(G350,[1]Sheet1!$G:$G,[1]Sheet1!$U:$W))</f>
        <v/>
      </c>
      <c r="X350" s="15" t="str">
        <f>IF(Sheet2!G350="","",Sheet2!G350&amp;"''")</f>
        <v/>
      </c>
    </row>
    <row r="351" spans="7:24" x14ac:dyDescent="0.25">
      <c r="G351" s="15" t="str">
        <f>IF(Sheet2!A351="","",Sheet2!A351)</f>
        <v/>
      </c>
      <c r="H351" s="18" t="str">
        <f>IF(Sheet2!O351="","",LEFT(Sheet2!O351, FIND(" ", Sheet2!O351)-1))</f>
        <v/>
      </c>
      <c r="I351" s="15" t="str">
        <f>IF(Sheet2!S351&lt;19,ROUND(Sheet2!I351,2)&amp;"'",IF(Sheet2!S351&lt;25,ROUND(Sheet2!J351,2)&amp;"'",IF(Sheet2!S351&lt;31,ROUND(Sheet2!K351,2)&amp;"'",IF(Sheet2!S351&lt;37,ROUND(Sheet2!L351,2)&amp;"'",""))))</f>
        <v/>
      </c>
      <c r="L351" s="15" t="str">
        <f>IF(Sheet2!D351="","",Sheet2!D351&amp;"''")</f>
        <v/>
      </c>
      <c r="O351" s="16" t="str">
        <f>IF(Sheet2!H351="","",ROUND(Sheet2!H351,2)&amp;"'")</f>
        <v/>
      </c>
      <c r="P351" s="18" t="str">
        <f>IF(Sheet2!E351="","",Sheet2!E351&amp;"''")</f>
        <v/>
      </c>
      <c r="Q351" s="12" t="str" cm="1">
        <f t="array" ref="Q351">IF(P351="","",_xlfn.XLOOKUP(G351,[1]Sheet1!$G:$G,[1]Sheet1!$Q:$S))</f>
        <v/>
      </c>
      <c r="T351" s="15" t="str">
        <f>IF(Sheet2!F351="","",Sheet2!F351&amp;"""")</f>
        <v/>
      </c>
      <c r="U351" s="12" t="str" cm="1">
        <f t="array" ref="U351">IF(T351="","",_xlfn.XLOOKUP(G351,[1]Sheet1!$G:$G,[1]Sheet1!$U:$W))</f>
        <v/>
      </c>
      <c r="X351" s="15" t="str">
        <f>IF(Sheet2!G351="","",Sheet2!G351&amp;"''")</f>
        <v/>
      </c>
    </row>
    <row r="352" spans="7:24" x14ac:dyDescent="0.25">
      <c r="G352" s="15" t="str">
        <f>IF(Sheet2!A352="","",Sheet2!A352)</f>
        <v/>
      </c>
      <c r="H352" s="18" t="str">
        <f>IF(Sheet2!O352="","",LEFT(Sheet2!O352, FIND(" ", Sheet2!O352)-1))</f>
        <v/>
      </c>
      <c r="I352" s="15" t="str">
        <f>IF(Sheet2!S352&lt;19,ROUND(Sheet2!I352,2)&amp;"'",IF(Sheet2!S352&lt;25,ROUND(Sheet2!J352,2)&amp;"'",IF(Sheet2!S352&lt;31,ROUND(Sheet2!K352,2)&amp;"'",IF(Sheet2!S352&lt;37,ROUND(Sheet2!L352,2)&amp;"'",""))))</f>
        <v/>
      </c>
      <c r="L352" s="15" t="str">
        <f>IF(Sheet2!D352="","",Sheet2!D352&amp;"''")</f>
        <v/>
      </c>
      <c r="O352" s="16" t="str">
        <f>IF(Sheet2!H352="","",ROUND(Sheet2!H352,2)&amp;"'")</f>
        <v/>
      </c>
      <c r="P352" s="18" t="str">
        <f>IF(Sheet2!E352="","",Sheet2!E352&amp;"''")</f>
        <v/>
      </c>
      <c r="Q352" s="12" t="str" cm="1">
        <f t="array" ref="Q352">IF(P352="","",_xlfn.XLOOKUP(G352,[1]Sheet1!$G:$G,[1]Sheet1!$Q:$S))</f>
        <v/>
      </c>
      <c r="T352" s="15" t="str">
        <f>IF(Sheet2!F352="","",Sheet2!F352&amp;"""")</f>
        <v/>
      </c>
      <c r="U352" s="12" t="str" cm="1">
        <f t="array" ref="U352">IF(T352="","",_xlfn.XLOOKUP(G352,[1]Sheet1!$G:$G,[1]Sheet1!$U:$W))</f>
        <v/>
      </c>
      <c r="X352" s="15" t="str">
        <f>IF(Sheet2!G352="","",Sheet2!G352&amp;"''")</f>
        <v/>
      </c>
    </row>
    <row r="353" spans="7:24" x14ac:dyDescent="0.25">
      <c r="G353" s="15" t="str">
        <f>IF(Sheet2!A353="","",Sheet2!A353)</f>
        <v/>
      </c>
      <c r="H353" s="18" t="str">
        <f>IF(Sheet2!O353="","",LEFT(Sheet2!O353, FIND(" ", Sheet2!O353)-1))</f>
        <v/>
      </c>
      <c r="I353" s="15" t="str">
        <f>IF(Sheet2!S353&lt;19,ROUND(Sheet2!I353,2)&amp;"'",IF(Sheet2!S353&lt;25,ROUND(Sheet2!J353,2)&amp;"'",IF(Sheet2!S353&lt;31,ROUND(Sheet2!K353,2)&amp;"'",IF(Sheet2!S353&lt;37,ROUND(Sheet2!L353,2)&amp;"'",""))))</f>
        <v/>
      </c>
      <c r="L353" s="15" t="str">
        <f>IF(Sheet2!D353="","",Sheet2!D353&amp;"''")</f>
        <v/>
      </c>
      <c r="O353" s="16" t="str">
        <f>IF(Sheet2!H353="","",ROUND(Sheet2!H353,2)&amp;"'")</f>
        <v/>
      </c>
      <c r="P353" s="18" t="str">
        <f>IF(Sheet2!E353="","",Sheet2!E353&amp;"''")</f>
        <v/>
      </c>
      <c r="Q353" s="12" t="str" cm="1">
        <f t="array" ref="Q353">IF(P353="","",_xlfn.XLOOKUP(G353,[1]Sheet1!$G:$G,[1]Sheet1!$Q:$S))</f>
        <v/>
      </c>
      <c r="T353" s="15" t="str">
        <f>IF(Sheet2!F353="","",Sheet2!F353&amp;"""")</f>
        <v/>
      </c>
      <c r="U353" s="12" t="str" cm="1">
        <f t="array" ref="U353">IF(T353="","",_xlfn.XLOOKUP(G353,[1]Sheet1!$G:$G,[1]Sheet1!$U:$W))</f>
        <v/>
      </c>
      <c r="X353" s="15" t="str">
        <f>IF(Sheet2!G353="","",Sheet2!G353&amp;"''")</f>
        <v/>
      </c>
    </row>
    <row r="354" spans="7:24" x14ac:dyDescent="0.25">
      <c r="G354" s="15" t="str">
        <f>IF(Sheet2!A354="","",Sheet2!A354)</f>
        <v/>
      </c>
      <c r="H354" s="18" t="str">
        <f>IF(Sheet2!O354="","",LEFT(Sheet2!O354, FIND(" ", Sheet2!O354)-1))</f>
        <v/>
      </c>
      <c r="I354" s="15" t="str">
        <f>IF(Sheet2!S354&lt;19,ROUND(Sheet2!I354,2)&amp;"'",IF(Sheet2!S354&lt;25,ROUND(Sheet2!J354,2)&amp;"'",IF(Sheet2!S354&lt;31,ROUND(Sheet2!K354,2)&amp;"'",IF(Sheet2!S354&lt;37,ROUND(Sheet2!L354,2)&amp;"'",""))))</f>
        <v/>
      </c>
      <c r="L354" s="15" t="str">
        <f>IF(Sheet2!D354="","",Sheet2!D354&amp;"''")</f>
        <v/>
      </c>
      <c r="O354" s="16" t="str">
        <f>IF(Sheet2!H354="","",ROUND(Sheet2!H354,2)&amp;"'")</f>
        <v/>
      </c>
      <c r="P354" s="18" t="str">
        <f>IF(Sheet2!E354="","",Sheet2!E354&amp;"''")</f>
        <v/>
      </c>
      <c r="Q354" s="12" t="str" cm="1">
        <f t="array" ref="Q354">IF(P354="","",_xlfn.XLOOKUP(G354,[1]Sheet1!$G:$G,[1]Sheet1!$Q:$S))</f>
        <v/>
      </c>
      <c r="T354" s="15" t="str">
        <f>IF(Sheet2!F354="","",Sheet2!F354&amp;"""")</f>
        <v/>
      </c>
      <c r="U354" s="12" t="str" cm="1">
        <f t="array" ref="U354">IF(T354="","",_xlfn.XLOOKUP(G354,[1]Sheet1!$G:$G,[1]Sheet1!$U:$W))</f>
        <v/>
      </c>
      <c r="X354" s="15" t="str">
        <f>IF(Sheet2!G354="","",Sheet2!G354&amp;"''")</f>
        <v/>
      </c>
    </row>
    <row r="355" spans="7:24" x14ac:dyDescent="0.25">
      <c r="G355" s="15" t="str">
        <f>IF(Sheet2!A355="","",Sheet2!A355)</f>
        <v/>
      </c>
      <c r="H355" s="18" t="str">
        <f>IF(Sheet2!O355="","",LEFT(Sheet2!O355, FIND(" ", Sheet2!O355)-1))</f>
        <v/>
      </c>
      <c r="I355" s="15" t="str">
        <f>IF(Sheet2!S355&lt;19,ROUND(Sheet2!I355,2)&amp;"'",IF(Sheet2!S355&lt;25,ROUND(Sheet2!J355,2)&amp;"'",IF(Sheet2!S355&lt;31,ROUND(Sheet2!K355,2)&amp;"'",IF(Sheet2!S355&lt;37,ROUND(Sheet2!L355,2)&amp;"'",""))))</f>
        <v/>
      </c>
      <c r="L355" s="15" t="str">
        <f>IF(Sheet2!D355="","",Sheet2!D355&amp;"''")</f>
        <v/>
      </c>
      <c r="O355" s="16" t="str">
        <f>IF(Sheet2!H355="","",ROUND(Sheet2!H355,2)&amp;"'")</f>
        <v/>
      </c>
      <c r="P355" s="18" t="str">
        <f>IF(Sheet2!E355="","",Sheet2!E355&amp;"''")</f>
        <v/>
      </c>
      <c r="Q355" s="12" t="str" cm="1">
        <f t="array" ref="Q355">IF(P355="","",_xlfn.XLOOKUP(G355,[1]Sheet1!$G:$G,[1]Sheet1!$Q:$S))</f>
        <v/>
      </c>
      <c r="T355" s="15" t="str">
        <f>IF(Sheet2!F355="","",Sheet2!F355&amp;"""")</f>
        <v/>
      </c>
      <c r="U355" s="12" t="str" cm="1">
        <f t="array" ref="U355">IF(T355="","",_xlfn.XLOOKUP(G355,[1]Sheet1!$G:$G,[1]Sheet1!$U:$W))</f>
        <v/>
      </c>
      <c r="X355" s="15" t="str">
        <f>IF(Sheet2!G355="","",Sheet2!G355&amp;"''")</f>
        <v/>
      </c>
    </row>
    <row r="356" spans="7:24" x14ac:dyDescent="0.25">
      <c r="G356" s="15" t="str">
        <f>IF(Sheet2!A356="","",Sheet2!A356)</f>
        <v/>
      </c>
      <c r="H356" s="18" t="str">
        <f>IF(Sheet2!O356="","",LEFT(Sheet2!O356, FIND(" ", Sheet2!O356)-1))</f>
        <v/>
      </c>
      <c r="I356" s="15" t="str">
        <f>IF(Sheet2!S356&lt;19,ROUND(Sheet2!I356,2)&amp;"'",IF(Sheet2!S356&lt;25,ROUND(Sheet2!J356,2)&amp;"'",IF(Sheet2!S356&lt;31,ROUND(Sheet2!K356,2)&amp;"'",IF(Sheet2!S356&lt;37,ROUND(Sheet2!L356,2)&amp;"'",""))))</f>
        <v/>
      </c>
      <c r="L356" s="15" t="str">
        <f>IF(Sheet2!D356="","",Sheet2!D356&amp;"''")</f>
        <v/>
      </c>
      <c r="O356" s="16" t="str">
        <f>IF(Sheet2!H356="","",ROUND(Sheet2!H356,2)&amp;"'")</f>
        <v/>
      </c>
      <c r="P356" s="18" t="str">
        <f>IF(Sheet2!E356="","",Sheet2!E356&amp;"''")</f>
        <v/>
      </c>
      <c r="Q356" s="12" t="str" cm="1">
        <f t="array" ref="Q356">IF(P356="","",_xlfn.XLOOKUP(G356,[1]Sheet1!$G:$G,[1]Sheet1!$Q:$S))</f>
        <v/>
      </c>
      <c r="T356" s="15" t="str">
        <f>IF(Sheet2!F356="","",Sheet2!F356&amp;"""")</f>
        <v/>
      </c>
      <c r="U356" s="12" t="str" cm="1">
        <f t="array" ref="U356">IF(T356="","",_xlfn.XLOOKUP(G356,[1]Sheet1!$G:$G,[1]Sheet1!$U:$W))</f>
        <v/>
      </c>
      <c r="X356" s="15" t="str">
        <f>IF(Sheet2!G356="","",Sheet2!G356&amp;"''")</f>
        <v/>
      </c>
    </row>
    <row r="357" spans="7:24" x14ac:dyDescent="0.25">
      <c r="G357" s="15" t="str">
        <f>IF(Sheet2!A357="","",Sheet2!A357)</f>
        <v/>
      </c>
      <c r="H357" s="18" t="str">
        <f>IF(Sheet2!O357="","",LEFT(Sheet2!O357, FIND(" ", Sheet2!O357)-1))</f>
        <v/>
      </c>
      <c r="I357" s="15" t="str">
        <f>IF(Sheet2!S357&lt;19,ROUND(Sheet2!I357,2)&amp;"'",IF(Sheet2!S357&lt;25,ROUND(Sheet2!J357,2)&amp;"'",IF(Sheet2!S357&lt;31,ROUND(Sheet2!K357,2)&amp;"'",IF(Sheet2!S357&lt;37,ROUND(Sheet2!L357,2)&amp;"'",""))))</f>
        <v/>
      </c>
      <c r="L357" s="15" t="str">
        <f>IF(Sheet2!D357="","",Sheet2!D357&amp;"''")</f>
        <v/>
      </c>
      <c r="O357" s="16" t="str">
        <f>IF(Sheet2!H357="","",ROUND(Sheet2!H357,2)&amp;"'")</f>
        <v/>
      </c>
      <c r="P357" s="18" t="str">
        <f>IF(Sheet2!E357="","",Sheet2!E357&amp;"''")</f>
        <v/>
      </c>
      <c r="Q357" s="12" t="str" cm="1">
        <f t="array" ref="Q357">IF(P357="","",_xlfn.XLOOKUP(G357,[1]Sheet1!$G:$G,[1]Sheet1!$Q:$S))</f>
        <v/>
      </c>
      <c r="T357" s="15" t="str">
        <f>IF(Sheet2!F357="","",Sheet2!F357&amp;"""")</f>
        <v/>
      </c>
      <c r="U357" s="12" t="str" cm="1">
        <f t="array" ref="U357">IF(T357="","",_xlfn.XLOOKUP(G357,[1]Sheet1!$G:$G,[1]Sheet1!$U:$W))</f>
        <v/>
      </c>
      <c r="X357" s="15" t="str">
        <f>IF(Sheet2!G357="","",Sheet2!G357&amp;"''")</f>
        <v/>
      </c>
    </row>
    <row r="358" spans="7:24" x14ac:dyDescent="0.25">
      <c r="G358" s="15" t="str">
        <f>IF(Sheet2!A358="","",Sheet2!A358)</f>
        <v/>
      </c>
      <c r="H358" s="18" t="str">
        <f>IF(Sheet2!O358="","",LEFT(Sheet2!O358, FIND(" ", Sheet2!O358)-1))</f>
        <v/>
      </c>
      <c r="I358" s="15" t="str">
        <f>IF(Sheet2!S358&lt;19,ROUND(Sheet2!I358,2)&amp;"'",IF(Sheet2!S358&lt;25,ROUND(Sheet2!J358,2)&amp;"'",IF(Sheet2!S358&lt;31,ROUND(Sheet2!K358,2)&amp;"'",IF(Sheet2!S358&lt;37,ROUND(Sheet2!L358,2)&amp;"'",""))))</f>
        <v/>
      </c>
      <c r="L358" s="15" t="str">
        <f>IF(Sheet2!D358="","",Sheet2!D358&amp;"''")</f>
        <v/>
      </c>
      <c r="O358" s="16" t="str">
        <f>IF(Sheet2!H358="","",ROUND(Sheet2!H358,2)&amp;"'")</f>
        <v/>
      </c>
      <c r="P358" s="18" t="str">
        <f>IF(Sheet2!E358="","",Sheet2!E358&amp;"''")</f>
        <v/>
      </c>
      <c r="Q358" s="12" t="str" cm="1">
        <f t="array" ref="Q358">IF(P358="","",_xlfn.XLOOKUP(G358,[1]Sheet1!$G:$G,[1]Sheet1!$Q:$S))</f>
        <v/>
      </c>
      <c r="T358" s="15" t="str">
        <f>IF(Sheet2!F358="","",Sheet2!F358&amp;"""")</f>
        <v/>
      </c>
      <c r="U358" s="12" t="str" cm="1">
        <f t="array" ref="U358">IF(T358="","",_xlfn.XLOOKUP(G358,[1]Sheet1!$G:$G,[1]Sheet1!$U:$W))</f>
        <v/>
      </c>
      <c r="X358" s="15" t="str">
        <f>IF(Sheet2!G358="","",Sheet2!G358&amp;"''")</f>
        <v/>
      </c>
    </row>
    <row r="359" spans="7:24" x14ac:dyDescent="0.25">
      <c r="G359" s="15" t="str">
        <f>IF(Sheet2!A359="","",Sheet2!A359)</f>
        <v/>
      </c>
      <c r="H359" s="18" t="str">
        <f>IF(Sheet2!O359="","",LEFT(Sheet2!O359, FIND(" ", Sheet2!O359)-1))</f>
        <v/>
      </c>
      <c r="I359" s="15" t="str">
        <f>IF(Sheet2!S359&lt;19,ROUND(Sheet2!I359,2)&amp;"'",IF(Sheet2!S359&lt;25,ROUND(Sheet2!J359,2)&amp;"'",IF(Sheet2!S359&lt;31,ROUND(Sheet2!K359,2)&amp;"'",IF(Sheet2!S359&lt;37,ROUND(Sheet2!L359,2)&amp;"'",""))))</f>
        <v/>
      </c>
      <c r="L359" s="15" t="str">
        <f>IF(Sheet2!D359="","",Sheet2!D359&amp;"''")</f>
        <v/>
      </c>
      <c r="O359" s="16" t="str">
        <f>IF(Sheet2!H359="","",ROUND(Sheet2!H359,2)&amp;"'")</f>
        <v/>
      </c>
      <c r="P359" s="18" t="str">
        <f>IF(Sheet2!E359="","",Sheet2!E359&amp;"''")</f>
        <v/>
      </c>
      <c r="Q359" s="12" t="str" cm="1">
        <f t="array" ref="Q359">IF(P359="","",_xlfn.XLOOKUP(G359,[1]Sheet1!$G:$G,[1]Sheet1!$Q:$S))</f>
        <v/>
      </c>
      <c r="T359" s="15" t="str">
        <f>IF(Sheet2!F359="","",Sheet2!F359&amp;"""")</f>
        <v/>
      </c>
      <c r="U359" s="12" t="str" cm="1">
        <f t="array" ref="U359">IF(T359="","",_xlfn.XLOOKUP(G359,[1]Sheet1!$G:$G,[1]Sheet1!$U:$W))</f>
        <v/>
      </c>
      <c r="X359" s="15" t="str">
        <f>IF(Sheet2!G359="","",Sheet2!G359&amp;"''")</f>
        <v/>
      </c>
    </row>
    <row r="360" spans="7:24" x14ac:dyDescent="0.25">
      <c r="G360" s="15" t="str">
        <f>IF(Sheet2!A360="","",Sheet2!A360)</f>
        <v/>
      </c>
      <c r="H360" s="18" t="str">
        <f>IF(Sheet2!O360="","",LEFT(Sheet2!O360, FIND(" ", Sheet2!O360)-1))</f>
        <v/>
      </c>
      <c r="I360" s="15" t="str">
        <f>IF(Sheet2!S360&lt;19,ROUND(Sheet2!I360,2)&amp;"'",IF(Sheet2!S360&lt;25,ROUND(Sheet2!J360,2)&amp;"'",IF(Sheet2!S360&lt;31,ROUND(Sheet2!K360,2)&amp;"'",IF(Sheet2!S360&lt;37,ROUND(Sheet2!L360,2)&amp;"'",""))))</f>
        <v/>
      </c>
      <c r="L360" s="15" t="str">
        <f>IF(Sheet2!D360="","",Sheet2!D360&amp;"''")</f>
        <v/>
      </c>
      <c r="O360" s="16" t="str">
        <f>IF(Sheet2!H360="","",ROUND(Sheet2!H360,2)&amp;"'")</f>
        <v/>
      </c>
      <c r="P360" s="18" t="str">
        <f>IF(Sheet2!E360="","",Sheet2!E360&amp;"''")</f>
        <v/>
      </c>
      <c r="Q360" s="12" t="str" cm="1">
        <f t="array" ref="Q360">IF(P360="","",_xlfn.XLOOKUP(G360,[1]Sheet1!$G:$G,[1]Sheet1!$Q:$S))</f>
        <v/>
      </c>
      <c r="T360" s="15" t="str">
        <f>IF(Sheet2!F360="","",Sheet2!F360&amp;"""")</f>
        <v/>
      </c>
      <c r="U360" s="12" t="str" cm="1">
        <f t="array" ref="U360">IF(T360="","",_xlfn.XLOOKUP(G360,[1]Sheet1!$G:$G,[1]Sheet1!$U:$W))</f>
        <v/>
      </c>
      <c r="X360" s="15" t="str">
        <f>IF(Sheet2!G360="","",Sheet2!G360&amp;"''")</f>
        <v/>
      </c>
    </row>
    <row r="361" spans="7:24" x14ac:dyDescent="0.25">
      <c r="G361" s="15" t="str">
        <f>IF(Sheet2!A361="","",Sheet2!A361)</f>
        <v/>
      </c>
      <c r="H361" s="18" t="str">
        <f>IF(Sheet2!O361="","",LEFT(Sheet2!O361, FIND(" ", Sheet2!O361)-1))</f>
        <v/>
      </c>
      <c r="I361" s="15" t="str">
        <f>IF(Sheet2!S361&lt;19,ROUND(Sheet2!I361,2)&amp;"'",IF(Sheet2!S361&lt;25,ROUND(Sheet2!J361,2)&amp;"'",IF(Sheet2!S361&lt;31,ROUND(Sheet2!K361,2)&amp;"'",IF(Sheet2!S361&lt;37,ROUND(Sheet2!L361,2)&amp;"'",""))))</f>
        <v/>
      </c>
      <c r="L361" s="15" t="str">
        <f>IF(Sheet2!D361="","",Sheet2!D361&amp;"''")</f>
        <v/>
      </c>
      <c r="O361" s="16" t="str">
        <f>IF(Sheet2!H361="","",ROUND(Sheet2!H361,2)&amp;"'")</f>
        <v/>
      </c>
      <c r="P361" s="18" t="str">
        <f>IF(Sheet2!E361="","",Sheet2!E361&amp;"''")</f>
        <v/>
      </c>
      <c r="Q361" s="12" t="str" cm="1">
        <f t="array" ref="Q361">IF(P361="","",_xlfn.XLOOKUP(G361,[1]Sheet1!$G:$G,[1]Sheet1!$Q:$S))</f>
        <v/>
      </c>
      <c r="T361" s="15" t="str">
        <f>IF(Sheet2!F361="","",Sheet2!F361&amp;"""")</f>
        <v/>
      </c>
      <c r="U361" s="12" t="str" cm="1">
        <f t="array" ref="U361">IF(T361="","",_xlfn.XLOOKUP(G361,[1]Sheet1!$G:$G,[1]Sheet1!$U:$W))</f>
        <v/>
      </c>
      <c r="X361" s="15" t="str">
        <f>IF(Sheet2!G361="","",Sheet2!G361&amp;"''")</f>
        <v/>
      </c>
    </row>
    <row r="362" spans="7:24" x14ac:dyDescent="0.25">
      <c r="G362" s="15" t="str">
        <f>IF(Sheet2!A362="","",Sheet2!A362)</f>
        <v/>
      </c>
      <c r="H362" s="18" t="str">
        <f>IF(Sheet2!O362="","",LEFT(Sheet2!O362, FIND(" ", Sheet2!O362)-1))</f>
        <v/>
      </c>
      <c r="I362" s="15" t="str">
        <f>IF(Sheet2!S362&lt;19,ROUND(Sheet2!I362,2)&amp;"'",IF(Sheet2!S362&lt;25,ROUND(Sheet2!J362,2)&amp;"'",IF(Sheet2!S362&lt;31,ROUND(Sheet2!K362,2)&amp;"'",IF(Sheet2!S362&lt;37,ROUND(Sheet2!L362,2)&amp;"'",""))))</f>
        <v/>
      </c>
      <c r="L362" s="15" t="str">
        <f>IF(Sheet2!D362="","",Sheet2!D362&amp;"''")</f>
        <v/>
      </c>
      <c r="O362" s="16" t="str">
        <f>IF(Sheet2!H362="","",ROUND(Sheet2!H362,2)&amp;"'")</f>
        <v/>
      </c>
      <c r="P362" s="18" t="str">
        <f>IF(Sheet2!E362="","",Sheet2!E362&amp;"''")</f>
        <v/>
      </c>
      <c r="Q362" s="12" t="str" cm="1">
        <f t="array" ref="Q362">IF(P362="","",_xlfn.XLOOKUP(G362,[1]Sheet1!$G:$G,[1]Sheet1!$Q:$S))</f>
        <v/>
      </c>
      <c r="T362" s="15" t="str">
        <f>IF(Sheet2!F362="","",Sheet2!F362&amp;"""")</f>
        <v/>
      </c>
      <c r="U362" s="12" t="str" cm="1">
        <f t="array" ref="U362">IF(T362="","",_xlfn.XLOOKUP(G362,[1]Sheet1!$G:$G,[1]Sheet1!$U:$W))</f>
        <v/>
      </c>
      <c r="X362" s="15" t="str">
        <f>IF(Sheet2!G362="","",Sheet2!G362&amp;"''")</f>
        <v/>
      </c>
    </row>
    <row r="363" spans="7:24" x14ac:dyDescent="0.25">
      <c r="G363" s="15" t="str">
        <f>IF(Sheet2!A363="","",Sheet2!A363)</f>
        <v/>
      </c>
      <c r="H363" s="18" t="str">
        <f>IF(Sheet2!O363="","",LEFT(Sheet2!O363, FIND(" ", Sheet2!O363)-1))</f>
        <v/>
      </c>
      <c r="I363" s="15" t="str">
        <f>IF(Sheet2!S363&lt;19,ROUND(Sheet2!I363,2)&amp;"'",IF(Sheet2!S363&lt;25,ROUND(Sheet2!J363,2)&amp;"'",IF(Sheet2!S363&lt;31,ROUND(Sheet2!K363,2)&amp;"'",IF(Sheet2!S363&lt;37,ROUND(Sheet2!L363,2)&amp;"'",""))))</f>
        <v/>
      </c>
      <c r="L363" s="15" t="str">
        <f>IF(Sheet2!D363="","",Sheet2!D363&amp;"''")</f>
        <v/>
      </c>
      <c r="O363" s="16" t="str">
        <f>IF(Sheet2!H363="","",ROUND(Sheet2!H363,2)&amp;"'")</f>
        <v/>
      </c>
      <c r="P363" s="18" t="str">
        <f>IF(Sheet2!E363="","",Sheet2!E363&amp;"''")</f>
        <v/>
      </c>
      <c r="Q363" s="12" t="str" cm="1">
        <f t="array" ref="Q363">IF(P363="","",_xlfn.XLOOKUP(G363,[1]Sheet1!$G:$G,[1]Sheet1!$Q:$S))</f>
        <v/>
      </c>
      <c r="T363" s="15" t="str">
        <f>IF(Sheet2!F363="","",Sheet2!F363&amp;"""")</f>
        <v/>
      </c>
      <c r="U363" s="12" t="str" cm="1">
        <f t="array" ref="U363">IF(T363="","",_xlfn.XLOOKUP(G363,[1]Sheet1!$G:$G,[1]Sheet1!$U:$W))</f>
        <v/>
      </c>
      <c r="X363" s="15" t="str">
        <f>IF(Sheet2!G363="","",Sheet2!G363&amp;"''")</f>
        <v/>
      </c>
    </row>
    <row r="364" spans="7:24" x14ac:dyDescent="0.25">
      <c r="G364" s="15" t="str">
        <f>IF(Sheet2!A364="","",Sheet2!A364)</f>
        <v/>
      </c>
      <c r="H364" s="18" t="str">
        <f>IF(Sheet2!O364="","",LEFT(Sheet2!O364, FIND(" ", Sheet2!O364)-1))</f>
        <v/>
      </c>
      <c r="I364" s="15" t="str">
        <f>IF(Sheet2!S364&lt;19,ROUND(Sheet2!I364,2)&amp;"'",IF(Sheet2!S364&lt;25,ROUND(Sheet2!J364,2)&amp;"'",IF(Sheet2!S364&lt;31,ROUND(Sheet2!K364,2)&amp;"'",IF(Sheet2!S364&lt;37,ROUND(Sheet2!L364,2)&amp;"'",""))))</f>
        <v/>
      </c>
      <c r="L364" s="15" t="str">
        <f>IF(Sheet2!D364="","",Sheet2!D364&amp;"''")</f>
        <v/>
      </c>
      <c r="O364" s="16" t="str">
        <f>IF(Sheet2!H364="","",ROUND(Sheet2!H364,2)&amp;"'")</f>
        <v/>
      </c>
      <c r="P364" s="18" t="str">
        <f>IF(Sheet2!E364="","",Sheet2!E364&amp;"''")</f>
        <v/>
      </c>
      <c r="Q364" s="12" t="str" cm="1">
        <f t="array" ref="Q364">IF(P364="","",_xlfn.XLOOKUP(G364,[1]Sheet1!$G:$G,[1]Sheet1!$Q:$S))</f>
        <v/>
      </c>
      <c r="T364" s="15" t="str">
        <f>IF(Sheet2!F364="","",Sheet2!F364&amp;"""")</f>
        <v/>
      </c>
      <c r="U364" s="12" t="str" cm="1">
        <f t="array" ref="U364">IF(T364="","",_xlfn.XLOOKUP(G364,[1]Sheet1!$G:$G,[1]Sheet1!$U:$W))</f>
        <v/>
      </c>
      <c r="X364" s="15" t="str">
        <f>IF(Sheet2!G364="","",Sheet2!G364&amp;"''")</f>
        <v/>
      </c>
    </row>
    <row r="365" spans="7:24" x14ac:dyDescent="0.25">
      <c r="G365" s="15" t="str">
        <f>IF(Sheet2!A365="","",Sheet2!A365)</f>
        <v/>
      </c>
      <c r="H365" s="18" t="str">
        <f>IF(Sheet2!O365="","",LEFT(Sheet2!O365, FIND(" ", Sheet2!O365)-1))</f>
        <v/>
      </c>
      <c r="I365" s="15" t="str">
        <f>IF(Sheet2!S365&lt;19,ROUND(Sheet2!I365,2)&amp;"'",IF(Sheet2!S365&lt;25,ROUND(Sheet2!J365,2)&amp;"'",IF(Sheet2!S365&lt;31,ROUND(Sheet2!K365,2)&amp;"'",IF(Sheet2!S365&lt;37,ROUND(Sheet2!L365,2)&amp;"'",""))))</f>
        <v/>
      </c>
      <c r="L365" s="15" t="str">
        <f>IF(Sheet2!D365="","",Sheet2!D365&amp;"''")</f>
        <v/>
      </c>
      <c r="O365" s="16" t="str">
        <f>IF(Sheet2!H365="","",ROUND(Sheet2!H365,2)&amp;"'")</f>
        <v/>
      </c>
      <c r="P365" s="18" t="str">
        <f>IF(Sheet2!E365="","",Sheet2!E365&amp;"''")</f>
        <v/>
      </c>
      <c r="Q365" s="12" t="str" cm="1">
        <f t="array" ref="Q365">IF(P365="","",_xlfn.XLOOKUP(G365,[1]Sheet1!$G:$G,[1]Sheet1!$Q:$S))</f>
        <v/>
      </c>
      <c r="T365" s="15" t="str">
        <f>IF(Sheet2!F365="","",Sheet2!F365&amp;"""")</f>
        <v/>
      </c>
      <c r="U365" s="12" t="str" cm="1">
        <f t="array" ref="U365">IF(T365="","",_xlfn.XLOOKUP(G365,[1]Sheet1!$G:$G,[1]Sheet1!$U:$W))</f>
        <v/>
      </c>
      <c r="X365" s="15" t="str">
        <f>IF(Sheet2!G365="","",Sheet2!G365&amp;"''")</f>
        <v/>
      </c>
    </row>
    <row r="366" spans="7:24" x14ac:dyDescent="0.25">
      <c r="G366" s="15" t="str">
        <f>IF(Sheet2!A366="","",Sheet2!A366)</f>
        <v/>
      </c>
      <c r="H366" s="18" t="str">
        <f>IF(Sheet2!O366="","",LEFT(Sheet2!O366, FIND(" ", Sheet2!O366)-1))</f>
        <v/>
      </c>
      <c r="I366" s="15" t="str">
        <f>IF(Sheet2!S366&lt;19,ROUND(Sheet2!I366,2)&amp;"'",IF(Sheet2!S366&lt;25,ROUND(Sheet2!J366,2)&amp;"'",IF(Sheet2!S366&lt;31,ROUND(Sheet2!K366,2)&amp;"'",IF(Sheet2!S366&lt;37,ROUND(Sheet2!L366,2)&amp;"'",""))))</f>
        <v/>
      </c>
      <c r="L366" s="15" t="str">
        <f>IF(Sheet2!D366="","",Sheet2!D366&amp;"''")</f>
        <v/>
      </c>
      <c r="O366" s="16" t="str">
        <f>IF(Sheet2!H366="","",ROUND(Sheet2!H366,2)&amp;"'")</f>
        <v/>
      </c>
      <c r="P366" s="18" t="str">
        <f>IF(Sheet2!E366="","",Sheet2!E366&amp;"''")</f>
        <v/>
      </c>
      <c r="Q366" s="12" t="str" cm="1">
        <f t="array" ref="Q366">IF(P366="","",_xlfn.XLOOKUP(G366,[1]Sheet1!$G:$G,[1]Sheet1!$Q:$S))</f>
        <v/>
      </c>
      <c r="T366" s="15" t="str">
        <f>IF(Sheet2!F366="","",Sheet2!F366&amp;"""")</f>
        <v/>
      </c>
      <c r="U366" s="12" t="str" cm="1">
        <f t="array" ref="U366">IF(T366="","",_xlfn.XLOOKUP(G366,[1]Sheet1!$G:$G,[1]Sheet1!$U:$W))</f>
        <v/>
      </c>
      <c r="X366" s="15" t="str">
        <f>IF(Sheet2!G366="","",Sheet2!G366&amp;"''")</f>
        <v/>
      </c>
    </row>
    <row r="367" spans="7:24" x14ac:dyDescent="0.25">
      <c r="G367" s="15" t="str">
        <f>IF(Sheet2!A367="","",Sheet2!A367)</f>
        <v/>
      </c>
      <c r="H367" s="18" t="str">
        <f>IF(Sheet2!O367="","",LEFT(Sheet2!O367, FIND(" ", Sheet2!O367)-1))</f>
        <v/>
      </c>
      <c r="I367" s="15" t="str">
        <f>IF(Sheet2!S367&lt;19,ROUND(Sheet2!I367,2)&amp;"'",IF(Sheet2!S367&lt;25,ROUND(Sheet2!J367,2)&amp;"'",IF(Sheet2!S367&lt;31,ROUND(Sheet2!K367,2)&amp;"'",IF(Sheet2!S367&lt;37,ROUND(Sheet2!L367,2)&amp;"'",""))))</f>
        <v/>
      </c>
      <c r="L367" s="15" t="str">
        <f>IF(Sheet2!D367="","",Sheet2!D367&amp;"''")</f>
        <v/>
      </c>
      <c r="O367" s="16" t="str">
        <f>IF(Sheet2!H367="","",ROUND(Sheet2!H367,2)&amp;"'")</f>
        <v/>
      </c>
      <c r="P367" s="18" t="str">
        <f>IF(Sheet2!E367="","",Sheet2!E367&amp;"''")</f>
        <v/>
      </c>
      <c r="Q367" s="12" t="str" cm="1">
        <f t="array" ref="Q367">IF(P367="","",_xlfn.XLOOKUP(G367,[1]Sheet1!$G:$G,[1]Sheet1!$Q:$S))</f>
        <v/>
      </c>
      <c r="T367" s="15" t="str">
        <f>IF(Sheet2!F367="","",Sheet2!F367&amp;"""")</f>
        <v/>
      </c>
      <c r="U367" s="12" t="str" cm="1">
        <f t="array" ref="U367">IF(T367="","",_xlfn.XLOOKUP(G367,[1]Sheet1!$G:$G,[1]Sheet1!$U:$W))</f>
        <v/>
      </c>
      <c r="X367" s="15" t="str">
        <f>IF(Sheet2!G367="","",Sheet2!G367&amp;"''")</f>
        <v/>
      </c>
    </row>
    <row r="368" spans="7:24" x14ac:dyDescent="0.25">
      <c r="G368" s="15" t="str">
        <f>IF(Sheet2!A368="","",Sheet2!A368)</f>
        <v/>
      </c>
      <c r="H368" s="18" t="str">
        <f>IF(Sheet2!O368="","",LEFT(Sheet2!O368, FIND(" ", Sheet2!O368)-1))</f>
        <v/>
      </c>
      <c r="I368" s="15" t="str">
        <f>IF(Sheet2!S368&lt;19,ROUND(Sheet2!I368,2)&amp;"'",IF(Sheet2!S368&lt;25,ROUND(Sheet2!J368,2)&amp;"'",IF(Sheet2!S368&lt;31,ROUND(Sheet2!K368,2)&amp;"'",IF(Sheet2!S368&lt;37,ROUND(Sheet2!L368,2)&amp;"'",""))))</f>
        <v/>
      </c>
      <c r="L368" s="15" t="str">
        <f>IF(Sheet2!D368="","",Sheet2!D368&amp;"''")</f>
        <v/>
      </c>
      <c r="O368" s="16" t="str">
        <f>IF(Sheet2!H368="","",ROUND(Sheet2!H368,2)&amp;"'")</f>
        <v/>
      </c>
      <c r="P368" s="18" t="str">
        <f>IF(Sheet2!E368="","",Sheet2!E368&amp;"''")</f>
        <v/>
      </c>
      <c r="Q368" s="12" t="str" cm="1">
        <f t="array" ref="Q368">IF(P368="","",_xlfn.XLOOKUP(G368,[1]Sheet1!$G:$G,[1]Sheet1!$Q:$S))</f>
        <v/>
      </c>
      <c r="T368" s="15" t="str">
        <f>IF(Sheet2!F368="","",Sheet2!F368&amp;"""")</f>
        <v/>
      </c>
      <c r="U368" s="12" t="str" cm="1">
        <f t="array" ref="U368">IF(T368="","",_xlfn.XLOOKUP(G368,[1]Sheet1!$G:$G,[1]Sheet1!$U:$W))</f>
        <v/>
      </c>
      <c r="X368" s="15" t="str">
        <f>IF(Sheet2!G368="","",Sheet2!G368&amp;"''")</f>
        <v/>
      </c>
    </row>
    <row r="369" spans="7:24" x14ac:dyDescent="0.25">
      <c r="G369" s="15" t="str">
        <f>IF(Sheet2!A369="","",Sheet2!A369)</f>
        <v/>
      </c>
      <c r="H369" s="18" t="str">
        <f>IF(Sheet2!O369="","",LEFT(Sheet2!O369, FIND(" ", Sheet2!O369)-1))</f>
        <v/>
      </c>
      <c r="I369" s="15" t="str">
        <f>IF(Sheet2!S369&lt;19,ROUND(Sheet2!I369,2)&amp;"'",IF(Sheet2!S369&lt;25,ROUND(Sheet2!J369,2)&amp;"'",IF(Sheet2!S369&lt;31,ROUND(Sheet2!K369,2)&amp;"'",IF(Sheet2!S369&lt;37,ROUND(Sheet2!L369,2)&amp;"'",""))))</f>
        <v/>
      </c>
      <c r="L369" s="15" t="str">
        <f>IF(Sheet2!D369="","",Sheet2!D369&amp;"''")</f>
        <v/>
      </c>
      <c r="O369" s="16" t="str">
        <f>IF(Sheet2!H369="","",ROUND(Sheet2!H369,2)&amp;"'")</f>
        <v/>
      </c>
      <c r="P369" s="18" t="str">
        <f>IF(Sheet2!E369="","",Sheet2!E369&amp;"''")</f>
        <v/>
      </c>
      <c r="Q369" s="12" t="str" cm="1">
        <f t="array" ref="Q369">IF(P369="","",_xlfn.XLOOKUP(G369,[1]Sheet1!$G:$G,[1]Sheet1!$Q:$S))</f>
        <v/>
      </c>
      <c r="T369" s="15" t="str">
        <f>IF(Sheet2!F369="","",Sheet2!F369&amp;"""")</f>
        <v/>
      </c>
      <c r="U369" s="12" t="str" cm="1">
        <f t="array" ref="U369">IF(T369="","",_xlfn.XLOOKUP(G369,[1]Sheet1!$G:$G,[1]Sheet1!$U:$W))</f>
        <v/>
      </c>
      <c r="X369" s="15" t="str">
        <f>IF(Sheet2!G369="","",Sheet2!G369&amp;"''")</f>
        <v/>
      </c>
    </row>
    <row r="370" spans="7:24" x14ac:dyDescent="0.25">
      <c r="G370" s="15" t="str">
        <f>IF(Sheet2!A370="","",Sheet2!A370)</f>
        <v/>
      </c>
      <c r="H370" s="18" t="str">
        <f>IF(Sheet2!O370="","",LEFT(Sheet2!O370, FIND(" ", Sheet2!O370)-1))</f>
        <v/>
      </c>
      <c r="I370" s="15" t="str">
        <f>IF(Sheet2!S370&lt;19,ROUND(Sheet2!I370,2)&amp;"'",IF(Sheet2!S370&lt;25,ROUND(Sheet2!J370,2)&amp;"'",IF(Sheet2!S370&lt;31,ROUND(Sheet2!K370,2)&amp;"'",IF(Sheet2!S370&lt;37,ROUND(Sheet2!L370,2)&amp;"'",""))))</f>
        <v/>
      </c>
      <c r="L370" s="15" t="str">
        <f>IF(Sheet2!D370="","",Sheet2!D370&amp;"''")</f>
        <v/>
      </c>
      <c r="O370" s="16" t="str">
        <f>IF(Sheet2!H370="","",ROUND(Sheet2!H370,2)&amp;"'")</f>
        <v/>
      </c>
      <c r="P370" s="18" t="str">
        <f>IF(Sheet2!E370="","",Sheet2!E370&amp;"''")</f>
        <v/>
      </c>
      <c r="Q370" s="12" t="str" cm="1">
        <f t="array" ref="Q370">IF(P370="","",_xlfn.XLOOKUP(G370,[1]Sheet1!$G:$G,[1]Sheet1!$Q:$S))</f>
        <v/>
      </c>
      <c r="T370" s="15" t="str">
        <f>IF(Sheet2!F370="","",Sheet2!F370&amp;"""")</f>
        <v/>
      </c>
      <c r="U370" s="12" t="str" cm="1">
        <f t="array" ref="U370">IF(T370="","",_xlfn.XLOOKUP(G370,[1]Sheet1!$G:$G,[1]Sheet1!$U:$W))</f>
        <v/>
      </c>
      <c r="X370" s="15" t="str">
        <f>IF(Sheet2!G370="","",Sheet2!G370&amp;"''")</f>
        <v/>
      </c>
    </row>
    <row r="371" spans="7:24" x14ac:dyDescent="0.25">
      <c r="G371" s="15" t="str">
        <f>IF(Sheet2!A371="","",Sheet2!A371)</f>
        <v/>
      </c>
      <c r="H371" s="18" t="str">
        <f>IF(Sheet2!O371="","",LEFT(Sheet2!O371, FIND(" ", Sheet2!O371)-1))</f>
        <v/>
      </c>
      <c r="I371" s="15" t="str">
        <f>IF(Sheet2!S371&lt;19,ROUND(Sheet2!I371,2)&amp;"'",IF(Sheet2!S371&lt;25,ROUND(Sheet2!J371,2)&amp;"'",IF(Sheet2!S371&lt;31,ROUND(Sheet2!K371,2)&amp;"'",IF(Sheet2!S371&lt;37,ROUND(Sheet2!L371,2)&amp;"'",""))))</f>
        <v/>
      </c>
      <c r="L371" s="15" t="str">
        <f>IF(Sheet2!D371="","",Sheet2!D371&amp;"''")</f>
        <v/>
      </c>
      <c r="O371" s="16" t="str">
        <f>IF(Sheet2!H371="","",ROUND(Sheet2!H371,2)&amp;"'")</f>
        <v/>
      </c>
      <c r="P371" s="18" t="str">
        <f>IF(Sheet2!E371="","",Sheet2!E371&amp;"''")</f>
        <v/>
      </c>
      <c r="Q371" s="12" t="str" cm="1">
        <f t="array" ref="Q371">IF(P371="","",_xlfn.XLOOKUP(G371,[1]Sheet1!$G:$G,[1]Sheet1!$Q:$S))</f>
        <v/>
      </c>
      <c r="T371" s="15" t="str">
        <f>IF(Sheet2!F371="","",Sheet2!F371&amp;"""")</f>
        <v/>
      </c>
      <c r="U371" s="12" t="str" cm="1">
        <f t="array" ref="U371">IF(T371="","",_xlfn.XLOOKUP(G371,[1]Sheet1!$G:$G,[1]Sheet1!$U:$W))</f>
        <v/>
      </c>
      <c r="X371" s="15" t="str">
        <f>IF(Sheet2!G371="","",Sheet2!G371&amp;"''")</f>
        <v/>
      </c>
    </row>
    <row r="372" spans="7:24" x14ac:dyDescent="0.25">
      <c r="G372" s="15" t="str">
        <f>IF(Sheet2!A372="","",Sheet2!A372)</f>
        <v/>
      </c>
      <c r="H372" s="18" t="str">
        <f>IF(Sheet2!O372="","",LEFT(Sheet2!O372, FIND(" ", Sheet2!O372)-1))</f>
        <v/>
      </c>
      <c r="I372" s="15" t="str">
        <f>IF(Sheet2!S372&lt;19,ROUND(Sheet2!I372,2)&amp;"'",IF(Sheet2!S372&lt;25,ROUND(Sheet2!J372,2)&amp;"'",IF(Sheet2!S372&lt;31,ROUND(Sheet2!K372,2)&amp;"'",IF(Sheet2!S372&lt;37,ROUND(Sheet2!L372,2)&amp;"'",""))))</f>
        <v/>
      </c>
      <c r="L372" s="15" t="str">
        <f>IF(Sheet2!D372="","",Sheet2!D372&amp;"''")</f>
        <v/>
      </c>
      <c r="O372" s="16" t="str">
        <f>IF(Sheet2!H372="","",ROUND(Sheet2!H372,2)&amp;"'")</f>
        <v/>
      </c>
      <c r="P372" s="18" t="str">
        <f>IF(Sheet2!E372="","",Sheet2!E372&amp;"''")</f>
        <v/>
      </c>
      <c r="Q372" s="12" t="str" cm="1">
        <f t="array" ref="Q372">IF(P372="","",_xlfn.XLOOKUP(G372,[1]Sheet1!$G:$G,[1]Sheet1!$Q:$S))</f>
        <v/>
      </c>
      <c r="T372" s="15" t="str">
        <f>IF(Sheet2!F372="","",Sheet2!F372&amp;"""")</f>
        <v/>
      </c>
      <c r="U372" s="12" t="str" cm="1">
        <f t="array" ref="U372">IF(T372="","",_xlfn.XLOOKUP(G372,[1]Sheet1!$G:$G,[1]Sheet1!$U:$W))</f>
        <v/>
      </c>
      <c r="X372" s="15" t="str">
        <f>IF(Sheet2!G372="","",Sheet2!G372&amp;"''")</f>
        <v/>
      </c>
    </row>
    <row r="373" spans="7:24" x14ac:dyDescent="0.25">
      <c r="G373" s="15" t="str">
        <f>IF(Sheet2!A373="","",Sheet2!A373)</f>
        <v/>
      </c>
      <c r="H373" s="18" t="str">
        <f>IF(Sheet2!O373="","",LEFT(Sheet2!O373, FIND(" ", Sheet2!O373)-1))</f>
        <v/>
      </c>
      <c r="I373" s="15" t="str">
        <f>IF(Sheet2!S373&lt;19,ROUND(Sheet2!I373,2)&amp;"'",IF(Sheet2!S373&lt;25,ROUND(Sheet2!J373,2)&amp;"'",IF(Sheet2!S373&lt;31,ROUND(Sheet2!K373,2)&amp;"'",IF(Sheet2!S373&lt;37,ROUND(Sheet2!L373,2)&amp;"'",""))))</f>
        <v/>
      </c>
      <c r="L373" s="15" t="str">
        <f>IF(Sheet2!D373="","",Sheet2!D373&amp;"''")</f>
        <v/>
      </c>
      <c r="O373" s="16" t="str">
        <f>IF(Sheet2!H373="","",ROUND(Sheet2!H373,2)&amp;"'")</f>
        <v/>
      </c>
      <c r="P373" s="18" t="str">
        <f>IF(Sheet2!E373="","",Sheet2!E373&amp;"''")</f>
        <v/>
      </c>
      <c r="Q373" s="12" t="str" cm="1">
        <f t="array" ref="Q373">IF(P373="","",_xlfn.XLOOKUP(G373,[1]Sheet1!$G:$G,[1]Sheet1!$Q:$S))</f>
        <v/>
      </c>
      <c r="T373" s="15" t="str">
        <f>IF(Sheet2!F373="","",Sheet2!F373&amp;"""")</f>
        <v/>
      </c>
      <c r="U373" s="12" t="str" cm="1">
        <f t="array" ref="U373">IF(T373="","",_xlfn.XLOOKUP(G373,[1]Sheet1!$G:$G,[1]Sheet1!$U:$W))</f>
        <v/>
      </c>
      <c r="X373" s="15" t="str">
        <f>IF(Sheet2!G373="","",Sheet2!G373&amp;"''")</f>
        <v/>
      </c>
    </row>
    <row r="374" spans="7:24" x14ac:dyDescent="0.25">
      <c r="G374" s="15" t="str">
        <f>IF(Sheet2!A374="","",Sheet2!A374)</f>
        <v/>
      </c>
      <c r="H374" s="18" t="str">
        <f>IF(Sheet2!O374="","",LEFT(Sheet2!O374, FIND(" ", Sheet2!O374)-1))</f>
        <v/>
      </c>
      <c r="I374" s="15" t="str">
        <f>IF(Sheet2!S374&lt;19,ROUND(Sheet2!I374,2)&amp;"'",IF(Sheet2!S374&lt;25,ROUND(Sheet2!J374,2)&amp;"'",IF(Sheet2!S374&lt;31,ROUND(Sheet2!K374,2)&amp;"'",IF(Sheet2!S374&lt;37,ROUND(Sheet2!L374,2)&amp;"'",""))))</f>
        <v/>
      </c>
      <c r="L374" s="15" t="str">
        <f>IF(Sheet2!D374="","",Sheet2!D374&amp;"''")</f>
        <v/>
      </c>
      <c r="O374" s="16" t="str">
        <f>IF(Sheet2!H374="","",ROUND(Sheet2!H374,2)&amp;"'")</f>
        <v/>
      </c>
      <c r="P374" s="18" t="str">
        <f>IF(Sheet2!E374="","",Sheet2!E374&amp;"''")</f>
        <v/>
      </c>
      <c r="Q374" s="12" t="str" cm="1">
        <f t="array" ref="Q374">IF(P374="","",_xlfn.XLOOKUP(G374,[1]Sheet1!$G:$G,[1]Sheet1!$Q:$S))</f>
        <v/>
      </c>
      <c r="T374" s="15" t="str">
        <f>IF(Sheet2!F374="","",Sheet2!F374&amp;"""")</f>
        <v/>
      </c>
      <c r="U374" s="12" t="str" cm="1">
        <f t="array" ref="U374">IF(T374="","",_xlfn.XLOOKUP(G374,[1]Sheet1!$G:$G,[1]Sheet1!$U:$W))</f>
        <v/>
      </c>
      <c r="X374" s="15" t="str">
        <f>IF(Sheet2!G374="","",Sheet2!G374&amp;"''")</f>
        <v/>
      </c>
    </row>
    <row r="375" spans="7:24" x14ac:dyDescent="0.25">
      <c r="G375" s="15" t="str">
        <f>IF(Sheet2!A375="","",Sheet2!A375)</f>
        <v/>
      </c>
      <c r="H375" s="18" t="str">
        <f>IF(Sheet2!O375="","",LEFT(Sheet2!O375, FIND(" ", Sheet2!O375)-1))</f>
        <v/>
      </c>
      <c r="I375" s="15" t="str">
        <f>IF(Sheet2!S375&lt;19,ROUND(Sheet2!I375,2)&amp;"'",IF(Sheet2!S375&lt;25,ROUND(Sheet2!J375,2)&amp;"'",IF(Sheet2!S375&lt;31,ROUND(Sheet2!K375,2)&amp;"'",IF(Sheet2!S375&lt;37,ROUND(Sheet2!L375,2)&amp;"'",""))))</f>
        <v/>
      </c>
      <c r="L375" s="15" t="str">
        <f>IF(Sheet2!D375="","",Sheet2!D375&amp;"''")</f>
        <v/>
      </c>
      <c r="O375" s="16" t="str">
        <f>IF(Sheet2!H375="","",ROUND(Sheet2!H375,2)&amp;"'")</f>
        <v/>
      </c>
      <c r="P375" s="18" t="str">
        <f>IF(Sheet2!E375="","",Sheet2!E375&amp;"''")</f>
        <v/>
      </c>
      <c r="Q375" s="12" t="str" cm="1">
        <f t="array" ref="Q375">IF(P375="","",_xlfn.XLOOKUP(G375,[1]Sheet1!$G:$G,[1]Sheet1!$Q:$S))</f>
        <v/>
      </c>
      <c r="T375" s="15" t="str">
        <f>IF(Sheet2!F375="","",Sheet2!F375&amp;"""")</f>
        <v/>
      </c>
      <c r="U375" s="12" t="str" cm="1">
        <f t="array" ref="U375">IF(T375="","",_xlfn.XLOOKUP(G375,[1]Sheet1!$G:$G,[1]Sheet1!$U:$W))</f>
        <v/>
      </c>
      <c r="X375" s="15" t="str">
        <f>IF(Sheet2!G375="","",Sheet2!G375&amp;"''")</f>
        <v/>
      </c>
    </row>
    <row r="376" spans="7:24" x14ac:dyDescent="0.25">
      <c r="G376" s="15" t="str">
        <f>IF(Sheet2!A376="","",Sheet2!A376)</f>
        <v/>
      </c>
      <c r="H376" s="18" t="str">
        <f>IF(Sheet2!O376="","",LEFT(Sheet2!O376, FIND(" ", Sheet2!O376)-1))</f>
        <v/>
      </c>
      <c r="I376" s="15" t="str">
        <f>IF(Sheet2!S376&lt;19,ROUND(Sheet2!I376,2)&amp;"'",IF(Sheet2!S376&lt;25,ROUND(Sheet2!J376,2)&amp;"'",IF(Sheet2!S376&lt;31,ROUND(Sheet2!K376,2)&amp;"'",IF(Sheet2!S376&lt;37,ROUND(Sheet2!L376,2)&amp;"'",""))))</f>
        <v/>
      </c>
      <c r="L376" s="15" t="str">
        <f>IF(Sheet2!D376="","",Sheet2!D376&amp;"''")</f>
        <v/>
      </c>
      <c r="O376" s="16" t="str">
        <f>IF(Sheet2!H376="","",ROUND(Sheet2!H376,2)&amp;"'")</f>
        <v/>
      </c>
      <c r="P376" s="18" t="str">
        <f>IF(Sheet2!E376="","",Sheet2!E376&amp;"''")</f>
        <v/>
      </c>
      <c r="Q376" s="12" t="str" cm="1">
        <f t="array" ref="Q376">IF(P376="","",_xlfn.XLOOKUP(G376,[1]Sheet1!$G:$G,[1]Sheet1!$Q:$S))</f>
        <v/>
      </c>
      <c r="T376" s="15" t="str">
        <f>IF(Sheet2!F376="","",Sheet2!F376&amp;"""")</f>
        <v/>
      </c>
      <c r="U376" s="12" t="str" cm="1">
        <f t="array" ref="U376">IF(T376="","",_xlfn.XLOOKUP(G376,[1]Sheet1!$G:$G,[1]Sheet1!$U:$W))</f>
        <v/>
      </c>
      <c r="X376" s="15" t="str">
        <f>IF(Sheet2!G376="","",Sheet2!G376&amp;"''")</f>
        <v/>
      </c>
    </row>
    <row r="377" spans="7:24" x14ac:dyDescent="0.25">
      <c r="G377" s="15" t="str">
        <f>IF(Sheet2!A377="","",Sheet2!A377)</f>
        <v/>
      </c>
      <c r="H377" s="18" t="str">
        <f>IF(Sheet2!O377="","",LEFT(Sheet2!O377, FIND(" ", Sheet2!O377)-1))</f>
        <v/>
      </c>
      <c r="I377" s="15" t="str">
        <f>IF(Sheet2!S377&lt;19,ROUND(Sheet2!I377,2)&amp;"'",IF(Sheet2!S377&lt;25,ROUND(Sheet2!J377,2)&amp;"'",IF(Sheet2!S377&lt;31,ROUND(Sheet2!K377,2)&amp;"'",IF(Sheet2!S377&lt;37,ROUND(Sheet2!L377,2)&amp;"'",""))))</f>
        <v/>
      </c>
      <c r="L377" s="15" t="str">
        <f>IF(Sheet2!D377="","",Sheet2!D377&amp;"''")</f>
        <v/>
      </c>
      <c r="O377" s="16" t="str">
        <f>IF(Sheet2!H377="","",ROUND(Sheet2!H377,2)&amp;"'")</f>
        <v/>
      </c>
      <c r="P377" s="18" t="str">
        <f>IF(Sheet2!E377="","",Sheet2!E377&amp;"''")</f>
        <v/>
      </c>
      <c r="Q377" s="12" t="str" cm="1">
        <f t="array" ref="Q377">IF(P377="","",_xlfn.XLOOKUP(G377,[1]Sheet1!$G:$G,[1]Sheet1!$Q:$S))</f>
        <v/>
      </c>
      <c r="T377" s="15" t="str">
        <f>IF(Sheet2!F377="","",Sheet2!F377&amp;"""")</f>
        <v/>
      </c>
      <c r="U377" s="12" t="str" cm="1">
        <f t="array" ref="U377">IF(T377="","",_xlfn.XLOOKUP(G377,[1]Sheet1!$G:$G,[1]Sheet1!$U:$W))</f>
        <v/>
      </c>
      <c r="X377" s="15" t="str">
        <f>IF(Sheet2!G377="","",Sheet2!G377&amp;"''")</f>
        <v/>
      </c>
    </row>
    <row r="378" spans="7:24" x14ac:dyDescent="0.25">
      <c r="G378" s="15" t="str">
        <f>IF(Sheet2!A378="","",Sheet2!A378)</f>
        <v/>
      </c>
      <c r="H378" s="18" t="str">
        <f>IF(Sheet2!O378="","",LEFT(Sheet2!O378, FIND(" ", Sheet2!O378)-1))</f>
        <v/>
      </c>
      <c r="I378" s="15" t="str">
        <f>IF(Sheet2!S378&lt;19,ROUND(Sheet2!I378,2)&amp;"'",IF(Sheet2!S378&lt;25,ROUND(Sheet2!J378,2)&amp;"'",IF(Sheet2!S378&lt;31,ROUND(Sheet2!K378,2)&amp;"'",IF(Sheet2!S378&lt;37,ROUND(Sheet2!L378,2)&amp;"'",""))))</f>
        <v/>
      </c>
      <c r="L378" s="15" t="str">
        <f>IF(Sheet2!D378="","",Sheet2!D378&amp;"''")</f>
        <v/>
      </c>
      <c r="O378" s="16" t="str">
        <f>IF(Sheet2!H378="","",ROUND(Sheet2!H378,2)&amp;"'")</f>
        <v/>
      </c>
      <c r="P378" s="18" t="str">
        <f>IF(Sheet2!E378="","",Sheet2!E378&amp;"''")</f>
        <v/>
      </c>
      <c r="Q378" s="12" t="str" cm="1">
        <f t="array" ref="Q378">IF(P378="","",_xlfn.XLOOKUP(G378,[1]Sheet1!$G:$G,[1]Sheet1!$Q:$S))</f>
        <v/>
      </c>
      <c r="T378" s="15" t="str">
        <f>IF(Sheet2!F378="","",Sheet2!F378&amp;"""")</f>
        <v/>
      </c>
      <c r="U378" s="12" t="str" cm="1">
        <f t="array" ref="U378">IF(T378="","",_xlfn.XLOOKUP(G378,[1]Sheet1!$G:$G,[1]Sheet1!$U:$W))</f>
        <v/>
      </c>
      <c r="X378" s="15" t="str">
        <f>IF(Sheet2!G378="","",Sheet2!G378&amp;"''")</f>
        <v/>
      </c>
    </row>
    <row r="379" spans="7:24" x14ac:dyDescent="0.25">
      <c r="G379" s="15" t="str">
        <f>IF(Sheet2!A379="","",Sheet2!A379)</f>
        <v/>
      </c>
      <c r="H379" s="18" t="str">
        <f>IF(Sheet2!O379="","",LEFT(Sheet2!O379, FIND(" ", Sheet2!O379)-1))</f>
        <v/>
      </c>
      <c r="I379" s="15" t="str">
        <f>IF(Sheet2!S379&lt;19,ROUND(Sheet2!I379,2)&amp;"'",IF(Sheet2!S379&lt;25,ROUND(Sheet2!J379,2)&amp;"'",IF(Sheet2!S379&lt;31,ROUND(Sheet2!K379,2)&amp;"'",IF(Sheet2!S379&lt;37,ROUND(Sheet2!L379,2)&amp;"'",""))))</f>
        <v/>
      </c>
      <c r="L379" s="15" t="str">
        <f>IF(Sheet2!D379="","",Sheet2!D379&amp;"''")</f>
        <v/>
      </c>
      <c r="O379" s="16" t="str">
        <f>IF(Sheet2!H379="","",ROUND(Sheet2!H379,2)&amp;"'")</f>
        <v/>
      </c>
      <c r="P379" s="18" t="str">
        <f>IF(Sheet2!E379="","",Sheet2!E379&amp;"''")</f>
        <v/>
      </c>
      <c r="Q379" s="12" t="str" cm="1">
        <f t="array" ref="Q379">IF(P379="","",_xlfn.XLOOKUP(G379,[1]Sheet1!$G:$G,[1]Sheet1!$Q:$S))</f>
        <v/>
      </c>
      <c r="T379" s="15" t="str">
        <f>IF(Sheet2!F379="","",Sheet2!F379&amp;"""")</f>
        <v/>
      </c>
      <c r="U379" s="12" t="str" cm="1">
        <f t="array" ref="U379">IF(T379="","",_xlfn.XLOOKUP(G379,[1]Sheet1!$G:$G,[1]Sheet1!$U:$W))</f>
        <v/>
      </c>
      <c r="X379" s="15" t="str">
        <f>IF(Sheet2!G379="","",Sheet2!G379&amp;"''")</f>
        <v/>
      </c>
    </row>
    <row r="380" spans="7:24" x14ac:dyDescent="0.25">
      <c r="G380" s="15" t="str">
        <f>IF(Sheet2!A380="","",Sheet2!A380)</f>
        <v/>
      </c>
      <c r="H380" s="18" t="str">
        <f>IF(Sheet2!O380="","",LEFT(Sheet2!O380, FIND(" ", Sheet2!O380)-1))</f>
        <v/>
      </c>
      <c r="I380" s="15" t="str">
        <f>IF(Sheet2!S380&lt;19,ROUND(Sheet2!I380,2)&amp;"'",IF(Sheet2!S380&lt;25,ROUND(Sheet2!J380,2)&amp;"'",IF(Sheet2!S380&lt;31,ROUND(Sheet2!K380,2)&amp;"'",IF(Sheet2!S380&lt;37,ROUND(Sheet2!L380,2)&amp;"'",""))))</f>
        <v/>
      </c>
      <c r="L380" s="15" t="str">
        <f>IF(Sheet2!D380="","",Sheet2!D380&amp;"''")</f>
        <v/>
      </c>
      <c r="O380" s="16" t="str">
        <f>IF(Sheet2!H380="","",ROUND(Sheet2!H380,2)&amp;"'")</f>
        <v/>
      </c>
      <c r="P380" s="18" t="str">
        <f>IF(Sheet2!E380="","",Sheet2!E380&amp;"''")</f>
        <v/>
      </c>
      <c r="Q380" s="12" t="str" cm="1">
        <f t="array" ref="Q380">IF(P380="","",_xlfn.XLOOKUP(G380,[1]Sheet1!$G:$G,[1]Sheet1!$Q:$S))</f>
        <v/>
      </c>
      <c r="T380" s="15" t="str">
        <f>IF(Sheet2!F380="","",Sheet2!F380&amp;"""")</f>
        <v/>
      </c>
      <c r="U380" s="12" t="str" cm="1">
        <f t="array" ref="U380">IF(T380="","",_xlfn.XLOOKUP(G380,[1]Sheet1!$G:$G,[1]Sheet1!$U:$W))</f>
        <v/>
      </c>
      <c r="X380" s="15" t="str">
        <f>IF(Sheet2!G380="","",Sheet2!G380&amp;"''")</f>
        <v/>
      </c>
    </row>
    <row r="381" spans="7:24" x14ac:dyDescent="0.25">
      <c r="G381" s="15" t="str">
        <f>IF(Sheet2!A381="","",Sheet2!A381)</f>
        <v/>
      </c>
      <c r="H381" s="18" t="str">
        <f>IF(Sheet2!O381="","",LEFT(Sheet2!O381, FIND(" ", Sheet2!O381)-1))</f>
        <v/>
      </c>
      <c r="I381" s="15" t="str">
        <f>IF(Sheet2!S381&lt;19,ROUND(Sheet2!I381,2)&amp;"'",IF(Sheet2!S381&lt;25,ROUND(Sheet2!J381,2)&amp;"'",IF(Sheet2!S381&lt;31,ROUND(Sheet2!K381,2)&amp;"'",IF(Sheet2!S381&lt;37,ROUND(Sheet2!L381,2)&amp;"'",""))))</f>
        <v/>
      </c>
      <c r="L381" s="15" t="str">
        <f>IF(Sheet2!D381="","",Sheet2!D381&amp;"''")</f>
        <v/>
      </c>
      <c r="O381" s="16" t="str">
        <f>IF(Sheet2!H381="","",ROUND(Sheet2!H381,2)&amp;"'")</f>
        <v/>
      </c>
      <c r="P381" s="18" t="str">
        <f>IF(Sheet2!E381="","",Sheet2!E381&amp;"''")</f>
        <v/>
      </c>
      <c r="Q381" s="12" t="str" cm="1">
        <f t="array" ref="Q381">IF(P381="","",_xlfn.XLOOKUP(G381,[1]Sheet1!$G:$G,[1]Sheet1!$Q:$S))</f>
        <v/>
      </c>
      <c r="T381" s="15" t="str">
        <f>IF(Sheet2!F381="","",Sheet2!F381&amp;"""")</f>
        <v/>
      </c>
      <c r="U381" s="12" t="str" cm="1">
        <f t="array" ref="U381">IF(T381="","",_xlfn.XLOOKUP(G381,[1]Sheet1!$G:$G,[1]Sheet1!$U:$W))</f>
        <v/>
      </c>
      <c r="X381" s="15" t="str">
        <f>IF(Sheet2!G381="","",Sheet2!G381&amp;"''")</f>
        <v/>
      </c>
    </row>
    <row r="382" spans="7:24" x14ac:dyDescent="0.25">
      <c r="G382" s="15" t="str">
        <f>IF(Sheet2!A382="","",Sheet2!A382)</f>
        <v/>
      </c>
      <c r="H382" s="18" t="str">
        <f>IF(Sheet2!O382="","",LEFT(Sheet2!O382, FIND(" ", Sheet2!O382)-1))</f>
        <v/>
      </c>
      <c r="I382" s="15" t="str">
        <f>IF(Sheet2!S382&lt;19,ROUND(Sheet2!I382,2)&amp;"'",IF(Sheet2!S382&lt;25,ROUND(Sheet2!J382,2)&amp;"'",IF(Sheet2!S382&lt;31,ROUND(Sheet2!K382,2)&amp;"'",IF(Sheet2!S382&lt;37,ROUND(Sheet2!L382,2)&amp;"'",""))))</f>
        <v/>
      </c>
      <c r="L382" s="15" t="str">
        <f>IF(Sheet2!D382="","",Sheet2!D382&amp;"''")</f>
        <v/>
      </c>
      <c r="O382" s="16" t="str">
        <f>IF(Sheet2!H382="","",ROUND(Sheet2!H382,2)&amp;"'")</f>
        <v/>
      </c>
      <c r="P382" s="18" t="str">
        <f>IF(Sheet2!E382="","",Sheet2!E382&amp;"''")</f>
        <v/>
      </c>
      <c r="Q382" s="12" t="str" cm="1">
        <f t="array" ref="Q382">IF(P382="","",_xlfn.XLOOKUP(G382,[1]Sheet1!$G:$G,[1]Sheet1!$Q:$S))</f>
        <v/>
      </c>
      <c r="T382" s="15" t="str">
        <f>IF(Sheet2!F382="","",Sheet2!F382&amp;"""")</f>
        <v/>
      </c>
      <c r="U382" s="12" t="str" cm="1">
        <f t="array" ref="U382">IF(T382="","",_xlfn.XLOOKUP(G382,[1]Sheet1!$G:$G,[1]Sheet1!$U:$W))</f>
        <v/>
      </c>
      <c r="X382" s="15" t="str">
        <f>IF(Sheet2!G382="","",Sheet2!G382&amp;"''")</f>
        <v/>
      </c>
    </row>
    <row r="383" spans="7:24" x14ac:dyDescent="0.25">
      <c r="G383" s="15" t="str">
        <f>IF(Sheet2!A383="","",Sheet2!A383)</f>
        <v/>
      </c>
      <c r="H383" s="18" t="str">
        <f>IF(Sheet2!O383="","",LEFT(Sheet2!O383, FIND(" ", Sheet2!O383)-1))</f>
        <v/>
      </c>
      <c r="I383" s="15" t="str">
        <f>IF(Sheet2!S383&lt;19,ROUND(Sheet2!I383,2)&amp;"'",IF(Sheet2!S383&lt;25,ROUND(Sheet2!J383,2)&amp;"'",IF(Sheet2!S383&lt;31,ROUND(Sheet2!K383,2)&amp;"'",IF(Sheet2!S383&lt;37,ROUND(Sheet2!L383,2)&amp;"'",""))))</f>
        <v/>
      </c>
      <c r="L383" s="15" t="str">
        <f>IF(Sheet2!D383="","",Sheet2!D383&amp;"''")</f>
        <v/>
      </c>
      <c r="O383" s="16" t="str">
        <f>IF(Sheet2!H383="","",ROUND(Sheet2!H383,2)&amp;"'")</f>
        <v/>
      </c>
      <c r="P383" s="18" t="str">
        <f>IF(Sheet2!E383="","",Sheet2!E383&amp;"''")</f>
        <v/>
      </c>
      <c r="Q383" s="12" t="str" cm="1">
        <f t="array" ref="Q383">IF(P383="","",_xlfn.XLOOKUP(G383,[1]Sheet1!$G:$G,[1]Sheet1!$Q:$S))</f>
        <v/>
      </c>
      <c r="T383" s="15" t="str">
        <f>IF(Sheet2!F383="","",Sheet2!F383&amp;"""")</f>
        <v/>
      </c>
      <c r="U383" s="12" t="str" cm="1">
        <f t="array" ref="U383">IF(T383="","",_xlfn.XLOOKUP(G383,[1]Sheet1!$G:$G,[1]Sheet1!$U:$W))</f>
        <v/>
      </c>
      <c r="X383" s="15" t="str">
        <f>IF(Sheet2!G383="","",Sheet2!G383&amp;"''")</f>
        <v/>
      </c>
    </row>
    <row r="384" spans="7:24" x14ac:dyDescent="0.25">
      <c r="G384" s="15" t="str">
        <f>IF(Sheet2!A384="","",Sheet2!A384)</f>
        <v/>
      </c>
      <c r="H384" s="18" t="str">
        <f>IF(Sheet2!O384="","",LEFT(Sheet2!O384, FIND(" ", Sheet2!O384)-1))</f>
        <v/>
      </c>
      <c r="I384" s="15" t="str">
        <f>IF(Sheet2!S384&lt;19,ROUND(Sheet2!I384,2)&amp;"'",IF(Sheet2!S384&lt;25,ROUND(Sheet2!J384,2)&amp;"'",IF(Sheet2!S384&lt;31,ROUND(Sheet2!K384,2)&amp;"'",IF(Sheet2!S384&lt;37,ROUND(Sheet2!L384,2)&amp;"'",""))))</f>
        <v/>
      </c>
      <c r="L384" s="15" t="str">
        <f>IF(Sheet2!D384="","",Sheet2!D384&amp;"''")</f>
        <v/>
      </c>
      <c r="O384" s="16" t="str">
        <f>IF(Sheet2!H384="","",ROUND(Sheet2!H384,2)&amp;"'")</f>
        <v/>
      </c>
      <c r="P384" s="18" t="str">
        <f>IF(Sheet2!E384="","",Sheet2!E384&amp;"''")</f>
        <v/>
      </c>
      <c r="Q384" s="12" t="str" cm="1">
        <f t="array" ref="Q384">IF(P384="","",_xlfn.XLOOKUP(G384,[1]Sheet1!$G:$G,[1]Sheet1!$Q:$S))</f>
        <v/>
      </c>
      <c r="T384" s="15" t="str">
        <f>IF(Sheet2!F384="","",Sheet2!F384&amp;"""")</f>
        <v/>
      </c>
      <c r="U384" s="12" t="str" cm="1">
        <f t="array" ref="U384">IF(T384="","",_xlfn.XLOOKUP(G384,[1]Sheet1!$G:$G,[1]Sheet1!$U:$W))</f>
        <v/>
      </c>
      <c r="X384" s="15" t="str">
        <f>IF(Sheet2!G384="","",Sheet2!G384&amp;"''")</f>
        <v/>
      </c>
    </row>
    <row r="385" spans="7:24" x14ac:dyDescent="0.25">
      <c r="G385" s="15" t="str">
        <f>IF(Sheet2!A385="","",Sheet2!A385)</f>
        <v/>
      </c>
      <c r="H385" s="18" t="str">
        <f>IF(Sheet2!O385="","",LEFT(Sheet2!O385, FIND(" ", Sheet2!O385)-1))</f>
        <v/>
      </c>
      <c r="I385" s="15" t="str">
        <f>IF(Sheet2!S385&lt;19,ROUND(Sheet2!I385,2)&amp;"'",IF(Sheet2!S385&lt;25,ROUND(Sheet2!J385,2)&amp;"'",IF(Sheet2!S385&lt;31,ROUND(Sheet2!K385,2)&amp;"'",IF(Sheet2!S385&lt;37,ROUND(Sheet2!L385,2)&amp;"'",""))))</f>
        <v/>
      </c>
      <c r="L385" s="15" t="str">
        <f>IF(Sheet2!D385="","",Sheet2!D385&amp;"''")</f>
        <v/>
      </c>
      <c r="O385" s="16" t="str">
        <f>IF(Sheet2!H385="","",ROUND(Sheet2!H385,2)&amp;"'")</f>
        <v/>
      </c>
      <c r="P385" s="18" t="str">
        <f>IF(Sheet2!E385="","",Sheet2!E385&amp;"''")</f>
        <v/>
      </c>
      <c r="Q385" s="12" t="str" cm="1">
        <f t="array" ref="Q385">IF(P385="","",_xlfn.XLOOKUP(G385,[1]Sheet1!$G:$G,[1]Sheet1!$Q:$S))</f>
        <v/>
      </c>
      <c r="T385" s="15" t="str">
        <f>IF(Sheet2!F385="","",Sheet2!F385&amp;"""")</f>
        <v/>
      </c>
      <c r="U385" s="12" t="str" cm="1">
        <f t="array" ref="U385">IF(T385="","",_xlfn.XLOOKUP(G385,[1]Sheet1!$G:$G,[1]Sheet1!$U:$W))</f>
        <v/>
      </c>
      <c r="X385" s="15" t="str">
        <f>IF(Sheet2!G385="","",Sheet2!G385&amp;"''")</f>
        <v/>
      </c>
    </row>
    <row r="386" spans="7:24" x14ac:dyDescent="0.25">
      <c r="G386" s="15" t="str">
        <f>IF(Sheet2!A386="","",Sheet2!A386)</f>
        <v/>
      </c>
      <c r="H386" s="18" t="str">
        <f>IF(Sheet2!O386="","",LEFT(Sheet2!O386, FIND(" ", Sheet2!O386)-1))</f>
        <v/>
      </c>
      <c r="I386" s="15" t="str">
        <f>IF(Sheet2!S386&lt;19,ROUND(Sheet2!I386,2)&amp;"'",IF(Sheet2!S386&lt;25,ROUND(Sheet2!J386,2)&amp;"'",IF(Sheet2!S386&lt;31,ROUND(Sheet2!K386,2)&amp;"'",IF(Sheet2!S386&lt;37,ROUND(Sheet2!L386,2)&amp;"'",""))))</f>
        <v/>
      </c>
      <c r="L386" s="15" t="str">
        <f>IF(Sheet2!D386="","",Sheet2!D386&amp;"''")</f>
        <v/>
      </c>
      <c r="O386" s="16" t="str">
        <f>IF(Sheet2!H386="","",ROUND(Sheet2!H386,2)&amp;"'")</f>
        <v/>
      </c>
      <c r="P386" s="18" t="str">
        <f>IF(Sheet2!E386="","",Sheet2!E386&amp;"''")</f>
        <v/>
      </c>
      <c r="Q386" s="12" t="str" cm="1">
        <f t="array" ref="Q386">IF(P386="","",_xlfn.XLOOKUP(G386,[1]Sheet1!$G:$G,[1]Sheet1!$Q:$S))</f>
        <v/>
      </c>
      <c r="T386" s="15" t="str">
        <f>IF(Sheet2!F386="","",Sheet2!F386&amp;"""")</f>
        <v/>
      </c>
      <c r="U386" s="12" t="str" cm="1">
        <f t="array" ref="U386">IF(T386="","",_xlfn.XLOOKUP(G386,[1]Sheet1!$G:$G,[1]Sheet1!$U:$W))</f>
        <v/>
      </c>
      <c r="X386" s="15" t="str">
        <f>IF(Sheet2!G386="","",Sheet2!G386&amp;"''")</f>
        <v/>
      </c>
    </row>
    <row r="387" spans="7:24" x14ac:dyDescent="0.25">
      <c r="G387" s="15" t="str">
        <f>IF(Sheet2!A387="","",Sheet2!A387)</f>
        <v/>
      </c>
      <c r="H387" s="18" t="str">
        <f>IF(Sheet2!O387="","",LEFT(Sheet2!O387, FIND(" ", Sheet2!O387)-1))</f>
        <v/>
      </c>
      <c r="I387" s="15" t="str">
        <f>IF(Sheet2!S387&lt;19,ROUND(Sheet2!I387,2)&amp;"'",IF(Sheet2!S387&lt;25,ROUND(Sheet2!J387,2)&amp;"'",IF(Sheet2!S387&lt;31,ROUND(Sheet2!K387,2)&amp;"'",IF(Sheet2!S387&lt;37,ROUND(Sheet2!L387,2)&amp;"'",""))))</f>
        <v/>
      </c>
      <c r="L387" s="15" t="str">
        <f>IF(Sheet2!D387="","",Sheet2!D387&amp;"''")</f>
        <v/>
      </c>
      <c r="O387" s="16" t="str">
        <f>IF(Sheet2!H387="","",ROUND(Sheet2!H387,2)&amp;"'")</f>
        <v/>
      </c>
      <c r="P387" s="18" t="str">
        <f>IF(Sheet2!E387="","",Sheet2!E387&amp;"''")</f>
        <v/>
      </c>
      <c r="Q387" s="12" t="str" cm="1">
        <f t="array" ref="Q387">IF(P387="","",_xlfn.XLOOKUP(G387,[1]Sheet1!$G:$G,[1]Sheet1!$Q:$S))</f>
        <v/>
      </c>
      <c r="T387" s="15" t="str">
        <f>IF(Sheet2!F387="","",Sheet2!F387&amp;"""")</f>
        <v/>
      </c>
      <c r="U387" s="12" t="str" cm="1">
        <f t="array" ref="U387">IF(T387="","",_xlfn.XLOOKUP(G387,[1]Sheet1!$G:$G,[1]Sheet1!$U:$W))</f>
        <v/>
      </c>
      <c r="X387" s="15" t="str">
        <f>IF(Sheet2!G387="","",Sheet2!G387&amp;"''")</f>
        <v/>
      </c>
    </row>
    <row r="388" spans="7:24" x14ac:dyDescent="0.25">
      <c r="G388" s="15" t="str">
        <f>IF(Sheet2!A388="","",Sheet2!A388)</f>
        <v/>
      </c>
      <c r="H388" s="18" t="str">
        <f>IF(Sheet2!O388="","",LEFT(Sheet2!O388, FIND(" ", Sheet2!O388)-1))</f>
        <v/>
      </c>
      <c r="I388" s="15" t="str">
        <f>IF(Sheet2!S388&lt;19,ROUND(Sheet2!I388,2)&amp;"'",IF(Sheet2!S388&lt;25,ROUND(Sheet2!J388,2)&amp;"'",IF(Sheet2!S388&lt;31,ROUND(Sheet2!K388,2)&amp;"'",IF(Sheet2!S388&lt;37,ROUND(Sheet2!L388,2)&amp;"'",""))))</f>
        <v/>
      </c>
      <c r="L388" s="15" t="str">
        <f>IF(Sheet2!D388="","",Sheet2!D388&amp;"''")</f>
        <v/>
      </c>
      <c r="O388" s="16" t="str">
        <f>IF(Sheet2!H388="","",ROUND(Sheet2!H388,2)&amp;"'")</f>
        <v/>
      </c>
      <c r="P388" s="18" t="str">
        <f>IF(Sheet2!E388="","",Sheet2!E388&amp;"''")</f>
        <v/>
      </c>
      <c r="Q388" s="12" t="str" cm="1">
        <f t="array" ref="Q388">IF(P388="","",_xlfn.XLOOKUP(G388,[1]Sheet1!$G:$G,[1]Sheet1!$Q:$S))</f>
        <v/>
      </c>
      <c r="T388" s="15" t="str">
        <f>IF(Sheet2!F388="","",Sheet2!F388&amp;"""")</f>
        <v/>
      </c>
      <c r="U388" s="12" t="str" cm="1">
        <f t="array" ref="U388">IF(T388="","",_xlfn.XLOOKUP(G388,[1]Sheet1!$G:$G,[1]Sheet1!$U:$W))</f>
        <v/>
      </c>
      <c r="X388" s="15" t="str">
        <f>IF(Sheet2!G388="","",Sheet2!G388&amp;"''")</f>
        <v/>
      </c>
    </row>
    <row r="389" spans="7:24" x14ac:dyDescent="0.25">
      <c r="G389" s="15" t="str">
        <f>IF(Sheet2!A389="","",Sheet2!A389)</f>
        <v/>
      </c>
      <c r="H389" s="18" t="str">
        <f>IF(Sheet2!O389="","",LEFT(Sheet2!O389, FIND(" ", Sheet2!O389)-1))</f>
        <v/>
      </c>
      <c r="I389" s="15" t="str">
        <f>IF(Sheet2!S389&lt;19,ROUND(Sheet2!I389,2)&amp;"'",IF(Sheet2!S389&lt;25,ROUND(Sheet2!J389,2)&amp;"'",IF(Sheet2!S389&lt;31,ROUND(Sheet2!K389,2)&amp;"'",IF(Sheet2!S389&lt;37,ROUND(Sheet2!L389,2)&amp;"'",""))))</f>
        <v/>
      </c>
      <c r="L389" s="15" t="str">
        <f>IF(Sheet2!D389="","",Sheet2!D389&amp;"''")</f>
        <v/>
      </c>
      <c r="O389" s="16" t="str">
        <f>IF(Sheet2!H389="","",ROUND(Sheet2!H389,2)&amp;"'")</f>
        <v/>
      </c>
      <c r="P389" s="18" t="str">
        <f>IF(Sheet2!E389="","",Sheet2!E389&amp;"''")</f>
        <v/>
      </c>
      <c r="Q389" s="12" t="str" cm="1">
        <f t="array" ref="Q389">IF(P389="","",_xlfn.XLOOKUP(G389,[1]Sheet1!$G:$G,[1]Sheet1!$Q:$S))</f>
        <v/>
      </c>
      <c r="T389" s="15" t="str">
        <f>IF(Sheet2!F389="","",Sheet2!F389&amp;"""")</f>
        <v/>
      </c>
      <c r="U389" s="12" t="str" cm="1">
        <f t="array" ref="U389">IF(T389="","",_xlfn.XLOOKUP(G389,[1]Sheet1!$G:$G,[1]Sheet1!$U:$W))</f>
        <v/>
      </c>
      <c r="X389" s="15" t="str">
        <f>IF(Sheet2!G389="","",Sheet2!G389&amp;"''")</f>
        <v/>
      </c>
    </row>
    <row r="390" spans="7:24" x14ac:dyDescent="0.25">
      <c r="G390" s="15" t="str">
        <f>IF(Sheet2!A390="","",Sheet2!A390)</f>
        <v/>
      </c>
      <c r="H390" s="18" t="str">
        <f>IF(Sheet2!O390="","",LEFT(Sheet2!O390, FIND(" ", Sheet2!O390)-1))</f>
        <v/>
      </c>
      <c r="I390" s="15" t="str">
        <f>IF(Sheet2!S390&lt;19,ROUND(Sheet2!I390,2)&amp;"'",IF(Sheet2!S390&lt;25,ROUND(Sheet2!J390,2)&amp;"'",IF(Sheet2!S390&lt;31,ROUND(Sheet2!K390,2)&amp;"'",IF(Sheet2!S390&lt;37,ROUND(Sheet2!L390,2)&amp;"'",""))))</f>
        <v/>
      </c>
      <c r="L390" s="15" t="str">
        <f>IF(Sheet2!D390="","",Sheet2!D390&amp;"''")</f>
        <v/>
      </c>
      <c r="O390" s="16" t="str">
        <f>IF(Sheet2!H390="","",ROUND(Sheet2!H390,2)&amp;"'")</f>
        <v/>
      </c>
      <c r="P390" s="18" t="str">
        <f>IF(Sheet2!E390="","",Sheet2!E390&amp;"''")</f>
        <v/>
      </c>
      <c r="Q390" s="12" t="str" cm="1">
        <f t="array" ref="Q390">IF(P390="","",_xlfn.XLOOKUP(G390,[1]Sheet1!$G:$G,[1]Sheet1!$Q:$S))</f>
        <v/>
      </c>
      <c r="T390" s="15" t="str">
        <f>IF(Sheet2!F390="","",Sheet2!F390&amp;"""")</f>
        <v/>
      </c>
      <c r="U390" s="12" t="str" cm="1">
        <f t="array" ref="U390">IF(T390="","",_xlfn.XLOOKUP(G390,[1]Sheet1!$G:$G,[1]Sheet1!$U:$W))</f>
        <v/>
      </c>
      <c r="X390" s="15" t="str">
        <f>IF(Sheet2!G390="","",Sheet2!G390&amp;"''")</f>
        <v/>
      </c>
    </row>
    <row r="391" spans="7:24" x14ac:dyDescent="0.25">
      <c r="G391" s="15" t="str">
        <f>IF(Sheet2!A391="","",Sheet2!A391)</f>
        <v/>
      </c>
      <c r="H391" s="18" t="str">
        <f>IF(Sheet2!O391="","",LEFT(Sheet2!O391, FIND(" ", Sheet2!O391)-1))</f>
        <v/>
      </c>
      <c r="I391" s="15" t="str">
        <f>IF(Sheet2!S391&lt;19,ROUND(Sheet2!I391,2)&amp;"'",IF(Sheet2!S391&lt;25,ROUND(Sheet2!J391,2)&amp;"'",IF(Sheet2!S391&lt;31,ROUND(Sheet2!K391,2)&amp;"'",IF(Sheet2!S391&lt;37,ROUND(Sheet2!L391,2)&amp;"'",""))))</f>
        <v/>
      </c>
      <c r="L391" s="15" t="str">
        <f>IF(Sheet2!D391="","",Sheet2!D391&amp;"''")</f>
        <v/>
      </c>
      <c r="O391" s="16" t="str">
        <f>IF(Sheet2!H391="","",ROUND(Sheet2!H391,2)&amp;"'")</f>
        <v/>
      </c>
      <c r="P391" s="18" t="str">
        <f>IF(Sheet2!E391="","",Sheet2!E391&amp;"''")</f>
        <v/>
      </c>
      <c r="Q391" s="12" t="str" cm="1">
        <f t="array" ref="Q391">IF(P391="","",_xlfn.XLOOKUP(G391,[1]Sheet1!$G:$G,[1]Sheet1!$Q:$S))</f>
        <v/>
      </c>
      <c r="T391" s="15" t="str">
        <f>IF(Sheet2!F391="","",Sheet2!F391&amp;"""")</f>
        <v/>
      </c>
      <c r="U391" s="12" t="str" cm="1">
        <f t="array" ref="U391">IF(T391="","",_xlfn.XLOOKUP(G391,[1]Sheet1!$G:$G,[1]Sheet1!$U:$W))</f>
        <v/>
      </c>
      <c r="X391" s="15" t="str">
        <f>IF(Sheet2!G391="","",Sheet2!G391&amp;"''")</f>
        <v/>
      </c>
    </row>
    <row r="392" spans="7:24" x14ac:dyDescent="0.25">
      <c r="G392" s="15" t="str">
        <f>IF(Sheet2!A392="","",Sheet2!A392)</f>
        <v/>
      </c>
      <c r="H392" s="18" t="str">
        <f>IF(Sheet2!O392="","",LEFT(Sheet2!O392, FIND(" ", Sheet2!O392)-1))</f>
        <v/>
      </c>
      <c r="I392" s="15" t="str">
        <f>IF(Sheet2!S392&lt;19,ROUND(Sheet2!I392,2)&amp;"'",IF(Sheet2!S392&lt;25,ROUND(Sheet2!J392,2)&amp;"'",IF(Sheet2!S392&lt;31,ROUND(Sheet2!K392,2)&amp;"'",IF(Sheet2!S392&lt;37,ROUND(Sheet2!L392,2)&amp;"'",""))))</f>
        <v/>
      </c>
      <c r="L392" s="15" t="str">
        <f>IF(Sheet2!D392="","",Sheet2!D392&amp;"''")</f>
        <v/>
      </c>
      <c r="O392" s="16" t="str">
        <f>IF(Sheet2!H392="","",ROUND(Sheet2!H392,2)&amp;"'")</f>
        <v/>
      </c>
      <c r="P392" s="18" t="str">
        <f>IF(Sheet2!E392="","",Sheet2!E392&amp;"''")</f>
        <v/>
      </c>
      <c r="Q392" s="12" t="str" cm="1">
        <f t="array" ref="Q392">IF(P392="","",_xlfn.XLOOKUP(G392,[1]Sheet1!$G:$G,[1]Sheet1!$Q:$S))</f>
        <v/>
      </c>
      <c r="T392" s="15" t="str">
        <f>IF(Sheet2!F392="","",Sheet2!F392&amp;"""")</f>
        <v/>
      </c>
      <c r="U392" s="12" t="str" cm="1">
        <f t="array" ref="U392">IF(T392="","",_xlfn.XLOOKUP(G392,[1]Sheet1!$G:$G,[1]Sheet1!$U:$W))</f>
        <v/>
      </c>
      <c r="X392" s="15" t="str">
        <f>IF(Sheet2!G392="","",Sheet2!G392&amp;"''")</f>
        <v/>
      </c>
    </row>
    <row r="393" spans="7:24" x14ac:dyDescent="0.25">
      <c r="G393" s="15" t="str">
        <f>IF(Sheet2!A393="","",Sheet2!A393)</f>
        <v/>
      </c>
      <c r="H393" s="18" t="str">
        <f>IF(Sheet2!O393="","",LEFT(Sheet2!O393, FIND(" ", Sheet2!O393)-1))</f>
        <v/>
      </c>
      <c r="I393" s="15" t="str">
        <f>IF(Sheet2!S393&lt;19,ROUND(Sheet2!I393,2)&amp;"'",IF(Sheet2!S393&lt;25,ROUND(Sheet2!J393,2)&amp;"'",IF(Sheet2!S393&lt;31,ROUND(Sheet2!K393,2)&amp;"'",IF(Sheet2!S393&lt;37,ROUND(Sheet2!L393,2)&amp;"'",""))))</f>
        <v/>
      </c>
      <c r="L393" s="15" t="str">
        <f>IF(Sheet2!D393="","",Sheet2!D393&amp;"''")</f>
        <v/>
      </c>
      <c r="O393" s="16" t="str">
        <f>IF(Sheet2!H393="","",ROUND(Sheet2!H393,2)&amp;"'")</f>
        <v/>
      </c>
      <c r="P393" s="18" t="str">
        <f>IF(Sheet2!E393="","",Sheet2!E393&amp;"''")</f>
        <v/>
      </c>
      <c r="Q393" s="12" t="str" cm="1">
        <f t="array" ref="Q393">IF(P393="","",_xlfn.XLOOKUP(G393,[1]Sheet1!$G:$G,[1]Sheet1!$Q:$S))</f>
        <v/>
      </c>
      <c r="T393" s="15" t="str">
        <f>IF(Sheet2!F393="","",Sheet2!F393&amp;"""")</f>
        <v/>
      </c>
      <c r="U393" s="12" t="str" cm="1">
        <f t="array" ref="U393">IF(T393="","",_xlfn.XLOOKUP(G393,[1]Sheet1!$G:$G,[1]Sheet1!$U:$W))</f>
        <v/>
      </c>
      <c r="X393" s="15" t="str">
        <f>IF(Sheet2!G393="","",Sheet2!G393&amp;"''")</f>
        <v/>
      </c>
    </row>
    <row r="394" spans="7:24" x14ac:dyDescent="0.25">
      <c r="G394" s="15" t="str">
        <f>IF(Sheet2!A394="","",Sheet2!A394)</f>
        <v/>
      </c>
      <c r="H394" s="18" t="str">
        <f>IF(Sheet2!O394="","",LEFT(Sheet2!O394, FIND(" ", Sheet2!O394)-1))</f>
        <v/>
      </c>
      <c r="I394" s="15" t="str">
        <f>IF(Sheet2!S394&lt;19,ROUND(Sheet2!I394,2)&amp;"'",IF(Sheet2!S394&lt;25,ROUND(Sheet2!J394,2)&amp;"'",IF(Sheet2!S394&lt;31,ROUND(Sheet2!K394,2)&amp;"'",IF(Sheet2!S394&lt;37,ROUND(Sheet2!L394,2)&amp;"'",""))))</f>
        <v/>
      </c>
      <c r="L394" s="15" t="str">
        <f>IF(Sheet2!D394="","",Sheet2!D394&amp;"''")</f>
        <v/>
      </c>
      <c r="O394" s="16" t="str">
        <f>IF(Sheet2!H394="","",ROUND(Sheet2!H394,2)&amp;"'")</f>
        <v/>
      </c>
      <c r="P394" s="18" t="str">
        <f>IF(Sheet2!E394="","",Sheet2!E394&amp;"''")</f>
        <v/>
      </c>
      <c r="Q394" s="12" t="str" cm="1">
        <f t="array" ref="Q394">IF(P394="","",_xlfn.XLOOKUP(G394,[1]Sheet1!$G:$G,[1]Sheet1!$Q:$S))</f>
        <v/>
      </c>
      <c r="T394" s="15" t="str">
        <f>IF(Sheet2!F394="","",Sheet2!F394&amp;"""")</f>
        <v/>
      </c>
      <c r="U394" s="12" t="str" cm="1">
        <f t="array" ref="U394">IF(T394="","",_xlfn.XLOOKUP(G394,[1]Sheet1!$G:$G,[1]Sheet1!$U:$W))</f>
        <v/>
      </c>
      <c r="X394" s="15" t="str">
        <f>IF(Sheet2!G394="","",Sheet2!G394&amp;"''")</f>
        <v/>
      </c>
    </row>
    <row r="395" spans="7:24" x14ac:dyDescent="0.25">
      <c r="G395" s="15" t="str">
        <f>IF(Sheet2!A395="","",Sheet2!A395)</f>
        <v/>
      </c>
      <c r="H395" s="18" t="str">
        <f>IF(Sheet2!O395="","",LEFT(Sheet2!O395, FIND(" ", Sheet2!O395)-1))</f>
        <v/>
      </c>
      <c r="I395" s="15" t="str">
        <f>IF(Sheet2!S395&lt;19,ROUND(Sheet2!I395,2)&amp;"'",IF(Sheet2!S395&lt;25,ROUND(Sheet2!J395,2)&amp;"'",IF(Sheet2!S395&lt;31,ROUND(Sheet2!K395,2)&amp;"'",IF(Sheet2!S395&lt;37,ROUND(Sheet2!L395,2)&amp;"'",""))))</f>
        <v/>
      </c>
      <c r="L395" s="15" t="str">
        <f>IF(Sheet2!D395="","",Sheet2!D395&amp;"''")</f>
        <v/>
      </c>
      <c r="O395" s="16" t="str">
        <f>IF(Sheet2!H395="","",ROUND(Sheet2!H395,2)&amp;"'")</f>
        <v/>
      </c>
      <c r="P395" s="18" t="str">
        <f>IF(Sheet2!E395="","",Sheet2!E395&amp;"''")</f>
        <v/>
      </c>
      <c r="Q395" s="12" t="str" cm="1">
        <f t="array" ref="Q395">IF(P395="","",_xlfn.XLOOKUP(G395,[1]Sheet1!$G:$G,[1]Sheet1!$Q:$S))</f>
        <v/>
      </c>
      <c r="T395" s="15" t="str">
        <f>IF(Sheet2!F395="","",Sheet2!F395&amp;"""")</f>
        <v/>
      </c>
      <c r="U395" s="12" t="str" cm="1">
        <f t="array" ref="U395">IF(T395="","",_xlfn.XLOOKUP(G395,[1]Sheet1!$G:$G,[1]Sheet1!$U:$W))</f>
        <v/>
      </c>
      <c r="X395" s="15" t="str">
        <f>IF(Sheet2!G395="","",Sheet2!G395&amp;"''")</f>
        <v/>
      </c>
    </row>
    <row r="396" spans="7:24" x14ac:dyDescent="0.25">
      <c r="G396" s="15" t="str">
        <f>IF(Sheet2!A396="","",Sheet2!A396)</f>
        <v/>
      </c>
      <c r="H396" s="18" t="str">
        <f>IF(Sheet2!O396="","",LEFT(Sheet2!O396, FIND(" ", Sheet2!O396)-1))</f>
        <v/>
      </c>
      <c r="I396" s="15" t="str">
        <f>IF(Sheet2!S396&lt;19,ROUND(Sheet2!I396,2)&amp;"'",IF(Sheet2!S396&lt;25,ROUND(Sheet2!J396,2)&amp;"'",IF(Sheet2!S396&lt;31,ROUND(Sheet2!K396,2)&amp;"'",IF(Sheet2!S396&lt;37,ROUND(Sheet2!L396,2)&amp;"'",""))))</f>
        <v/>
      </c>
      <c r="L396" s="15" t="str">
        <f>IF(Sheet2!D396="","",Sheet2!D396&amp;"''")</f>
        <v/>
      </c>
      <c r="O396" s="16" t="str">
        <f>IF(Sheet2!H396="","",ROUND(Sheet2!H396,2)&amp;"'")</f>
        <v/>
      </c>
      <c r="P396" s="18" t="str">
        <f>IF(Sheet2!E396="","",Sheet2!E396&amp;"''")</f>
        <v/>
      </c>
      <c r="Q396" s="12" t="str" cm="1">
        <f t="array" ref="Q396">IF(P396="","",_xlfn.XLOOKUP(G396,[1]Sheet1!$G:$G,[1]Sheet1!$Q:$S))</f>
        <v/>
      </c>
      <c r="T396" s="15" t="str">
        <f>IF(Sheet2!F396="","",Sheet2!F396&amp;"""")</f>
        <v/>
      </c>
      <c r="U396" s="12" t="str" cm="1">
        <f t="array" ref="U396">IF(T396="","",_xlfn.XLOOKUP(G396,[1]Sheet1!$G:$G,[1]Sheet1!$U:$W))</f>
        <v/>
      </c>
      <c r="X396" s="15" t="str">
        <f>IF(Sheet2!G396="","",Sheet2!G396&amp;"''")</f>
        <v/>
      </c>
    </row>
    <row r="397" spans="7:24" x14ac:dyDescent="0.25">
      <c r="G397" s="15" t="str">
        <f>IF(Sheet2!A397="","",Sheet2!A397)</f>
        <v/>
      </c>
      <c r="H397" s="18" t="str">
        <f>IF(Sheet2!O397="","",LEFT(Sheet2!O397, FIND(" ", Sheet2!O397)-1))</f>
        <v/>
      </c>
      <c r="I397" s="15" t="str">
        <f>IF(Sheet2!S397&lt;19,ROUND(Sheet2!I397,2)&amp;"'",IF(Sheet2!S397&lt;25,ROUND(Sheet2!J397,2)&amp;"'",IF(Sheet2!S397&lt;31,ROUND(Sheet2!K397,2)&amp;"'",IF(Sheet2!S397&lt;37,ROUND(Sheet2!L397,2)&amp;"'",""))))</f>
        <v/>
      </c>
      <c r="L397" s="15" t="str">
        <f>IF(Sheet2!D397="","",Sheet2!D397&amp;"''")</f>
        <v/>
      </c>
      <c r="O397" s="16" t="str">
        <f>IF(Sheet2!H397="","",ROUND(Sheet2!H397,2)&amp;"'")</f>
        <v/>
      </c>
      <c r="P397" s="18" t="str">
        <f>IF(Sheet2!E397="","",Sheet2!E397&amp;"''")</f>
        <v/>
      </c>
      <c r="Q397" s="12" t="str" cm="1">
        <f t="array" ref="Q397">IF(P397="","",_xlfn.XLOOKUP(G397,[1]Sheet1!$G:$G,[1]Sheet1!$Q:$S))</f>
        <v/>
      </c>
      <c r="T397" s="15" t="str">
        <f>IF(Sheet2!F397="","",Sheet2!F397&amp;"""")</f>
        <v/>
      </c>
      <c r="U397" s="12" t="str" cm="1">
        <f t="array" ref="U397">IF(T397="","",_xlfn.XLOOKUP(G397,[1]Sheet1!$G:$G,[1]Sheet1!$U:$W))</f>
        <v/>
      </c>
      <c r="X397" s="15" t="str">
        <f>IF(Sheet2!G397="","",Sheet2!G397&amp;"''")</f>
        <v/>
      </c>
    </row>
    <row r="398" spans="7:24" x14ac:dyDescent="0.25">
      <c r="G398" s="15" t="str">
        <f>IF(Sheet2!A398="","",Sheet2!A398)</f>
        <v/>
      </c>
      <c r="H398" s="18" t="str">
        <f>IF(Sheet2!O398="","",LEFT(Sheet2!O398, FIND(" ", Sheet2!O398)-1))</f>
        <v/>
      </c>
      <c r="I398" s="15" t="str">
        <f>IF(Sheet2!S398&lt;19,ROUND(Sheet2!I398,2)&amp;"'",IF(Sheet2!S398&lt;25,ROUND(Sheet2!J398,2)&amp;"'",IF(Sheet2!S398&lt;31,ROUND(Sheet2!K398,2)&amp;"'",IF(Sheet2!S398&lt;37,ROUND(Sheet2!L398,2)&amp;"'",""))))</f>
        <v/>
      </c>
      <c r="L398" s="15" t="str">
        <f>IF(Sheet2!D398="","",Sheet2!D398&amp;"''")</f>
        <v/>
      </c>
      <c r="O398" s="16" t="str">
        <f>IF(Sheet2!H398="","",ROUND(Sheet2!H398,2)&amp;"'")</f>
        <v/>
      </c>
      <c r="P398" s="18" t="str">
        <f>IF(Sheet2!E398="","",Sheet2!E398&amp;"''")</f>
        <v/>
      </c>
      <c r="Q398" s="12" t="str" cm="1">
        <f t="array" ref="Q398">IF(P398="","",_xlfn.XLOOKUP(G398,[1]Sheet1!$G:$G,[1]Sheet1!$Q:$S))</f>
        <v/>
      </c>
      <c r="T398" s="15" t="str">
        <f>IF(Sheet2!F398="","",Sheet2!F398&amp;"""")</f>
        <v/>
      </c>
      <c r="U398" s="12" t="str" cm="1">
        <f t="array" ref="U398">IF(T398="","",_xlfn.XLOOKUP(G398,[1]Sheet1!$G:$G,[1]Sheet1!$U:$W))</f>
        <v/>
      </c>
      <c r="X398" s="15" t="str">
        <f>IF(Sheet2!G398="","",Sheet2!G398&amp;"''")</f>
        <v/>
      </c>
    </row>
    <row r="399" spans="7:24" x14ac:dyDescent="0.25">
      <c r="G399" s="15" t="str">
        <f>IF(Sheet2!A399="","",Sheet2!A399)</f>
        <v/>
      </c>
      <c r="H399" s="18" t="str">
        <f>IF(Sheet2!O399="","",LEFT(Sheet2!O399, FIND(" ", Sheet2!O399)-1))</f>
        <v/>
      </c>
      <c r="I399" s="15" t="str">
        <f>IF(Sheet2!S399&lt;19,ROUND(Sheet2!I399,2)&amp;"'",IF(Sheet2!S399&lt;25,ROUND(Sheet2!J399,2)&amp;"'",IF(Sheet2!S399&lt;31,ROUND(Sheet2!K399,2)&amp;"'",IF(Sheet2!S399&lt;37,ROUND(Sheet2!L399,2)&amp;"'",""))))</f>
        <v/>
      </c>
      <c r="L399" s="15" t="str">
        <f>IF(Sheet2!D399="","",Sheet2!D399&amp;"''")</f>
        <v/>
      </c>
      <c r="O399" s="16" t="str">
        <f>IF(Sheet2!H399="","",ROUND(Sheet2!H399,2)&amp;"'")</f>
        <v/>
      </c>
      <c r="P399" s="18" t="str">
        <f>IF(Sheet2!E399="","",Sheet2!E399&amp;"''")</f>
        <v/>
      </c>
      <c r="Q399" s="12" t="str" cm="1">
        <f t="array" ref="Q399">IF(P399="","",_xlfn.XLOOKUP(G399,[1]Sheet1!$G:$G,[1]Sheet1!$Q:$S))</f>
        <v/>
      </c>
      <c r="T399" s="15" t="str">
        <f>IF(Sheet2!F399="","",Sheet2!F399&amp;"""")</f>
        <v/>
      </c>
      <c r="U399" s="12" t="str" cm="1">
        <f t="array" ref="U399">IF(T399="","",_xlfn.XLOOKUP(G399,[1]Sheet1!$G:$G,[1]Sheet1!$U:$W))</f>
        <v/>
      </c>
      <c r="X399" s="15" t="str">
        <f>IF(Sheet2!G399="","",Sheet2!G399&amp;"''")</f>
        <v/>
      </c>
    </row>
    <row r="400" spans="7:24" x14ac:dyDescent="0.25">
      <c r="G400" s="15" t="str">
        <f>IF(Sheet2!A400="","",Sheet2!A400)</f>
        <v/>
      </c>
      <c r="H400" s="18" t="str">
        <f>IF(Sheet2!O400="","",LEFT(Sheet2!O400, FIND(" ", Sheet2!O400)-1))</f>
        <v/>
      </c>
      <c r="I400" s="15" t="str">
        <f>IF(Sheet2!S400&lt;19,ROUND(Sheet2!I400,2)&amp;"'",IF(Sheet2!S400&lt;25,ROUND(Sheet2!J400,2)&amp;"'",IF(Sheet2!S400&lt;31,ROUND(Sheet2!K400,2)&amp;"'",IF(Sheet2!S400&lt;37,ROUND(Sheet2!L400,2)&amp;"'",""))))</f>
        <v/>
      </c>
      <c r="L400" s="15" t="str">
        <f>IF(Sheet2!D400="","",Sheet2!D400&amp;"''")</f>
        <v/>
      </c>
      <c r="O400" s="16" t="str">
        <f>IF(Sheet2!H400="","",ROUND(Sheet2!H400,2)&amp;"'")</f>
        <v/>
      </c>
      <c r="P400" s="18" t="str">
        <f>IF(Sheet2!E400="","",Sheet2!E400&amp;"''")</f>
        <v/>
      </c>
      <c r="Q400" s="12" t="str" cm="1">
        <f t="array" ref="Q400">IF(P400="","",_xlfn.XLOOKUP(G400,[1]Sheet1!$G:$G,[1]Sheet1!$Q:$S))</f>
        <v/>
      </c>
      <c r="T400" s="15" t="str">
        <f>IF(Sheet2!F400="","",Sheet2!F400&amp;"""")</f>
        <v/>
      </c>
      <c r="U400" s="12" t="str" cm="1">
        <f t="array" ref="U400">IF(T400="","",_xlfn.XLOOKUP(G400,[1]Sheet1!$G:$G,[1]Sheet1!$U:$W))</f>
        <v/>
      </c>
      <c r="X400" s="15" t="str">
        <f>IF(Sheet2!G400="","",Sheet2!G400&amp;"''")</f>
        <v/>
      </c>
    </row>
    <row r="401" spans="12:12" x14ac:dyDescent="0.25">
      <c r="L401" s="15"/>
    </row>
    <row r="402" spans="12:12" x14ac:dyDescent="0.25">
      <c r="L402" s="15"/>
    </row>
    <row r="403" spans="12:12" x14ac:dyDescent="0.25">
      <c r="L403" s="15"/>
    </row>
    <row r="404" spans="12:12" x14ac:dyDescent="0.25">
      <c r="L404" s="15"/>
    </row>
    <row r="405" spans="12:12" x14ac:dyDescent="0.25">
      <c r="L405" s="15"/>
    </row>
    <row r="406" spans="12:12" x14ac:dyDescent="0.25">
      <c r="L406" s="15"/>
    </row>
    <row r="407" spans="12:12" x14ac:dyDescent="0.25">
      <c r="L407" s="15"/>
    </row>
    <row r="408" spans="12:12" x14ac:dyDescent="0.25">
      <c r="L408" s="15"/>
    </row>
    <row r="409" spans="12:12" x14ac:dyDescent="0.25">
      <c r="L409" s="15"/>
    </row>
    <row r="410" spans="12:12" x14ac:dyDescent="0.25">
      <c r="L410" s="15"/>
    </row>
    <row r="411" spans="12:12" x14ac:dyDescent="0.25">
      <c r="L411" s="15"/>
    </row>
    <row r="412" spans="12:12" x14ac:dyDescent="0.25">
      <c r="L412" s="15"/>
    </row>
    <row r="413" spans="12:12" x14ac:dyDescent="0.25">
      <c r="L413" s="15"/>
    </row>
    <row r="414" spans="12:12" x14ac:dyDescent="0.25">
      <c r="L414" s="15"/>
    </row>
    <row r="415" spans="12:12" x14ac:dyDescent="0.25">
      <c r="L415" s="15"/>
    </row>
    <row r="416" spans="12:12" x14ac:dyDescent="0.25">
      <c r="L416" s="15"/>
    </row>
    <row r="417" spans="12:12" x14ac:dyDescent="0.25">
      <c r="L417" s="15"/>
    </row>
    <row r="418" spans="12:12" x14ac:dyDescent="0.25">
      <c r="L418" s="15"/>
    </row>
    <row r="419" spans="12:12" x14ac:dyDescent="0.25">
      <c r="L419" s="15"/>
    </row>
    <row r="420" spans="12:12" x14ac:dyDescent="0.25">
      <c r="L420" s="15"/>
    </row>
    <row r="421" spans="12:12" x14ac:dyDescent="0.25">
      <c r="L421" s="15"/>
    </row>
    <row r="422" spans="12:12" x14ac:dyDescent="0.25">
      <c r="L422" s="15"/>
    </row>
    <row r="423" spans="12:12" x14ac:dyDescent="0.25">
      <c r="L423" s="15"/>
    </row>
    <row r="424" spans="12:12" x14ac:dyDescent="0.25">
      <c r="L424" s="15"/>
    </row>
    <row r="425" spans="12:12" x14ac:dyDescent="0.25">
      <c r="L425" s="15"/>
    </row>
    <row r="426" spans="12:12" x14ac:dyDescent="0.25">
      <c r="L426" s="15"/>
    </row>
    <row r="427" spans="12:12" x14ac:dyDescent="0.25">
      <c r="L427" s="15"/>
    </row>
    <row r="428" spans="12:12" x14ac:dyDescent="0.25">
      <c r="L428" s="15"/>
    </row>
    <row r="429" spans="12:12" x14ac:dyDescent="0.25">
      <c r="L429" s="15"/>
    </row>
    <row r="430" spans="12:12" x14ac:dyDescent="0.25">
      <c r="L430" s="15"/>
    </row>
    <row r="431" spans="12:12" x14ac:dyDescent="0.25">
      <c r="L431" s="15"/>
    </row>
    <row r="432" spans="12:12" x14ac:dyDescent="0.25">
      <c r="L432" s="15"/>
    </row>
    <row r="433" spans="12:12" x14ac:dyDescent="0.25">
      <c r="L433" s="15"/>
    </row>
    <row r="434" spans="12:12" x14ac:dyDescent="0.25">
      <c r="L434" s="15"/>
    </row>
    <row r="435" spans="12:12" x14ac:dyDescent="0.25">
      <c r="L435" s="15"/>
    </row>
    <row r="436" spans="12:12" x14ac:dyDescent="0.25">
      <c r="L436" s="15"/>
    </row>
    <row r="437" spans="12:12" x14ac:dyDescent="0.25">
      <c r="L437" s="15"/>
    </row>
    <row r="438" spans="12:12" x14ac:dyDescent="0.25">
      <c r="L438" s="15"/>
    </row>
    <row r="439" spans="12:12" x14ac:dyDescent="0.25">
      <c r="L439" s="15"/>
    </row>
    <row r="440" spans="12:12" x14ac:dyDescent="0.25">
      <c r="L440" s="15"/>
    </row>
    <row r="441" spans="12:12" x14ac:dyDescent="0.25">
      <c r="L441" s="15"/>
    </row>
    <row r="442" spans="12:12" x14ac:dyDescent="0.25">
      <c r="L442" s="15"/>
    </row>
    <row r="443" spans="12:12" x14ac:dyDescent="0.25">
      <c r="L443" s="15"/>
    </row>
    <row r="444" spans="12:12" x14ac:dyDescent="0.25">
      <c r="L444" s="15"/>
    </row>
    <row r="445" spans="12:12" x14ac:dyDescent="0.25">
      <c r="L445" s="15"/>
    </row>
    <row r="446" spans="12:12" x14ac:dyDescent="0.25">
      <c r="L446" s="15"/>
    </row>
    <row r="447" spans="12:12" x14ac:dyDescent="0.25">
      <c r="L447" s="15"/>
    </row>
    <row r="448" spans="12:12" x14ac:dyDescent="0.25">
      <c r="L448" s="15"/>
    </row>
    <row r="449" spans="12:12" x14ac:dyDescent="0.25">
      <c r="L449" s="15"/>
    </row>
    <row r="450" spans="12:12" x14ac:dyDescent="0.25">
      <c r="L450" s="15"/>
    </row>
    <row r="451" spans="12:12" x14ac:dyDescent="0.25">
      <c r="L451" s="15"/>
    </row>
    <row r="452" spans="12:12" x14ac:dyDescent="0.25">
      <c r="L452" s="15"/>
    </row>
    <row r="453" spans="12:12" x14ac:dyDescent="0.25">
      <c r="L453" s="15"/>
    </row>
    <row r="454" spans="12:12" x14ac:dyDescent="0.25">
      <c r="L454" s="15"/>
    </row>
    <row r="455" spans="12:12" x14ac:dyDescent="0.25">
      <c r="L455" s="15"/>
    </row>
    <row r="456" spans="12:12" x14ac:dyDescent="0.25">
      <c r="L456" s="15"/>
    </row>
    <row r="457" spans="12:12" x14ac:dyDescent="0.25">
      <c r="L457" s="15"/>
    </row>
    <row r="458" spans="12:12" x14ac:dyDescent="0.25">
      <c r="L458" s="15"/>
    </row>
    <row r="459" spans="12:12" x14ac:dyDescent="0.25">
      <c r="L459" s="15"/>
    </row>
    <row r="460" spans="12:12" x14ac:dyDescent="0.25">
      <c r="L460" s="15"/>
    </row>
    <row r="461" spans="12:12" x14ac:dyDescent="0.25">
      <c r="L461" s="15"/>
    </row>
    <row r="462" spans="12:12" x14ac:dyDescent="0.25">
      <c r="L462" s="15"/>
    </row>
    <row r="463" spans="12:12" x14ac:dyDescent="0.25">
      <c r="L463" s="15"/>
    </row>
    <row r="464" spans="12:12" x14ac:dyDescent="0.25">
      <c r="L464" s="15"/>
    </row>
    <row r="465" spans="12:12" x14ac:dyDescent="0.25">
      <c r="L465" s="15"/>
    </row>
    <row r="466" spans="12:12" x14ac:dyDescent="0.25">
      <c r="L466" s="15"/>
    </row>
    <row r="467" spans="12:12" x14ac:dyDescent="0.25">
      <c r="L467" s="15"/>
    </row>
    <row r="468" spans="12:12" x14ac:dyDescent="0.25">
      <c r="L468" s="15"/>
    </row>
    <row r="469" spans="12:12" x14ac:dyDescent="0.25">
      <c r="L469" s="15"/>
    </row>
    <row r="470" spans="12:12" x14ac:dyDescent="0.25">
      <c r="L470" s="15"/>
    </row>
    <row r="471" spans="12:12" x14ac:dyDescent="0.25">
      <c r="L471" s="15"/>
    </row>
    <row r="472" spans="12:12" x14ac:dyDescent="0.25">
      <c r="L472" s="15"/>
    </row>
    <row r="473" spans="12:12" x14ac:dyDescent="0.25">
      <c r="L473" s="15"/>
    </row>
    <row r="474" spans="12:12" x14ac:dyDescent="0.25">
      <c r="L474" s="15"/>
    </row>
    <row r="475" spans="12:12" x14ac:dyDescent="0.25">
      <c r="L475" s="15"/>
    </row>
    <row r="476" spans="12:12" x14ac:dyDescent="0.25">
      <c r="L476" s="15"/>
    </row>
    <row r="477" spans="12:12" x14ac:dyDescent="0.25">
      <c r="L477" s="15"/>
    </row>
    <row r="478" spans="12:12" x14ac:dyDescent="0.25">
      <c r="L478" s="15"/>
    </row>
    <row r="479" spans="12:12" x14ac:dyDescent="0.25">
      <c r="L479" s="15"/>
    </row>
    <row r="480" spans="12:12" x14ac:dyDescent="0.25">
      <c r="L480" s="15"/>
    </row>
    <row r="481" spans="12:12" x14ac:dyDescent="0.25">
      <c r="L481" s="15"/>
    </row>
    <row r="482" spans="12:12" x14ac:dyDescent="0.25">
      <c r="L482" s="15"/>
    </row>
    <row r="483" spans="12:12" x14ac:dyDescent="0.25">
      <c r="L483" s="15"/>
    </row>
    <row r="484" spans="12:12" x14ac:dyDescent="0.25">
      <c r="L484" s="15"/>
    </row>
    <row r="485" spans="12:12" x14ac:dyDescent="0.25">
      <c r="L485" s="15"/>
    </row>
    <row r="486" spans="12:12" x14ac:dyDescent="0.25">
      <c r="L486" s="15"/>
    </row>
    <row r="487" spans="12:12" x14ac:dyDescent="0.25">
      <c r="L487" s="15"/>
    </row>
    <row r="488" spans="12:12" x14ac:dyDescent="0.25">
      <c r="L488" s="15"/>
    </row>
    <row r="489" spans="12:12" x14ac:dyDescent="0.25">
      <c r="L489" s="15"/>
    </row>
    <row r="490" spans="12:12" x14ac:dyDescent="0.25">
      <c r="L490" s="15"/>
    </row>
    <row r="491" spans="12:12" x14ac:dyDescent="0.25">
      <c r="L491" s="15"/>
    </row>
    <row r="492" spans="12:12" x14ac:dyDescent="0.25">
      <c r="L492" s="15"/>
    </row>
    <row r="493" spans="12:12" x14ac:dyDescent="0.25">
      <c r="L493" s="15"/>
    </row>
    <row r="494" spans="12:12" x14ac:dyDescent="0.25">
      <c r="L494" s="15"/>
    </row>
    <row r="495" spans="12:12" x14ac:dyDescent="0.25">
      <c r="L495" s="15"/>
    </row>
    <row r="496" spans="12:12" x14ac:dyDescent="0.25">
      <c r="L496" s="15"/>
    </row>
    <row r="497" spans="12:12" x14ac:dyDescent="0.25">
      <c r="L497" s="15"/>
    </row>
    <row r="498" spans="12:12" x14ac:dyDescent="0.25">
      <c r="L498" s="15"/>
    </row>
    <row r="499" spans="12:12" x14ac:dyDescent="0.25">
      <c r="L499" s="15"/>
    </row>
    <row r="500" spans="12:12" x14ac:dyDescent="0.25">
      <c r="L500" s="15"/>
    </row>
    <row r="501" spans="12:12" x14ac:dyDescent="0.25">
      <c r="L501" s="15"/>
    </row>
    <row r="502" spans="12:12" x14ac:dyDescent="0.25">
      <c r="L502" s="15"/>
    </row>
    <row r="503" spans="12:12" x14ac:dyDescent="0.25">
      <c r="L503" s="15"/>
    </row>
    <row r="504" spans="12:12" x14ac:dyDescent="0.25">
      <c r="L504" s="15"/>
    </row>
    <row r="505" spans="12:12" x14ac:dyDescent="0.25">
      <c r="L505" s="15"/>
    </row>
    <row r="506" spans="12:12" x14ac:dyDescent="0.25">
      <c r="L506" s="15"/>
    </row>
    <row r="507" spans="12:12" x14ac:dyDescent="0.25">
      <c r="L507" s="15"/>
    </row>
    <row r="508" spans="12:12" x14ac:dyDescent="0.25">
      <c r="L508" s="15"/>
    </row>
    <row r="509" spans="12:12" x14ac:dyDescent="0.25">
      <c r="L509" s="15"/>
    </row>
    <row r="510" spans="12:12" x14ac:dyDescent="0.25">
      <c r="L510" s="15"/>
    </row>
    <row r="511" spans="12:12" x14ac:dyDescent="0.25">
      <c r="L511" s="15"/>
    </row>
    <row r="512" spans="12:12" x14ac:dyDescent="0.25">
      <c r="L512" s="15"/>
    </row>
    <row r="513" spans="12:12" x14ac:dyDescent="0.25">
      <c r="L513" s="15"/>
    </row>
    <row r="514" spans="12:12" x14ac:dyDescent="0.25">
      <c r="L514" s="15"/>
    </row>
    <row r="515" spans="12:12" x14ac:dyDescent="0.25">
      <c r="L515" s="15"/>
    </row>
    <row r="516" spans="12:12" x14ac:dyDescent="0.25">
      <c r="L516" s="15"/>
    </row>
    <row r="517" spans="12:12" x14ac:dyDescent="0.25">
      <c r="L517" s="15"/>
    </row>
    <row r="518" spans="12:12" x14ac:dyDescent="0.25">
      <c r="L518" s="15"/>
    </row>
    <row r="519" spans="12:12" x14ac:dyDescent="0.25">
      <c r="L519" s="15"/>
    </row>
    <row r="520" spans="12:12" x14ac:dyDescent="0.25">
      <c r="L520" s="15"/>
    </row>
    <row r="521" spans="12:12" x14ac:dyDescent="0.25">
      <c r="L521" s="15"/>
    </row>
    <row r="522" spans="12:12" x14ac:dyDescent="0.25">
      <c r="L522" s="15"/>
    </row>
    <row r="523" spans="12:12" x14ac:dyDescent="0.25">
      <c r="L523" s="15"/>
    </row>
    <row r="524" spans="12:12" x14ac:dyDescent="0.25">
      <c r="L524" s="15"/>
    </row>
    <row r="525" spans="12:12" x14ac:dyDescent="0.25">
      <c r="L525" s="15"/>
    </row>
    <row r="526" spans="12:12" x14ac:dyDescent="0.25">
      <c r="L526" s="15"/>
    </row>
    <row r="527" spans="12:12" x14ac:dyDescent="0.25">
      <c r="L527" s="15"/>
    </row>
    <row r="528" spans="12:12" x14ac:dyDescent="0.25">
      <c r="L528" s="15"/>
    </row>
    <row r="529" spans="12:12" x14ac:dyDescent="0.25">
      <c r="L529" s="15"/>
    </row>
    <row r="530" spans="12:12" x14ac:dyDescent="0.25">
      <c r="L530" s="15"/>
    </row>
    <row r="531" spans="12:12" x14ac:dyDescent="0.25">
      <c r="L531" s="15"/>
    </row>
    <row r="532" spans="12:12" x14ac:dyDescent="0.25">
      <c r="L532" s="15"/>
    </row>
    <row r="533" spans="12:12" x14ac:dyDescent="0.25">
      <c r="L533" s="15"/>
    </row>
    <row r="534" spans="12:12" x14ac:dyDescent="0.25">
      <c r="L534" s="15"/>
    </row>
    <row r="535" spans="12:12" x14ac:dyDescent="0.25">
      <c r="L535" s="15"/>
    </row>
    <row r="536" spans="12:12" x14ac:dyDescent="0.25">
      <c r="L536" s="15"/>
    </row>
    <row r="537" spans="12:12" x14ac:dyDescent="0.25">
      <c r="L537" s="15"/>
    </row>
    <row r="538" spans="12:12" x14ac:dyDescent="0.25">
      <c r="L538" s="15"/>
    </row>
    <row r="539" spans="12:12" x14ac:dyDescent="0.25">
      <c r="L539" s="15"/>
    </row>
    <row r="540" spans="12:12" x14ac:dyDescent="0.25">
      <c r="L540" s="15"/>
    </row>
    <row r="541" spans="12:12" x14ac:dyDescent="0.25">
      <c r="L541" s="15"/>
    </row>
    <row r="542" spans="12:12" x14ac:dyDescent="0.25">
      <c r="L542" s="15"/>
    </row>
    <row r="543" spans="12:12" x14ac:dyDescent="0.25">
      <c r="L543" s="15"/>
    </row>
    <row r="544" spans="12:12" x14ac:dyDescent="0.25">
      <c r="L544" s="15"/>
    </row>
    <row r="545" spans="12:12" x14ac:dyDescent="0.25">
      <c r="L545" s="15"/>
    </row>
    <row r="546" spans="12:12" x14ac:dyDescent="0.25">
      <c r="L546" s="15"/>
    </row>
    <row r="547" spans="12:12" x14ac:dyDescent="0.25">
      <c r="L547" s="15"/>
    </row>
    <row r="548" spans="12:12" x14ac:dyDescent="0.25">
      <c r="L548" s="15"/>
    </row>
    <row r="549" spans="12:12" x14ac:dyDescent="0.25">
      <c r="L549" s="15"/>
    </row>
    <row r="550" spans="12:12" x14ac:dyDescent="0.25">
      <c r="L550" s="15"/>
    </row>
    <row r="551" spans="12:12" x14ac:dyDescent="0.25">
      <c r="L551" s="15"/>
    </row>
    <row r="552" spans="12:12" x14ac:dyDescent="0.25">
      <c r="L552" s="15"/>
    </row>
    <row r="553" spans="12:12" x14ac:dyDescent="0.25">
      <c r="L553" s="15"/>
    </row>
    <row r="554" spans="12:12" x14ac:dyDescent="0.25">
      <c r="L554" s="15"/>
    </row>
    <row r="555" spans="12:12" x14ac:dyDescent="0.25">
      <c r="L555" s="15"/>
    </row>
    <row r="556" spans="12:12" x14ac:dyDescent="0.25">
      <c r="L556" s="15"/>
    </row>
    <row r="557" spans="12:12" x14ac:dyDescent="0.25">
      <c r="L557" s="15"/>
    </row>
    <row r="558" spans="12:12" x14ac:dyDescent="0.25">
      <c r="L558" s="15"/>
    </row>
    <row r="559" spans="12:12" x14ac:dyDescent="0.25">
      <c r="L559" s="15"/>
    </row>
    <row r="560" spans="12:12" x14ac:dyDescent="0.25">
      <c r="L560" s="15"/>
    </row>
    <row r="561" spans="12:12" x14ac:dyDescent="0.25">
      <c r="L561" s="15"/>
    </row>
    <row r="562" spans="12:12" x14ac:dyDescent="0.25">
      <c r="L562" s="15"/>
    </row>
    <row r="563" spans="12:12" x14ac:dyDescent="0.25">
      <c r="L563" s="15"/>
    </row>
    <row r="564" spans="12:12" x14ac:dyDescent="0.25">
      <c r="L564" s="15"/>
    </row>
    <row r="565" spans="12:12" x14ac:dyDescent="0.25">
      <c r="L565" s="15"/>
    </row>
    <row r="566" spans="12:12" x14ac:dyDescent="0.25">
      <c r="L566" s="15"/>
    </row>
    <row r="567" spans="12:12" x14ac:dyDescent="0.25">
      <c r="L567" s="15"/>
    </row>
    <row r="568" spans="12:12" x14ac:dyDescent="0.25">
      <c r="L568" s="15"/>
    </row>
    <row r="569" spans="12:12" x14ac:dyDescent="0.25">
      <c r="L569" s="15"/>
    </row>
    <row r="570" spans="12:12" x14ac:dyDescent="0.25">
      <c r="L570" s="15"/>
    </row>
    <row r="571" spans="12:12" x14ac:dyDescent="0.25">
      <c r="L571" s="15"/>
    </row>
    <row r="572" spans="12:12" x14ac:dyDescent="0.25">
      <c r="L572" s="15"/>
    </row>
    <row r="573" spans="12:12" x14ac:dyDescent="0.25">
      <c r="L573" s="15"/>
    </row>
    <row r="574" spans="12:12" x14ac:dyDescent="0.25">
      <c r="L574" s="15"/>
    </row>
    <row r="575" spans="12:12" x14ac:dyDescent="0.25">
      <c r="L575" s="15"/>
    </row>
    <row r="576" spans="12:12" x14ac:dyDescent="0.25">
      <c r="L576" s="15"/>
    </row>
    <row r="577" spans="12:12" x14ac:dyDescent="0.25">
      <c r="L577" s="15"/>
    </row>
    <row r="578" spans="12:12" x14ac:dyDescent="0.25">
      <c r="L578" s="15"/>
    </row>
    <row r="579" spans="12:12" x14ac:dyDescent="0.25">
      <c r="L579" s="15"/>
    </row>
    <row r="580" spans="12:12" x14ac:dyDescent="0.25">
      <c r="L580" s="15"/>
    </row>
    <row r="581" spans="12:12" x14ac:dyDescent="0.25">
      <c r="L581" s="15"/>
    </row>
    <row r="582" spans="12:12" x14ac:dyDescent="0.25">
      <c r="L582" s="15"/>
    </row>
    <row r="583" spans="12:12" x14ac:dyDescent="0.25">
      <c r="L583" s="15"/>
    </row>
    <row r="584" spans="12:12" x14ac:dyDescent="0.25">
      <c r="L584" s="15"/>
    </row>
    <row r="585" spans="12:12" x14ac:dyDescent="0.25">
      <c r="L585" s="15"/>
    </row>
    <row r="586" spans="12:12" x14ac:dyDescent="0.25">
      <c r="L586" s="15"/>
    </row>
    <row r="587" spans="12:12" x14ac:dyDescent="0.25">
      <c r="L587" s="15"/>
    </row>
    <row r="588" spans="12:12" x14ac:dyDescent="0.25">
      <c r="L588" s="15"/>
    </row>
    <row r="589" spans="12:12" x14ac:dyDescent="0.25">
      <c r="L589" s="15"/>
    </row>
    <row r="590" spans="12:12" x14ac:dyDescent="0.25">
      <c r="L590" s="15"/>
    </row>
    <row r="591" spans="12:12" x14ac:dyDescent="0.25">
      <c r="L591" s="15"/>
    </row>
    <row r="592" spans="12:12" x14ac:dyDescent="0.25">
      <c r="L592" s="15"/>
    </row>
    <row r="593" spans="12:12" x14ac:dyDescent="0.25">
      <c r="L593" s="15"/>
    </row>
    <row r="594" spans="12:12" x14ac:dyDescent="0.25">
      <c r="L594" s="15"/>
    </row>
    <row r="595" spans="12:12" x14ac:dyDescent="0.25">
      <c r="L595" s="15"/>
    </row>
    <row r="596" spans="12:12" x14ac:dyDescent="0.25">
      <c r="L596" s="15"/>
    </row>
    <row r="597" spans="12:12" x14ac:dyDescent="0.25">
      <c r="L597" s="15"/>
    </row>
    <row r="598" spans="12:12" x14ac:dyDescent="0.25">
      <c r="L598" s="15"/>
    </row>
    <row r="599" spans="12:12" x14ac:dyDescent="0.25">
      <c r="L599" s="15"/>
    </row>
    <row r="600" spans="12:12" x14ac:dyDescent="0.25">
      <c r="L600" s="15"/>
    </row>
    <row r="601" spans="12:12" x14ac:dyDescent="0.25">
      <c r="L601" s="15"/>
    </row>
    <row r="602" spans="12:12" x14ac:dyDescent="0.25">
      <c r="L602" s="15"/>
    </row>
    <row r="603" spans="12:12" x14ac:dyDescent="0.25">
      <c r="L603" s="15"/>
    </row>
    <row r="604" spans="12:12" x14ac:dyDescent="0.25">
      <c r="L604" s="15"/>
    </row>
    <row r="605" spans="12:12" x14ac:dyDescent="0.25">
      <c r="L605" s="15"/>
    </row>
    <row r="606" spans="12:12" x14ac:dyDescent="0.25">
      <c r="L606" s="15"/>
    </row>
    <row r="607" spans="12:12" x14ac:dyDescent="0.25">
      <c r="L607" s="15"/>
    </row>
    <row r="608" spans="12:12" x14ac:dyDescent="0.25">
      <c r="L608" s="15"/>
    </row>
    <row r="609" spans="12:12" x14ac:dyDescent="0.25">
      <c r="L609" s="15"/>
    </row>
    <row r="610" spans="12:12" x14ac:dyDescent="0.25">
      <c r="L610" s="15"/>
    </row>
    <row r="611" spans="12:12" x14ac:dyDescent="0.25">
      <c r="L611" s="15"/>
    </row>
    <row r="612" spans="12:12" x14ac:dyDescent="0.25">
      <c r="L612" s="15"/>
    </row>
    <row r="613" spans="12:12" x14ac:dyDescent="0.25">
      <c r="L613" s="15"/>
    </row>
    <row r="614" spans="12:12" x14ac:dyDescent="0.25">
      <c r="L614" s="15"/>
    </row>
    <row r="615" spans="12:12" x14ac:dyDescent="0.25">
      <c r="L615" s="15"/>
    </row>
    <row r="616" spans="12:12" x14ac:dyDescent="0.25">
      <c r="L616" s="15"/>
    </row>
    <row r="617" spans="12:12" x14ac:dyDescent="0.25">
      <c r="L617" s="15"/>
    </row>
    <row r="618" spans="12:12" x14ac:dyDescent="0.25">
      <c r="L618" s="15"/>
    </row>
    <row r="619" spans="12:12" x14ac:dyDescent="0.25">
      <c r="L619" s="15"/>
    </row>
    <row r="620" spans="12:12" x14ac:dyDescent="0.25">
      <c r="L620" s="15"/>
    </row>
    <row r="621" spans="12:12" x14ac:dyDescent="0.25">
      <c r="L621" s="15"/>
    </row>
    <row r="622" spans="12:12" x14ac:dyDescent="0.25">
      <c r="L622" s="15"/>
    </row>
    <row r="623" spans="12:12" x14ac:dyDescent="0.25">
      <c r="L623" s="15"/>
    </row>
    <row r="624" spans="12:12" x14ac:dyDescent="0.25">
      <c r="L624" s="15"/>
    </row>
    <row r="625" spans="12:12" x14ac:dyDescent="0.25">
      <c r="L625" s="15"/>
    </row>
    <row r="626" spans="12:12" x14ac:dyDescent="0.25">
      <c r="L626" s="15"/>
    </row>
    <row r="627" spans="12:12" x14ac:dyDescent="0.25">
      <c r="L627" s="15"/>
    </row>
    <row r="628" spans="12:12" x14ac:dyDescent="0.25">
      <c r="L628" s="15"/>
    </row>
    <row r="629" spans="12:12" x14ac:dyDescent="0.25">
      <c r="L629" s="15"/>
    </row>
    <row r="630" spans="12:12" x14ac:dyDescent="0.25">
      <c r="L630" s="15"/>
    </row>
    <row r="631" spans="12:12" x14ac:dyDescent="0.25">
      <c r="L631" s="15"/>
    </row>
    <row r="632" spans="12:12" x14ac:dyDescent="0.25">
      <c r="L632" s="15"/>
    </row>
    <row r="633" spans="12:12" x14ac:dyDescent="0.25">
      <c r="L633" s="15"/>
    </row>
    <row r="634" spans="12:12" x14ac:dyDescent="0.25">
      <c r="L634" s="15"/>
    </row>
    <row r="635" spans="12:12" x14ac:dyDescent="0.25">
      <c r="L635" s="15"/>
    </row>
    <row r="636" spans="12:12" x14ac:dyDescent="0.25">
      <c r="L636" s="15"/>
    </row>
    <row r="637" spans="12:12" x14ac:dyDescent="0.25">
      <c r="L637" s="15"/>
    </row>
    <row r="638" spans="12:12" x14ac:dyDescent="0.25">
      <c r="L638" s="15"/>
    </row>
    <row r="639" spans="12:12" x14ac:dyDescent="0.25">
      <c r="L639" s="15"/>
    </row>
    <row r="640" spans="12:12" x14ac:dyDescent="0.25">
      <c r="L640" s="15"/>
    </row>
    <row r="641" spans="12:12" x14ac:dyDescent="0.25">
      <c r="L641" s="15"/>
    </row>
    <row r="642" spans="12:12" x14ac:dyDescent="0.25">
      <c r="L642" s="15"/>
    </row>
    <row r="643" spans="12:12" x14ac:dyDescent="0.25">
      <c r="L643" s="15"/>
    </row>
    <row r="644" spans="12:12" x14ac:dyDescent="0.25">
      <c r="L644" s="15"/>
    </row>
    <row r="645" spans="12:12" x14ac:dyDescent="0.25">
      <c r="L645" s="15"/>
    </row>
    <row r="646" spans="12:12" x14ac:dyDescent="0.25">
      <c r="L646" s="15"/>
    </row>
    <row r="647" spans="12:12" x14ac:dyDescent="0.25">
      <c r="L647" s="15"/>
    </row>
    <row r="648" spans="12:12" x14ac:dyDescent="0.25">
      <c r="L648" s="15"/>
    </row>
    <row r="649" spans="12:12" x14ac:dyDescent="0.25">
      <c r="L649" s="15"/>
    </row>
    <row r="650" spans="12:12" x14ac:dyDescent="0.25">
      <c r="L650" s="15"/>
    </row>
    <row r="651" spans="12:12" x14ac:dyDescent="0.25">
      <c r="L651" s="15"/>
    </row>
    <row r="652" spans="12:12" x14ac:dyDescent="0.25">
      <c r="L652" s="15"/>
    </row>
    <row r="653" spans="12:12" x14ac:dyDescent="0.25">
      <c r="L653" s="15"/>
    </row>
    <row r="654" spans="12:12" x14ac:dyDescent="0.25">
      <c r="L654" s="15"/>
    </row>
    <row r="655" spans="12:12" x14ac:dyDescent="0.25">
      <c r="L655" s="15"/>
    </row>
    <row r="656" spans="12:12" x14ac:dyDescent="0.25">
      <c r="L656" s="15"/>
    </row>
    <row r="657" spans="12:12" x14ac:dyDescent="0.25">
      <c r="L657" s="15"/>
    </row>
    <row r="658" spans="12:12" x14ac:dyDescent="0.25">
      <c r="L658" s="15"/>
    </row>
    <row r="659" spans="12:12" x14ac:dyDescent="0.25">
      <c r="L659" s="15"/>
    </row>
    <row r="660" spans="12:12" x14ac:dyDescent="0.25">
      <c r="L660" s="15"/>
    </row>
    <row r="661" spans="12:12" x14ac:dyDescent="0.25">
      <c r="L661" s="15"/>
    </row>
    <row r="662" spans="12:12" x14ac:dyDescent="0.25">
      <c r="L662" s="15"/>
    </row>
    <row r="663" spans="12:12" x14ac:dyDescent="0.25">
      <c r="L663" s="15"/>
    </row>
    <row r="664" spans="12:12" x14ac:dyDescent="0.25">
      <c r="L664" s="15"/>
    </row>
    <row r="665" spans="12:12" x14ac:dyDescent="0.25">
      <c r="L665" s="15"/>
    </row>
    <row r="666" spans="12:12" x14ac:dyDescent="0.25">
      <c r="L666" s="15"/>
    </row>
    <row r="667" spans="12:12" x14ac:dyDescent="0.25">
      <c r="L667" s="15"/>
    </row>
    <row r="668" spans="12:12" x14ac:dyDescent="0.25">
      <c r="L668" s="15"/>
    </row>
    <row r="669" spans="12:12" x14ac:dyDescent="0.25">
      <c r="L669" s="15"/>
    </row>
    <row r="670" spans="12:12" x14ac:dyDescent="0.25">
      <c r="L670" s="15"/>
    </row>
    <row r="671" spans="12:12" x14ac:dyDescent="0.25">
      <c r="L671" s="15"/>
    </row>
    <row r="672" spans="12:12" x14ac:dyDescent="0.25">
      <c r="L672" s="15"/>
    </row>
    <row r="673" spans="12:12" x14ac:dyDescent="0.25">
      <c r="L673" s="15"/>
    </row>
    <row r="674" spans="12:12" x14ac:dyDescent="0.25">
      <c r="L674" s="15"/>
    </row>
    <row r="675" spans="12:12" x14ac:dyDescent="0.25">
      <c r="L675" s="15"/>
    </row>
    <row r="676" spans="12:12" x14ac:dyDescent="0.25">
      <c r="L676" s="15"/>
    </row>
    <row r="677" spans="12:12" x14ac:dyDescent="0.25">
      <c r="L677" s="15"/>
    </row>
    <row r="678" spans="12:12" x14ac:dyDescent="0.25">
      <c r="L678" s="15"/>
    </row>
    <row r="679" spans="12:12" x14ac:dyDescent="0.25">
      <c r="L679" s="15"/>
    </row>
    <row r="680" spans="12:12" x14ac:dyDescent="0.25">
      <c r="L680" s="15"/>
    </row>
    <row r="681" spans="12:12" x14ac:dyDescent="0.25">
      <c r="L681" s="15"/>
    </row>
    <row r="682" spans="12:12" x14ac:dyDescent="0.25">
      <c r="L682" s="15"/>
    </row>
    <row r="683" spans="12:12" x14ac:dyDescent="0.25">
      <c r="L683" s="15"/>
    </row>
    <row r="684" spans="12:12" x14ac:dyDescent="0.25">
      <c r="L684" s="15"/>
    </row>
    <row r="685" spans="12:12" x14ac:dyDescent="0.25">
      <c r="L685" s="15"/>
    </row>
    <row r="686" spans="12:12" x14ac:dyDescent="0.25">
      <c r="L686" s="15"/>
    </row>
    <row r="687" spans="12:12" x14ac:dyDescent="0.25">
      <c r="L687" s="15"/>
    </row>
    <row r="688" spans="12:12" x14ac:dyDescent="0.25">
      <c r="L688" s="15"/>
    </row>
    <row r="689" spans="12:12" x14ac:dyDescent="0.25">
      <c r="L689" s="15"/>
    </row>
    <row r="690" spans="12:12" x14ac:dyDescent="0.25">
      <c r="L690" s="15"/>
    </row>
    <row r="691" spans="12:12" x14ac:dyDescent="0.25">
      <c r="L691" s="15"/>
    </row>
    <row r="692" spans="12:12" x14ac:dyDescent="0.25">
      <c r="L692" s="15"/>
    </row>
    <row r="693" spans="12:12" x14ac:dyDescent="0.25">
      <c r="L693" s="15"/>
    </row>
    <row r="694" spans="12:12" x14ac:dyDescent="0.25">
      <c r="L694" s="15"/>
    </row>
    <row r="695" spans="12:12" x14ac:dyDescent="0.25">
      <c r="L695" s="15"/>
    </row>
    <row r="696" spans="12:12" x14ac:dyDescent="0.25">
      <c r="L696" s="15"/>
    </row>
    <row r="697" spans="12:12" x14ac:dyDescent="0.25">
      <c r="L697" s="15"/>
    </row>
    <row r="698" spans="12:12" x14ac:dyDescent="0.25">
      <c r="L698" s="15"/>
    </row>
    <row r="699" spans="12:12" x14ac:dyDescent="0.25">
      <c r="L699" s="15"/>
    </row>
    <row r="700" spans="12:12" x14ac:dyDescent="0.25">
      <c r="L700" s="15"/>
    </row>
    <row r="701" spans="12:12" x14ac:dyDescent="0.25">
      <c r="L701" s="15"/>
    </row>
    <row r="702" spans="12:12" x14ac:dyDescent="0.25">
      <c r="L702" s="15"/>
    </row>
    <row r="703" spans="12:12" x14ac:dyDescent="0.25">
      <c r="L703" s="15"/>
    </row>
    <row r="704" spans="12:12" x14ac:dyDescent="0.25">
      <c r="L704" s="15"/>
    </row>
    <row r="705" spans="12:12" x14ac:dyDescent="0.25">
      <c r="L705" s="15"/>
    </row>
    <row r="706" spans="12:12" x14ac:dyDescent="0.25">
      <c r="L706" s="15"/>
    </row>
    <row r="707" spans="12:12" x14ac:dyDescent="0.25">
      <c r="L707" s="15"/>
    </row>
    <row r="708" spans="12:12" x14ac:dyDescent="0.25">
      <c r="L708" s="15"/>
    </row>
    <row r="709" spans="12:12" x14ac:dyDescent="0.25">
      <c r="L709" s="15"/>
    </row>
    <row r="710" spans="12:12" x14ac:dyDescent="0.25">
      <c r="L710" s="15"/>
    </row>
    <row r="711" spans="12:12" x14ac:dyDescent="0.25">
      <c r="L711" s="15"/>
    </row>
    <row r="712" spans="12:12" x14ac:dyDescent="0.25">
      <c r="L712" s="15"/>
    </row>
    <row r="713" spans="12:12" x14ac:dyDescent="0.25">
      <c r="L713" s="15"/>
    </row>
    <row r="714" spans="12:12" x14ac:dyDescent="0.25">
      <c r="L714" s="15"/>
    </row>
    <row r="715" spans="12:12" x14ac:dyDescent="0.25">
      <c r="L715" s="15"/>
    </row>
    <row r="716" spans="12:12" x14ac:dyDescent="0.25">
      <c r="L716" s="15"/>
    </row>
    <row r="717" spans="12:12" x14ac:dyDescent="0.25">
      <c r="L717" s="15"/>
    </row>
    <row r="718" spans="12:12" x14ac:dyDescent="0.25">
      <c r="L718" s="15"/>
    </row>
    <row r="719" spans="12:12" x14ac:dyDescent="0.25">
      <c r="L719" s="15"/>
    </row>
    <row r="720" spans="12:12" x14ac:dyDescent="0.25">
      <c r="L720" s="15"/>
    </row>
    <row r="721" spans="12:12" x14ac:dyDescent="0.25">
      <c r="L721" s="15"/>
    </row>
    <row r="722" spans="12:12" x14ac:dyDescent="0.25">
      <c r="L722" s="15"/>
    </row>
    <row r="723" spans="12:12" x14ac:dyDescent="0.25">
      <c r="L723" s="15"/>
    </row>
    <row r="724" spans="12:12" x14ac:dyDescent="0.25">
      <c r="L724" s="15"/>
    </row>
    <row r="725" spans="12:12" x14ac:dyDescent="0.25">
      <c r="L725" s="15"/>
    </row>
    <row r="726" spans="12:12" x14ac:dyDescent="0.25">
      <c r="L726" s="15"/>
    </row>
    <row r="727" spans="12:12" x14ac:dyDescent="0.25">
      <c r="L727" s="15"/>
    </row>
    <row r="728" spans="12:12" x14ac:dyDescent="0.25">
      <c r="L728" s="15"/>
    </row>
    <row r="729" spans="12:12" x14ac:dyDescent="0.25">
      <c r="L729" s="15"/>
    </row>
    <row r="730" spans="12:12" x14ac:dyDescent="0.25">
      <c r="L730" s="15"/>
    </row>
    <row r="731" spans="12:12" x14ac:dyDescent="0.25">
      <c r="L731" s="15"/>
    </row>
    <row r="732" spans="12:12" x14ac:dyDescent="0.25">
      <c r="L732" s="15"/>
    </row>
    <row r="733" spans="12:12" x14ac:dyDescent="0.25">
      <c r="L733" s="15"/>
    </row>
    <row r="734" spans="12:12" x14ac:dyDescent="0.25">
      <c r="L734" s="15"/>
    </row>
    <row r="735" spans="12:12" x14ac:dyDescent="0.25">
      <c r="L735" s="15"/>
    </row>
    <row r="736" spans="12:12" x14ac:dyDescent="0.25">
      <c r="L736" s="15"/>
    </row>
    <row r="737" spans="12:12" x14ac:dyDescent="0.25">
      <c r="L737" s="15"/>
    </row>
    <row r="738" spans="12:12" x14ac:dyDescent="0.25">
      <c r="L738" s="15"/>
    </row>
    <row r="739" spans="12:12" x14ac:dyDescent="0.25">
      <c r="L739" s="15"/>
    </row>
    <row r="740" spans="12:12" x14ac:dyDescent="0.25">
      <c r="L740" s="15"/>
    </row>
    <row r="741" spans="12:12" x14ac:dyDescent="0.25">
      <c r="L741" s="15"/>
    </row>
    <row r="742" spans="12:12" x14ac:dyDescent="0.25">
      <c r="L742" s="15"/>
    </row>
    <row r="743" spans="12:12" x14ac:dyDescent="0.25">
      <c r="L743" s="15"/>
    </row>
    <row r="744" spans="12:12" x14ac:dyDescent="0.25">
      <c r="L744" s="15"/>
    </row>
    <row r="745" spans="12:12" x14ac:dyDescent="0.25">
      <c r="L745" s="15"/>
    </row>
    <row r="746" spans="12:12" x14ac:dyDescent="0.25">
      <c r="L746" s="15"/>
    </row>
    <row r="747" spans="12:12" x14ac:dyDescent="0.25">
      <c r="L747" s="15"/>
    </row>
    <row r="748" spans="12:12" x14ac:dyDescent="0.25">
      <c r="L748" s="15"/>
    </row>
    <row r="749" spans="12:12" x14ac:dyDescent="0.25">
      <c r="L749" s="15"/>
    </row>
    <row r="750" spans="12:12" x14ac:dyDescent="0.25">
      <c r="L750" s="15"/>
    </row>
    <row r="751" spans="12:12" x14ac:dyDescent="0.25">
      <c r="L751" s="15"/>
    </row>
    <row r="752" spans="12:12" x14ac:dyDescent="0.25">
      <c r="L752" s="15"/>
    </row>
    <row r="753" spans="12:12" x14ac:dyDescent="0.25">
      <c r="L753" s="15"/>
    </row>
    <row r="754" spans="12:12" x14ac:dyDescent="0.25">
      <c r="L754" s="15"/>
    </row>
    <row r="755" spans="12:12" x14ac:dyDescent="0.25">
      <c r="L755" s="15"/>
    </row>
    <row r="756" spans="12:12" x14ac:dyDescent="0.25">
      <c r="L756" s="15"/>
    </row>
    <row r="757" spans="12:12" x14ac:dyDescent="0.25">
      <c r="L757" s="15"/>
    </row>
    <row r="758" spans="12:12" x14ac:dyDescent="0.25">
      <c r="L758" s="15"/>
    </row>
    <row r="759" spans="12:12" x14ac:dyDescent="0.25">
      <c r="L759" s="15"/>
    </row>
    <row r="760" spans="12:12" x14ac:dyDescent="0.25">
      <c r="L760" s="15"/>
    </row>
    <row r="761" spans="12:12" x14ac:dyDescent="0.25">
      <c r="L761" s="15"/>
    </row>
    <row r="762" spans="12:12" x14ac:dyDescent="0.25">
      <c r="L762" s="15"/>
    </row>
    <row r="763" spans="12:12" x14ac:dyDescent="0.25">
      <c r="L763" s="15"/>
    </row>
    <row r="764" spans="12:12" x14ac:dyDescent="0.25">
      <c r="L764" s="15"/>
    </row>
    <row r="765" spans="12:12" x14ac:dyDescent="0.25">
      <c r="L765" s="15"/>
    </row>
    <row r="766" spans="12:12" x14ac:dyDescent="0.25">
      <c r="L766" s="15"/>
    </row>
    <row r="767" spans="12:12" x14ac:dyDescent="0.25">
      <c r="L767" s="15"/>
    </row>
    <row r="768" spans="12:12" x14ac:dyDescent="0.25">
      <c r="L768" s="15"/>
    </row>
    <row r="769" spans="12:12" x14ac:dyDescent="0.25">
      <c r="L769" s="15"/>
    </row>
    <row r="770" spans="12:12" x14ac:dyDescent="0.25">
      <c r="L770" s="15"/>
    </row>
    <row r="771" spans="12:12" x14ac:dyDescent="0.25">
      <c r="L771" s="15"/>
    </row>
    <row r="772" spans="12:12" x14ac:dyDescent="0.25">
      <c r="L772" s="15"/>
    </row>
    <row r="773" spans="12:12" x14ac:dyDescent="0.25">
      <c r="L773" s="15"/>
    </row>
    <row r="774" spans="12:12" x14ac:dyDescent="0.25">
      <c r="L774" s="15"/>
    </row>
    <row r="775" spans="12:12" x14ac:dyDescent="0.25">
      <c r="L775" s="15"/>
    </row>
    <row r="776" spans="12:12" x14ac:dyDescent="0.25">
      <c r="L776" s="15"/>
    </row>
    <row r="777" spans="12:12" x14ac:dyDescent="0.25">
      <c r="L777" s="15"/>
    </row>
    <row r="778" spans="12:12" x14ac:dyDescent="0.25">
      <c r="L778" s="15"/>
    </row>
    <row r="779" spans="12:12" x14ac:dyDescent="0.25">
      <c r="L779" s="15"/>
    </row>
    <row r="780" spans="12:12" x14ac:dyDescent="0.25">
      <c r="L780" s="15"/>
    </row>
    <row r="781" spans="12:12" x14ac:dyDescent="0.25">
      <c r="L781" s="15"/>
    </row>
    <row r="782" spans="12:12" x14ac:dyDescent="0.25">
      <c r="L782" s="15"/>
    </row>
    <row r="783" spans="12:12" x14ac:dyDescent="0.25">
      <c r="L783" s="15"/>
    </row>
    <row r="784" spans="12:12" x14ac:dyDescent="0.25">
      <c r="L784" s="15"/>
    </row>
    <row r="785" spans="12:12" x14ac:dyDescent="0.25">
      <c r="L785" s="15"/>
    </row>
    <row r="786" spans="12:12" x14ac:dyDescent="0.25">
      <c r="L786" s="15"/>
    </row>
    <row r="787" spans="12:12" x14ac:dyDescent="0.25">
      <c r="L787" s="15"/>
    </row>
    <row r="788" spans="12:12" x14ac:dyDescent="0.25">
      <c r="L788" s="15"/>
    </row>
    <row r="789" spans="12:12" x14ac:dyDescent="0.25">
      <c r="L789" s="15"/>
    </row>
    <row r="790" spans="12:12" x14ac:dyDescent="0.25">
      <c r="L790" s="15"/>
    </row>
    <row r="791" spans="12:12" x14ac:dyDescent="0.25">
      <c r="L791" s="15"/>
    </row>
    <row r="792" spans="12:12" x14ac:dyDescent="0.25">
      <c r="L792" s="15"/>
    </row>
    <row r="793" spans="12:12" x14ac:dyDescent="0.25">
      <c r="L793" s="15"/>
    </row>
    <row r="794" spans="12:12" x14ac:dyDescent="0.25">
      <c r="L794" s="15"/>
    </row>
    <row r="795" spans="12:12" x14ac:dyDescent="0.25">
      <c r="L795" s="15"/>
    </row>
    <row r="796" spans="12:12" x14ac:dyDescent="0.25">
      <c r="L796" s="15"/>
    </row>
    <row r="797" spans="12:12" x14ac:dyDescent="0.25">
      <c r="L797" s="15"/>
    </row>
    <row r="798" spans="12:12" x14ac:dyDescent="0.25">
      <c r="L798" s="15"/>
    </row>
    <row r="799" spans="12:12" x14ac:dyDescent="0.25">
      <c r="L799" s="15"/>
    </row>
    <row r="800" spans="12:12" x14ac:dyDescent="0.25">
      <c r="L800" s="15"/>
    </row>
    <row r="801" spans="12:12" x14ac:dyDescent="0.25">
      <c r="L801" s="15"/>
    </row>
    <row r="802" spans="12:12" x14ac:dyDescent="0.25">
      <c r="L802" s="15"/>
    </row>
    <row r="803" spans="12:12" x14ac:dyDescent="0.25">
      <c r="L803" s="15"/>
    </row>
    <row r="804" spans="12:12" x14ac:dyDescent="0.25">
      <c r="L804" s="15"/>
    </row>
    <row r="805" spans="12:12" x14ac:dyDescent="0.25">
      <c r="L805" s="15"/>
    </row>
    <row r="806" spans="12:12" x14ac:dyDescent="0.25">
      <c r="L806" s="15"/>
    </row>
    <row r="807" spans="12:12" x14ac:dyDescent="0.25">
      <c r="L807" s="15"/>
    </row>
    <row r="808" spans="12:12" x14ac:dyDescent="0.25">
      <c r="L808" s="15"/>
    </row>
    <row r="809" spans="12:12" x14ac:dyDescent="0.25">
      <c r="L809" s="15"/>
    </row>
    <row r="810" spans="12:12" x14ac:dyDescent="0.25">
      <c r="L810" s="15"/>
    </row>
    <row r="811" spans="12:12" x14ac:dyDescent="0.25">
      <c r="L811" s="15"/>
    </row>
    <row r="812" spans="12:12" x14ac:dyDescent="0.25">
      <c r="L812" s="15"/>
    </row>
    <row r="813" spans="12:12" x14ac:dyDescent="0.25">
      <c r="L813" s="15"/>
    </row>
    <row r="814" spans="12:12" x14ac:dyDescent="0.25">
      <c r="L814" s="15"/>
    </row>
    <row r="815" spans="12:12" x14ac:dyDescent="0.25">
      <c r="L815" s="15"/>
    </row>
    <row r="816" spans="12:12" x14ac:dyDescent="0.25">
      <c r="L816" s="15"/>
    </row>
    <row r="817" spans="12:12" x14ac:dyDescent="0.25">
      <c r="L817" s="15"/>
    </row>
    <row r="818" spans="12:12" x14ac:dyDescent="0.25">
      <c r="L818" s="15"/>
    </row>
    <row r="819" spans="12:12" x14ac:dyDescent="0.25">
      <c r="L819" s="15"/>
    </row>
    <row r="820" spans="12:12" x14ac:dyDescent="0.25">
      <c r="L820" s="15"/>
    </row>
    <row r="821" spans="12:12" x14ac:dyDescent="0.25">
      <c r="L821" s="15"/>
    </row>
    <row r="822" spans="12:12" x14ac:dyDescent="0.25">
      <c r="L822" s="15"/>
    </row>
    <row r="823" spans="12:12" x14ac:dyDescent="0.25">
      <c r="L823" s="15"/>
    </row>
    <row r="824" spans="12:12" x14ac:dyDescent="0.25">
      <c r="L824" s="15"/>
    </row>
    <row r="825" spans="12:12" x14ac:dyDescent="0.25">
      <c r="L825" s="15"/>
    </row>
    <row r="826" spans="12:12" x14ac:dyDescent="0.25">
      <c r="L826" s="15"/>
    </row>
    <row r="827" spans="12:12" x14ac:dyDescent="0.25">
      <c r="L827" s="15"/>
    </row>
    <row r="828" spans="12:12" x14ac:dyDescent="0.25">
      <c r="L828" s="15"/>
    </row>
    <row r="829" spans="12:12" x14ac:dyDescent="0.25">
      <c r="L829" s="15"/>
    </row>
    <row r="830" spans="12:12" x14ac:dyDescent="0.25">
      <c r="L830" s="15"/>
    </row>
    <row r="831" spans="12:12" x14ac:dyDescent="0.25">
      <c r="L831" s="15"/>
    </row>
    <row r="832" spans="12:12" x14ac:dyDescent="0.25">
      <c r="L832" s="15"/>
    </row>
    <row r="833" spans="12:12" x14ac:dyDescent="0.25">
      <c r="L833" s="15"/>
    </row>
    <row r="834" spans="12:12" x14ac:dyDescent="0.25">
      <c r="L834" s="15"/>
    </row>
    <row r="835" spans="12:12" x14ac:dyDescent="0.25">
      <c r="L835" s="15"/>
    </row>
    <row r="836" spans="12:12" x14ac:dyDescent="0.25">
      <c r="L836" s="15"/>
    </row>
    <row r="837" spans="12:12" x14ac:dyDescent="0.25">
      <c r="L837" s="15"/>
    </row>
    <row r="838" spans="12:12" x14ac:dyDescent="0.25">
      <c r="L838" s="15"/>
    </row>
    <row r="839" spans="12:12" x14ac:dyDescent="0.25">
      <c r="L839" s="15"/>
    </row>
    <row r="840" spans="12:12" x14ac:dyDescent="0.25">
      <c r="L840" s="15"/>
    </row>
    <row r="841" spans="12:12" x14ac:dyDescent="0.25">
      <c r="L841" s="15"/>
    </row>
    <row r="842" spans="12:12" x14ac:dyDescent="0.25">
      <c r="L842" s="15"/>
    </row>
    <row r="843" spans="12:12" x14ac:dyDescent="0.25">
      <c r="L843" s="15"/>
    </row>
    <row r="844" spans="12:12" x14ac:dyDescent="0.25">
      <c r="L844" s="15"/>
    </row>
    <row r="845" spans="12:12" x14ac:dyDescent="0.25">
      <c r="L845" s="15"/>
    </row>
    <row r="846" spans="12:12" x14ac:dyDescent="0.25">
      <c r="L846" s="15"/>
    </row>
    <row r="847" spans="12:12" x14ac:dyDescent="0.25">
      <c r="L847" s="15"/>
    </row>
    <row r="848" spans="12:12" x14ac:dyDescent="0.25">
      <c r="L848" s="15"/>
    </row>
    <row r="849" spans="12:12" x14ac:dyDescent="0.25">
      <c r="L849" s="15"/>
    </row>
    <row r="850" spans="12:12" x14ac:dyDescent="0.25">
      <c r="L850" s="15"/>
    </row>
    <row r="851" spans="12:12" x14ac:dyDescent="0.25">
      <c r="L851" s="15"/>
    </row>
    <row r="852" spans="12:12" x14ac:dyDescent="0.25">
      <c r="L852" s="15"/>
    </row>
    <row r="853" spans="12:12" x14ac:dyDescent="0.25">
      <c r="L853" s="15"/>
    </row>
    <row r="854" spans="12:12" x14ac:dyDescent="0.25">
      <c r="L854" s="15"/>
    </row>
    <row r="855" spans="12:12" x14ac:dyDescent="0.25">
      <c r="L855" s="15"/>
    </row>
    <row r="856" spans="12:12" x14ac:dyDescent="0.25">
      <c r="L856" s="15"/>
    </row>
    <row r="857" spans="12:12" x14ac:dyDescent="0.25">
      <c r="L857" s="15"/>
    </row>
    <row r="858" spans="12:12" x14ac:dyDescent="0.25">
      <c r="L858" s="15"/>
    </row>
    <row r="859" spans="12:12" x14ac:dyDescent="0.25">
      <c r="L859" s="15"/>
    </row>
    <row r="860" spans="12:12" x14ac:dyDescent="0.25">
      <c r="L860" s="15"/>
    </row>
    <row r="861" spans="12:12" x14ac:dyDescent="0.25">
      <c r="L861" s="15"/>
    </row>
    <row r="862" spans="12:12" x14ac:dyDescent="0.25">
      <c r="L862" s="15"/>
    </row>
    <row r="863" spans="12:12" x14ac:dyDescent="0.25">
      <c r="L863" s="15"/>
    </row>
    <row r="864" spans="12:12" x14ac:dyDescent="0.25">
      <c r="L864" s="15"/>
    </row>
    <row r="865" spans="12:12" x14ac:dyDescent="0.25">
      <c r="L865" s="15"/>
    </row>
    <row r="866" spans="12:12" x14ac:dyDescent="0.25">
      <c r="L866" s="15"/>
    </row>
    <row r="867" spans="12:12" x14ac:dyDescent="0.25">
      <c r="L867" s="15"/>
    </row>
    <row r="868" spans="12:12" x14ac:dyDescent="0.25">
      <c r="L868" s="15"/>
    </row>
    <row r="869" spans="12:12" x14ac:dyDescent="0.25">
      <c r="L869" s="15"/>
    </row>
    <row r="870" spans="12:12" x14ac:dyDescent="0.25">
      <c r="L870" s="15"/>
    </row>
    <row r="871" spans="12:12" x14ac:dyDescent="0.25">
      <c r="L871" s="15"/>
    </row>
    <row r="872" spans="12:12" x14ac:dyDescent="0.25">
      <c r="L872" s="15"/>
    </row>
    <row r="873" spans="12:12" x14ac:dyDescent="0.25">
      <c r="L873" s="15"/>
    </row>
    <row r="874" spans="12:12" x14ac:dyDescent="0.25">
      <c r="L874" s="15"/>
    </row>
    <row r="875" spans="12:12" x14ac:dyDescent="0.25">
      <c r="L875" s="15"/>
    </row>
    <row r="876" spans="12:12" x14ac:dyDescent="0.25">
      <c r="L876" s="15"/>
    </row>
    <row r="877" spans="12:12" x14ac:dyDescent="0.25">
      <c r="L877" s="15"/>
    </row>
    <row r="878" spans="12:12" x14ac:dyDescent="0.25">
      <c r="L878" s="15"/>
    </row>
    <row r="879" spans="12:12" x14ac:dyDescent="0.25">
      <c r="L879" s="15"/>
    </row>
    <row r="880" spans="12:12" x14ac:dyDescent="0.25">
      <c r="L880" s="15"/>
    </row>
    <row r="881" spans="12:12" x14ac:dyDescent="0.25">
      <c r="L881" s="15"/>
    </row>
    <row r="882" spans="12:12" x14ac:dyDescent="0.25">
      <c r="L882" s="15"/>
    </row>
    <row r="883" spans="12:12" x14ac:dyDescent="0.25">
      <c r="L883" s="15"/>
    </row>
    <row r="884" spans="12:12" x14ac:dyDescent="0.25">
      <c r="L884" s="15"/>
    </row>
    <row r="885" spans="12:12" x14ac:dyDescent="0.25">
      <c r="L885" s="15"/>
    </row>
    <row r="886" spans="12:12" x14ac:dyDescent="0.25">
      <c r="L886" s="15"/>
    </row>
    <row r="887" spans="12:12" x14ac:dyDescent="0.25">
      <c r="L887" s="15"/>
    </row>
    <row r="888" spans="12:12" x14ac:dyDescent="0.25">
      <c r="L888" s="15"/>
    </row>
    <row r="889" spans="12:12" x14ac:dyDescent="0.25">
      <c r="L889" s="15"/>
    </row>
    <row r="890" spans="12:12" x14ac:dyDescent="0.25">
      <c r="L890" s="15"/>
    </row>
    <row r="891" spans="12:12" x14ac:dyDescent="0.25">
      <c r="L891" s="15"/>
    </row>
    <row r="892" spans="12:12" x14ac:dyDescent="0.25">
      <c r="L892" s="15"/>
    </row>
    <row r="893" spans="12:12" x14ac:dyDescent="0.25">
      <c r="L893" s="15"/>
    </row>
    <row r="894" spans="12:12" x14ac:dyDescent="0.25">
      <c r="L894" s="15"/>
    </row>
    <row r="895" spans="12:12" x14ac:dyDescent="0.25">
      <c r="L895" s="15"/>
    </row>
    <row r="896" spans="12:12" x14ac:dyDescent="0.25">
      <c r="L896" s="15"/>
    </row>
    <row r="897" spans="12:12" x14ac:dyDescent="0.25">
      <c r="L897" s="15"/>
    </row>
    <row r="898" spans="12:12" x14ac:dyDescent="0.25">
      <c r="L898" s="15"/>
    </row>
    <row r="899" spans="12:12" x14ac:dyDescent="0.25">
      <c r="L899" s="15"/>
    </row>
    <row r="900" spans="12:12" x14ac:dyDescent="0.25">
      <c r="L900" s="15"/>
    </row>
    <row r="901" spans="12:12" x14ac:dyDescent="0.25">
      <c r="L901" s="15"/>
    </row>
    <row r="902" spans="12:12" x14ac:dyDescent="0.25">
      <c r="L902" s="15"/>
    </row>
    <row r="903" spans="12:12" x14ac:dyDescent="0.25">
      <c r="L903" s="15"/>
    </row>
    <row r="904" spans="12:12" x14ac:dyDescent="0.25">
      <c r="L904" s="15"/>
    </row>
    <row r="905" spans="12:12" x14ac:dyDescent="0.25">
      <c r="L905" s="15"/>
    </row>
    <row r="906" spans="12:12" x14ac:dyDescent="0.25">
      <c r="L906" s="15"/>
    </row>
    <row r="907" spans="12:12" x14ac:dyDescent="0.25">
      <c r="L907" s="15"/>
    </row>
    <row r="908" spans="12:12" x14ac:dyDescent="0.25">
      <c r="L908" s="15"/>
    </row>
    <row r="909" spans="12:12" x14ac:dyDescent="0.25">
      <c r="L909" s="15"/>
    </row>
    <row r="910" spans="12:12" x14ac:dyDescent="0.25">
      <c r="L910" s="15"/>
    </row>
    <row r="911" spans="12:12" x14ac:dyDescent="0.25">
      <c r="L911" s="15"/>
    </row>
    <row r="912" spans="12:12" x14ac:dyDescent="0.25">
      <c r="L912" s="15"/>
    </row>
    <row r="913" spans="12:12" x14ac:dyDescent="0.25">
      <c r="L913" s="15"/>
    </row>
    <row r="914" spans="12:12" x14ac:dyDescent="0.25">
      <c r="L914" s="15"/>
    </row>
    <row r="915" spans="12:12" x14ac:dyDescent="0.25">
      <c r="L915" s="15"/>
    </row>
    <row r="916" spans="12:12" x14ac:dyDescent="0.25">
      <c r="L916" s="15"/>
    </row>
    <row r="917" spans="12:12" x14ac:dyDescent="0.25">
      <c r="L917" s="15"/>
    </row>
    <row r="918" spans="12:12" x14ac:dyDescent="0.25">
      <c r="L918" s="15"/>
    </row>
    <row r="919" spans="12:12" x14ac:dyDescent="0.25">
      <c r="L919" s="15"/>
    </row>
    <row r="920" spans="12:12" x14ac:dyDescent="0.25">
      <c r="L920" s="15"/>
    </row>
    <row r="921" spans="12:12" x14ac:dyDescent="0.25">
      <c r="L921" s="15"/>
    </row>
    <row r="922" spans="12:12" x14ac:dyDescent="0.25">
      <c r="L922" s="15"/>
    </row>
    <row r="923" spans="12:12" x14ac:dyDescent="0.25">
      <c r="L923" s="15"/>
    </row>
    <row r="924" spans="12:12" x14ac:dyDescent="0.25">
      <c r="L924" s="15"/>
    </row>
    <row r="925" spans="12:12" x14ac:dyDescent="0.25">
      <c r="L925" s="15"/>
    </row>
    <row r="926" spans="12:12" x14ac:dyDescent="0.25">
      <c r="L926" s="15"/>
    </row>
    <row r="927" spans="12:12" x14ac:dyDescent="0.25">
      <c r="L927" s="15"/>
    </row>
    <row r="928" spans="12:12" x14ac:dyDescent="0.25">
      <c r="L928" s="15"/>
    </row>
    <row r="929" spans="12:12" x14ac:dyDescent="0.25">
      <c r="L929" s="15"/>
    </row>
    <row r="930" spans="12:12" x14ac:dyDescent="0.25">
      <c r="L930" s="15"/>
    </row>
    <row r="931" spans="12:12" x14ac:dyDescent="0.25">
      <c r="L931" s="15"/>
    </row>
    <row r="932" spans="12:12" x14ac:dyDescent="0.25">
      <c r="L932" s="15"/>
    </row>
    <row r="933" spans="12:12" x14ac:dyDescent="0.25">
      <c r="L933" s="15"/>
    </row>
    <row r="934" spans="12:12" x14ac:dyDescent="0.25">
      <c r="L934" s="15"/>
    </row>
    <row r="935" spans="12:12" x14ac:dyDescent="0.25">
      <c r="L935" s="15"/>
    </row>
    <row r="936" spans="12:12" x14ac:dyDescent="0.25">
      <c r="L936" s="15"/>
    </row>
    <row r="937" spans="12:12" x14ac:dyDescent="0.25">
      <c r="L937" s="15"/>
    </row>
    <row r="938" spans="12:12" x14ac:dyDescent="0.25">
      <c r="L938" s="15"/>
    </row>
    <row r="939" spans="12:12" x14ac:dyDescent="0.25">
      <c r="L939" s="15"/>
    </row>
    <row r="940" spans="12:12" x14ac:dyDescent="0.25">
      <c r="L940" s="15"/>
    </row>
    <row r="941" spans="12:12" x14ac:dyDescent="0.25">
      <c r="L941" s="15"/>
    </row>
    <row r="942" spans="12:12" x14ac:dyDescent="0.25">
      <c r="L942" s="15"/>
    </row>
    <row r="943" spans="12:12" x14ac:dyDescent="0.25">
      <c r="L943" s="15"/>
    </row>
    <row r="944" spans="12:12" x14ac:dyDescent="0.25">
      <c r="L944" s="15"/>
    </row>
    <row r="945" spans="12:12" x14ac:dyDescent="0.25">
      <c r="L945" s="15"/>
    </row>
    <row r="946" spans="12:12" x14ac:dyDescent="0.25">
      <c r="L946" s="15"/>
    </row>
    <row r="947" spans="12:12" x14ac:dyDescent="0.25">
      <c r="L947" s="15"/>
    </row>
    <row r="948" spans="12:12" x14ac:dyDescent="0.25">
      <c r="L948" s="15"/>
    </row>
    <row r="949" spans="12:12" x14ac:dyDescent="0.25">
      <c r="L949" s="15"/>
    </row>
    <row r="950" spans="12:12" x14ac:dyDescent="0.25">
      <c r="L950" s="15"/>
    </row>
    <row r="951" spans="12:12" x14ac:dyDescent="0.25">
      <c r="L951" s="15"/>
    </row>
    <row r="952" spans="12:12" x14ac:dyDescent="0.25">
      <c r="L952" s="15"/>
    </row>
    <row r="953" spans="12:12" x14ac:dyDescent="0.25">
      <c r="L953" s="15"/>
    </row>
    <row r="954" spans="12:12" x14ac:dyDescent="0.25">
      <c r="L954" s="15"/>
    </row>
    <row r="955" spans="12:12" x14ac:dyDescent="0.25">
      <c r="L955" s="15"/>
    </row>
    <row r="956" spans="12:12" x14ac:dyDescent="0.25">
      <c r="L956" s="15"/>
    </row>
    <row r="957" spans="12:12" x14ac:dyDescent="0.25">
      <c r="L957" s="15"/>
    </row>
    <row r="958" spans="12:12" x14ac:dyDescent="0.25">
      <c r="L958" s="15"/>
    </row>
    <row r="959" spans="12:12" x14ac:dyDescent="0.25">
      <c r="L959" s="15"/>
    </row>
    <row r="960" spans="12:12" x14ac:dyDescent="0.25">
      <c r="L960" s="15"/>
    </row>
    <row r="961" spans="12:12" x14ac:dyDescent="0.25">
      <c r="L961" s="15"/>
    </row>
    <row r="962" spans="12:12" x14ac:dyDescent="0.25">
      <c r="L962" s="15"/>
    </row>
    <row r="963" spans="12:12" x14ac:dyDescent="0.25">
      <c r="L963" s="15"/>
    </row>
    <row r="964" spans="12:12" x14ac:dyDescent="0.25">
      <c r="L964" s="15"/>
    </row>
    <row r="965" spans="12:12" x14ac:dyDescent="0.25">
      <c r="L965" s="15"/>
    </row>
    <row r="966" spans="12:12" x14ac:dyDescent="0.25">
      <c r="L966" s="15"/>
    </row>
    <row r="967" spans="12:12" x14ac:dyDescent="0.25">
      <c r="L967" s="15"/>
    </row>
    <row r="968" spans="12:12" x14ac:dyDescent="0.25">
      <c r="L968" s="15"/>
    </row>
    <row r="969" spans="12:12" x14ac:dyDescent="0.25">
      <c r="L969" s="15"/>
    </row>
    <row r="970" spans="12:12" x14ac:dyDescent="0.25">
      <c r="L970" s="15"/>
    </row>
    <row r="971" spans="12:12" x14ac:dyDescent="0.25">
      <c r="L971" s="15"/>
    </row>
    <row r="972" spans="12:12" x14ac:dyDescent="0.25">
      <c r="L972" s="15"/>
    </row>
    <row r="973" spans="12:12" x14ac:dyDescent="0.25">
      <c r="L973" s="15"/>
    </row>
    <row r="974" spans="12:12" x14ac:dyDescent="0.25">
      <c r="L974" s="15"/>
    </row>
    <row r="975" spans="12:12" x14ac:dyDescent="0.25">
      <c r="L975" s="15"/>
    </row>
    <row r="976" spans="12:12" x14ac:dyDescent="0.25">
      <c r="L976" s="15"/>
    </row>
    <row r="977" spans="12:12" x14ac:dyDescent="0.25">
      <c r="L977" s="15"/>
    </row>
    <row r="978" spans="12:12" x14ac:dyDescent="0.25">
      <c r="L978" s="15"/>
    </row>
    <row r="979" spans="12:12" x14ac:dyDescent="0.25">
      <c r="L979" s="15"/>
    </row>
    <row r="980" spans="12:12" x14ac:dyDescent="0.25">
      <c r="L980" s="15"/>
    </row>
    <row r="981" spans="12:12" x14ac:dyDescent="0.25">
      <c r="L981" s="15"/>
    </row>
    <row r="982" spans="12:12" x14ac:dyDescent="0.25">
      <c r="L982" s="15"/>
    </row>
    <row r="983" spans="12:12" x14ac:dyDescent="0.25">
      <c r="L983" s="15"/>
    </row>
    <row r="984" spans="12:12" x14ac:dyDescent="0.25">
      <c r="L984" s="15"/>
    </row>
    <row r="985" spans="12:12" x14ac:dyDescent="0.25">
      <c r="L985" s="15"/>
    </row>
    <row r="986" spans="12:12" x14ac:dyDescent="0.25">
      <c r="L986" s="15"/>
    </row>
    <row r="987" spans="12:12" x14ac:dyDescent="0.25">
      <c r="L987" s="15"/>
    </row>
    <row r="988" spans="12:12" x14ac:dyDescent="0.25">
      <c r="L988" s="15"/>
    </row>
    <row r="989" spans="12:12" x14ac:dyDescent="0.25">
      <c r="L989" s="15"/>
    </row>
    <row r="990" spans="12:12" x14ac:dyDescent="0.25">
      <c r="L990" s="15"/>
    </row>
    <row r="991" spans="12:12" x14ac:dyDescent="0.25">
      <c r="L991" s="15"/>
    </row>
    <row r="992" spans="12:12" x14ac:dyDescent="0.25">
      <c r="L992" s="15"/>
    </row>
    <row r="993" spans="12:12" x14ac:dyDescent="0.25">
      <c r="L993" s="15"/>
    </row>
    <row r="994" spans="12:12" x14ac:dyDescent="0.25">
      <c r="L994" s="15"/>
    </row>
    <row r="995" spans="12:12" x14ac:dyDescent="0.25">
      <c r="L995" s="15"/>
    </row>
    <row r="996" spans="12:12" x14ac:dyDescent="0.25">
      <c r="L996" s="15"/>
    </row>
    <row r="997" spans="12:12" x14ac:dyDescent="0.25">
      <c r="L997" s="15"/>
    </row>
    <row r="998" spans="12:12" x14ac:dyDescent="0.25">
      <c r="L998" s="15"/>
    </row>
    <row r="999" spans="12:12" x14ac:dyDescent="0.25">
      <c r="L999" s="15"/>
    </row>
    <row r="1000" spans="12:12" x14ac:dyDescent="0.25">
      <c r="L1000" s="15"/>
    </row>
    <row r="1001" spans="12:12" x14ac:dyDescent="0.25">
      <c r="L1001" s="15"/>
    </row>
    <row r="1002" spans="12:12" x14ac:dyDescent="0.25">
      <c r="L1002" s="15"/>
    </row>
    <row r="1003" spans="12:12" x14ac:dyDescent="0.25">
      <c r="L1003" s="15"/>
    </row>
    <row r="1004" spans="12:12" x14ac:dyDescent="0.25">
      <c r="L1004" s="15"/>
    </row>
    <row r="1005" spans="12:12" x14ac:dyDescent="0.25">
      <c r="L1005" s="15"/>
    </row>
    <row r="1006" spans="12:12" x14ac:dyDescent="0.25">
      <c r="L1006" s="15"/>
    </row>
    <row r="1007" spans="12:12" x14ac:dyDescent="0.25">
      <c r="L1007" s="15"/>
    </row>
    <row r="1008" spans="12:12" x14ac:dyDescent="0.25">
      <c r="L1008" s="15"/>
    </row>
    <row r="1009" spans="12:12" x14ac:dyDescent="0.25">
      <c r="L1009" s="15"/>
    </row>
    <row r="1010" spans="12:12" x14ac:dyDescent="0.25">
      <c r="L1010" s="15"/>
    </row>
    <row r="1011" spans="12:12" x14ac:dyDescent="0.25">
      <c r="L1011" s="15"/>
    </row>
    <row r="1012" spans="12:12" x14ac:dyDescent="0.25">
      <c r="L1012" s="15"/>
    </row>
    <row r="1013" spans="12:12" x14ac:dyDescent="0.25">
      <c r="L1013" s="15"/>
    </row>
    <row r="1014" spans="12:12" x14ac:dyDescent="0.25">
      <c r="L1014" s="15"/>
    </row>
    <row r="1015" spans="12:12" x14ac:dyDescent="0.25">
      <c r="L1015" s="15"/>
    </row>
    <row r="1016" spans="12:12" x14ac:dyDescent="0.25">
      <c r="L1016" s="15"/>
    </row>
    <row r="1017" spans="12:12" x14ac:dyDescent="0.25">
      <c r="L1017" s="15"/>
    </row>
    <row r="1018" spans="12:12" x14ac:dyDescent="0.25">
      <c r="L1018" s="15"/>
    </row>
    <row r="1019" spans="12:12" x14ac:dyDescent="0.25">
      <c r="L1019" s="15"/>
    </row>
    <row r="1020" spans="12:12" x14ac:dyDescent="0.25">
      <c r="L1020" s="15"/>
    </row>
    <row r="1021" spans="12:12" x14ac:dyDescent="0.25">
      <c r="L1021" s="15"/>
    </row>
    <row r="1022" spans="12:12" x14ac:dyDescent="0.25">
      <c r="L1022" s="15"/>
    </row>
    <row r="1023" spans="12:12" x14ac:dyDescent="0.25">
      <c r="L1023" s="15"/>
    </row>
    <row r="1024" spans="12:12" x14ac:dyDescent="0.25">
      <c r="L1024" s="15"/>
    </row>
    <row r="1025" spans="12:12" x14ac:dyDescent="0.25">
      <c r="L1025" s="15"/>
    </row>
    <row r="1026" spans="12:12" x14ac:dyDescent="0.25">
      <c r="L1026" s="15"/>
    </row>
    <row r="1027" spans="12:12" x14ac:dyDescent="0.25">
      <c r="L1027" s="15"/>
    </row>
    <row r="1028" spans="12:12" x14ac:dyDescent="0.25">
      <c r="L1028" s="15"/>
    </row>
    <row r="1029" spans="12:12" x14ac:dyDescent="0.25">
      <c r="L1029" s="15"/>
    </row>
    <row r="1030" spans="12:12" x14ac:dyDescent="0.25">
      <c r="L1030" s="15"/>
    </row>
    <row r="1031" spans="12:12" x14ac:dyDescent="0.25">
      <c r="L1031" s="15"/>
    </row>
    <row r="1032" spans="12:12" x14ac:dyDescent="0.25">
      <c r="L1032" s="15"/>
    </row>
    <row r="1033" spans="12:12" x14ac:dyDescent="0.25">
      <c r="L1033" s="15"/>
    </row>
    <row r="1034" spans="12:12" x14ac:dyDescent="0.25">
      <c r="L1034" s="15"/>
    </row>
    <row r="1035" spans="12:12" x14ac:dyDescent="0.25">
      <c r="L1035" s="15"/>
    </row>
    <row r="1036" spans="12:12" x14ac:dyDescent="0.25">
      <c r="L1036" s="15"/>
    </row>
    <row r="1037" spans="12:12" x14ac:dyDescent="0.25">
      <c r="L1037" s="15"/>
    </row>
    <row r="1038" spans="12:12" x14ac:dyDescent="0.25">
      <c r="L1038" s="15"/>
    </row>
    <row r="1039" spans="12:12" x14ac:dyDescent="0.25">
      <c r="L1039" s="15"/>
    </row>
    <row r="1040" spans="12:12" x14ac:dyDescent="0.25">
      <c r="L1040" s="15"/>
    </row>
    <row r="1041" spans="12:12" x14ac:dyDescent="0.25">
      <c r="L1041" s="15"/>
    </row>
    <row r="1042" spans="12:12" x14ac:dyDescent="0.25">
      <c r="L1042" s="15"/>
    </row>
    <row r="1043" spans="12:12" x14ac:dyDescent="0.25">
      <c r="L1043" s="15"/>
    </row>
    <row r="1044" spans="12:12" x14ac:dyDescent="0.25">
      <c r="L1044" s="15"/>
    </row>
    <row r="1045" spans="12:12" x14ac:dyDescent="0.25">
      <c r="L1045" s="15"/>
    </row>
    <row r="1046" spans="12:12" x14ac:dyDescent="0.25">
      <c r="L1046" s="15"/>
    </row>
    <row r="1047" spans="12:12" x14ac:dyDescent="0.25">
      <c r="L1047" s="15"/>
    </row>
    <row r="1048" spans="12:12" x14ac:dyDescent="0.25">
      <c r="L1048" s="15"/>
    </row>
    <row r="1049" spans="12:12" x14ac:dyDescent="0.25">
      <c r="L1049" s="15"/>
    </row>
    <row r="1050" spans="12:12" x14ac:dyDescent="0.25">
      <c r="L1050" s="15"/>
    </row>
    <row r="1051" spans="12:12" x14ac:dyDescent="0.25">
      <c r="L1051" s="15"/>
    </row>
    <row r="1052" spans="12:12" x14ac:dyDescent="0.25">
      <c r="L1052" s="15"/>
    </row>
    <row r="1053" spans="12:12" x14ac:dyDescent="0.25">
      <c r="L1053" s="15"/>
    </row>
    <row r="1054" spans="12:12" x14ac:dyDescent="0.25">
      <c r="L1054" s="15"/>
    </row>
    <row r="1055" spans="12:12" x14ac:dyDescent="0.25">
      <c r="L1055" s="15"/>
    </row>
    <row r="1056" spans="12:12" x14ac:dyDescent="0.25">
      <c r="L1056" s="15"/>
    </row>
    <row r="1057" spans="12:12" x14ac:dyDescent="0.25">
      <c r="L1057" s="15"/>
    </row>
    <row r="1058" spans="12:12" x14ac:dyDescent="0.25">
      <c r="L1058" s="15"/>
    </row>
    <row r="1059" spans="12:12" x14ac:dyDescent="0.25">
      <c r="L1059" s="15"/>
    </row>
    <row r="1060" spans="12:12" x14ac:dyDescent="0.25">
      <c r="L1060" s="15"/>
    </row>
    <row r="1061" spans="12:12" x14ac:dyDescent="0.25">
      <c r="L1061" s="15"/>
    </row>
    <row r="1062" spans="12:12" x14ac:dyDescent="0.25">
      <c r="L1062" s="15"/>
    </row>
    <row r="1063" spans="12:12" x14ac:dyDescent="0.25">
      <c r="L1063" s="15"/>
    </row>
    <row r="1064" spans="12:12" x14ac:dyDescent="0.25">
      <c r="L1064" s="15"/>
    </row>
    <row r="1065" spans="12:12" x14ac:dyDescent="0.25">
      <c r="L1065" s="15"/>
    </row>
    <row r="1066" spans="12:12" x14ac:dyDescent="0.25">
      <c r="L1066" s="15"/>
    </row>
    <row r="1067" spans="12:12" x14ac:dyDescent="0.25">
      <c r="L1067" s="15"/>
    </row>
    <row r="1068" spans="12:12" x14ac:dyDescent="0.25">
      <c r="L1068" s="15"/>
    </row>
    <row r="1069" spans="12:12" x14ac:dyDescent="0.25">
      <c r="L1069" s="15"/>
    </row>
    <row r="1070" spans="12:12" x14ac:dyDescent="0.25">
      <c r="L1070" s="15"/>
    </row>
    <row r="1071" spans="12:12" x14ac:dyDescent="0.25">
      <c r="L1071" s="15"/>
    </row>
    <row r="1072" spans="12:12" x14ac:dyDescent="0.25">
      <c r="L1072" s="15"/>
    </row>
    <row r="1073" spans="12:12" x14ac:dyDescent="0.25">
      <c r="L1073" s="15"/>
    </row>
    <row r="1074" spans="12:12" x14ac:dyDescent="0.25">
      <c r="L1074" s="15"/>
    </row>
    <row r="1075" spans="12:12" x14ac:dyDescent="0.25">
      <c r="L1075" s="15"/>
    </row>
    <row r="1076" spans="12:12" x14ac:dyDescent="0.25">
      <c r="L1076" s="15"/>
    </row>
    <row r="1077" spans="12:12" x14ac:dyDescent="0.25">
      <c r="L1077" s="15"/>
    </row>
    <row r="1078" spans="12:12" x14ac:dyDescent="0.25">
      <c r="L1078" s="15"/>
    </row>
    <row r="1079" spans="12:12" x14ac:dyDescent="0.25">
      <c r="L1079" s="15"/>
    </row>
    <row r="1080" spans="12:12" x14ac:dyDescent="0.25">
      <c r="L1080" s="15"/>
    </row>
    <row r="1081" spans="12:12" x14ac:dyDescent="0.25">
      <c r="L1081" s="15"/>
    </row>
    <row r="1082" spans="12:12" x14ac:dyDescent="0.25">
      <c r="L1082" s="15"/>
    </row>
    <row r="1083" spans="12:12" x14ac:dyDescent="0.25">
      <c r="L1083" s="15"/>
    </row>
    <row r="1084" spans="12:12" x14ac:dyDescent="0.25">
      <c r="L1084" s="15"/>
    </row>
    <row r="1085" spans="12:12" x14ac:dyDescent="0.25">
      <c r="L1085" s="15"/>
    </row>
    <row r="1086" spans="12:12" x14ac:dyDescent="0.25">
      <c r="L1086" s="15"/>
    </row>
    <row r="1087" spans="12:12" x14ac:dyDescent="0.25">
      <c r="L1087" s="15"/>
    </row>
    <row r="1088" spans="12:12" x14ac:dyDescent="0.25">
      <c r="L1088" s="15"/>
    </row>
    <row r="1089" spans="12:12" x14ac:dyDescent="0.25">
      <c r="L1089" s="15"/>
    </row>
    <row r="1090" spans="12:12" x14ac:dyDescent="0.25">
      <c r="L1090" s="15"/>
    </row>
    <row r="1091" spans="12:12" x14ac:dyDescent="0.25">
      <c r="L1091" s="15"/>
    </row>
    <row r="1092" spans="12:12" x14ac:dyDescent="0.25">
      <c r="L1092" s="15"/>
    </row>
    <row r="1093" spans="12:12" x14ac:dyDescent="0.25">
      <c r="L1093" s="15"/>
    </row>
    <row r="1094" spans="12:12" x14ac:dyDescent="0.25">
      <c r="L1094" s="15"/>
    </row>
    <row r="1095" spans="12:12" x14ac:dyDescent="0.25">
      <c r="L1095" s="15"/>
    </row>
    <row r="1096" spans="12:12" x14ac:dyDescent="0.25">
      <c r="L1096" s="15"/>
    </row>
    <row r="1097" spans="12:12" x14ac:dyDescent="0.25">
      <c r="L1097" s="15"/>
    </row>
    <row r="1098" spans="12:12" x14ac:dyDescent="0.25">
      <c r="L1098" s="15"/>
    </row>
    <row r="1099" spans="12:12" x14ac:dyDescent="0.25">
      <c r="L1099" s="15"/>
    </row>
    <row r="1100" spans="12:12" x14ac:dyDescent="0.25">
      <c r="L1100" s="15"/>
    </row>
    <row r="1101" spans="12:12" x14ac:dyDescent="0.25">
      <c r="L1101" s="15"/>
    </row>
    <row r="1102" spans="12:12" x14ac:dyDescent="0.25">
      <c r="L1102" s="15"/>
    </row>
    <row r="1103" spans="12:12" x14ac:dyDescent="0.25">
      <c r="L1103" s="15"/>
    </row>
    <row r="1104" spans="12:12" x14ac:dyDescent="0.25">
      <c r="L1104" s="15"/>
    </row>
    <row r="1105" spans="12:12" x14ac:dyDescent="0.25">
      <c r="L1105" s="15"/>
    </row>
    <row r="1106" spans="12:12" x14ac:dyDescent="0.25">
      <c r="L1106" s="15"/>
    </row>
    <row r="1107" spans="12:12" x14ac:dyDescent="0.25">
      <c r="L1107" s="15"/>
    </row>
    <row r="1108" spans="12:12" x14ac:dyDescent="0.25">
      <c r="L1108" s="15"/>
    </row>
    <row r="1109" spans="12:12" x14ac:dyDescent="0.25">
      <c r="L1109" s="15"/>
    </row>
    <row r="1110" spans="12:12" x14ac:dyDescent="0.25">
      <c r="L1110" s="15"/>
    </row>
    <row r="1111" spans="12:12" x14ac:dyDescent="0.25">
      <c r="L1111" s="15"/>
    </row>
    <row r="1112" spans="12:12" x14ac:dyDescent="0.25">
      <c r="L1112" s="15"/>
    </row>
    <row r="1113" spans="12:12" x14ac:dyDescent="0.25">
      <c r="L1113" s="15"/>
    </row>
    <row r="1114" spans="12:12" x14ac:dyDescent="0.25">
      <c r="L1114" s="15"/>
    </row>
    <row r="1115" spans="12:12" x14ac:dyDescent="0.25">
      <c r="L1115" s="15"/>
    </row>
    <row r="1116" spans="12:12" x14ac:dyDescent="0.25">
      <c r="L1116" s="15"/>
    </row>
    <row r="1117" spans="12:12" x14ac:dyDescent="0.25">
      <c r="L1117" s="15"/>
    </row>
    <row r="1118" spans="12:12" x14ac:dyDescent="0.25">
      <c r="L1118" s="15"/>
    </row>
    <row r="1119" spans="12:12" x14ac:dyDescent="0.25">
      <c r="L1119" s="15"/>
    </row>
    <row r="1120" spans="12:12" x14ac:dyDescent="0.25">
      <c r="L1120" s="15"/>
    </row>
    <row r="1121" spans="12:12" x14ac:dyDescent="0.25">
      <c r="L1121" s="15"/>
    </row>
    <row r="1122" spans="12:12" x14ac:dyDescent="0.25">
      <c r="L1122" s="15"/>
    </row>
    <row r="1123" spans="12:12" x14ac:dyDescent="0.25">
      <c r="L1123" s="15"/>
    </row>
    <row r="1124" spans="12:12" x14ac:dyDescent="0.25">
      <c r="L1124" s="15"/>
    </row>
    <row r="1125" spans="12:12" x14ac:dyDescent="0.25">
      <c r="L1125" s="15"/>
    </row>
    <row r="1126" spans="12:12" x14ac:dyDescent="0.25">
      <c r="L1126" s="15"/>
    </row>
    <row r="1127" spans="12:12" x14ac:dyDescent="0.25">
      <c r="L1127" s="15"/>
    </row>
    <row r="1128" spans="12:12" x14ac:dyDescent="0.25">
      <c r="L1128" s="15"/>
    </row>
    <row r="1129" spans="12:12" x14ac:dyDescent="0.25">
      <c r="L1129" s="15"/>
    </row>
    <row r="1130" spans="12:12" x14ac:dyDescent="0.25">
      <c r="L1130" s="15"/>
    </row>
    <row r="1131" spans="12:12" x14ac:dyDescent="0.25">
      <c r="L1131" s="15"/>
    </row>
    <row r="1132" spans="12:12" x14ac:dyDescent="0.25">
      <c r="L1132" s="15"/>
    </row>
    <row r="1133" spans="12:12" x14ac:dyDescent="0.25">
      <c r="L1133" s="15"/>
    </row>
    <row r="1134" spans="12:12" x14ac:dyDescent="0.25">
      <c r="L1134" s="15"/>
    </row>
    <row r="1135" spans="12:12" x14ac:dyDescent="0.25">
      <c r="L1135" s="15"/>
    </row>
    <row r="1136" spans="12:12" x14ac:dyDescent="0.25">
      <c r="L1136" s="15"/>
    </row>
    <row r="1137" spans="12:12" x14ac:dyDescent="0.25">
      <c r="L1137" s="15"/>
    </row>
    <row r="1138" spans="12:12" x14ac:dyDescent="0.25">
      <c r="L1138" s="15"/>
    </row>
    <row r="1139" spans="12:12" x14ac:dyDescent="0.25">
      <c r="L1139" s="15"/>
    </row>
    <row r="1140" spans="12:12" x14ac:dyDescent="0.25">
      <c r="L1140" s="15"/>
    </row>
    <row r="1141" spans="12:12" x14ac:dyDescent="0.25">
      <c r="L1141" s="15"/>
    </row>
    <row r="1142" spans="12:12" x14ac:dyDescent="0.25">
      <c r="L1142" s="15"/>
    </row>
    <row r="1143" spans="12:12" x14ac:dyDescent="0.25">
      <c r="L1143" s="15"/>
    </row>
    <row r="1144" spans="12:12" x14ac:dyDescent="0.25">
      <c r="L1144" s="15"/>
    </row>
    <row r="1145" spans="12:12" x14ac:dyDescent="0.25">
      <c r="L1145" s="15"/>
    </row>
    <row r="1146" spans="12:12" x14ac:dyDescent="0.25">
      <c r="L1146" s="15"/>
    </row>
    <row r="1147" spans="12:12" x14ac:dyDescent="0.25">
      <c r="L1147" s="15"/>
    </row>
    <row r="1148" spans="12:12" x14ac:dyDescent="0.25">
      <c r="L1148" s="15"/>
    </row>
    <row r="1149" spans="12:12" x14ac:dyDescent="0.25">
      <c r="L1149" s="15"/>
    </row>
    <row r="1150" spans="12:12" x14ac:dyDescent="0.25">
      <c r="L1150" s="15"/>
    </row>
    <row r="1151" spans="12:12" x14ac:dyDescent="0.25">
      <c r="L1151" s="15"/>
    </row>
    <row r="1152" spans="12:12" x14ac:dyDescent="0.25">
      <c r="L1152" s="15"/>
    </row>
    <row r="1153" spans="12:12" x14ac:dyDescent="0.25">
      <c r="L1153" s="15"/>
    </row>
    <row r="1154" spans="12:12" x14ac:dyDescent="0.25">
      <c r="L1154" s="15"/>
    </row>
    <row r="1155" spans="12:12" x14ac:dyDescent="0.25">
      <c r="L1155" s="15"/>
    </row>
    <row r="1156" spans="12:12" x14ac:dyDescent="0.25">
      <c r="L1156" s="15"/>
    </row>
    <row r="1157" spans="12:12" x14ac:dyDescent="0.25">
      <c r="L1157" s="15"/>
    </row>
    <row r="1158" spans="12:12" x14ac:dyDescent="0.25">
      <c r="L1158" s="15"/>
    </row>
    <row r="1159" spans="12:12" x14ac:dyDescent="0.25">
      <c r="L1159" s="15"/>
    </row>
    <row r="1160" spans="12:12" x14ac:dyDescent="0.25">
      <c r="L1160" s="15"/>
    </row>
    <row r="1161" spans="12:12" x14ac:dyDescent="0.25">
      <c r="L1161" s="15"/>
    </row>
    <row r="1162" spans="12:12" x14ac:dyDescent="0.25">
      <c r="L1162" s="15"/>
    </row>
    <row r="1163" spans="12:12" x14ac:dyDescent="0.25">
      <c r="L1163" s="15"/>
    </row>
    <row r="1164" spans="12:12" x14ac:dyDescent="0.25">
      <c r="L1164" s="15"/>
    </row>
    <row r="1165" spans="12:12" x14ac:dyDescent="0.25">
      <c r="L1165" s="15"/>
    </row>
    <row r="1166" spans="12:12" x14ac:dyDescent="0.25">
      <c r="L1166" s="15"/>
    </row>
    <row r="1167" spans="12:12" x14ac:dyDescent="0.25">
      <c r="L1167" s="15"/>
    </row>
    <row r="1168" spans="12:12" x14ac:dyDescent="0.25">
      <c r="L1168" s="15"/>
    </row>
    <row r="1169" spans="12:12" x14ac:dyDescent="0.25">
      <c r="L1169" s="15"/>
    </row>
    <row r="1170" spans="12:12" x14ac:dyDescent="0.25">
      <c r="L1170" s="15"/>
    </row>
    <row r="1171" spans="12:12" x14ac:dyDescent="0.25">
      <c r="L1171" s="15"/>
    </row>
    <row r="1172" spans="12:12" x14ac:dyDescent="0.25">
      <c r="L1172" s="15"/>
    </row>
    <row r="1173" spans="12:12" x14ac:dyDescent="0.25">
      <c r="L1173" s="15"/>
    </row>
    <row r="1174" spans="12:12" x14ac:dyDescent="0.25">
      <c r="L1174" s="15"/>
    </row>
    <row r="1175" spans="12:12" x14ac:dyDescent="0.25">
      <c r="L1175" s="15"/>
    </row>
    <row r="1176" spans="12:12" x14ac:dyDescent="0.25">
      <c r="L1176" s="15"/>
    </row>
    <row r="1177" spans="12:12" x14ac:dyDescent="0.25">
      <c r="L1177" s="15"/>
    </row>
    <row r="1178" spans="12:12" x14ac:dyDescent="0.25">
      <c r="L1178" s="15"/>
    </row>
    <row r="1179" spans="12:12" x14ac:dyDescent="0.25">
      <c r="L1179" s="15"/>
    </row>
    <row r="1180" spans="12:12" x14ac:dyDescent="0.25">
      <c r="L1180" s="15"/>
    </row>
    <row r="1181" spans="12:12" x14ac:dyDescent="0.25">
      <c r="L1181" s="15"/>
    </row>
    <row r="1182" spans="12:12" x14ac:dyDescent="0.25">
      <c r="L1182" s="15"/>
    </row>
    <row r="1183" spans="12:12" x14ac:dyDescent="0.25">
      <c r="L1183" s="15"/>
    </row>
    <row r="1184" spans="12:12" x14ac:dyDescent="0.25">
      <c r="L1184" s="15"/>
    </row>
    <row r="1185" spans="12:12" x14ac:dyDescent="0.25">
      <c r="L1185" s="15"/>
    </row>
    <row r="1186" spans="12:12" x14ac:dyDescent="0.25">
      <c r="L1186" s="15"/>
    </row>
    <row r="1187" spans="12:12" x14ac:dyDescent="0.25">
      <c r="L1187" s="15"/>
    </row>
    <row r="1188" spans="12:12" x14ac:dyDescent="0.25">
      <c r="L1188" s="15"/>
    </row>
    <row r="1189" spans="12:12" x14ac:dyDescent="0.25">
      <c r="L1189" s="15"/>
    </row>
    <row r="1190" spans="12:12" x14ac:dyDescent="0.25">
      <c r="L1190" s="15"/>
    </row>
    <row r="1191" spans="12:12" x14ac:dyDescent="0.25">
      <c r="L1191" s="15"/>
    </row>
    <row r="1192" spans="12:12" x14ac:dyDescent="0.25">
      <c r="L1192" s="15"/>
    </row>
    <row r="1193" spans="12:12" x14ac:dyDescent="0.25">
      <c r="L1193" s="15"/>
    </row>
    <row r="1194" spans="12:12" x14ac:dyDescent="0.25">
      <c r="L1194" s="15"/>
    </row>
    <row r="1195" spans="12:12" x14ac:dyDescent="0.25">
      <c r="L1195" s="15"/>
    </row>
    <row r="1196" spans="12:12" x14ac:dyDescent="0.25">
      <c r="L1196" s="15"/>
    </row>
    <row r="1197" spans="12:12" x14ac:dyDescent="0.25">
      <c r="L1197" s="15"/>
    </row>
    <row r="1198" spans="12:12" x14ac:dyDescent="0.25">
      <c r="L1198" s="15"/>
    </row>
    <row r="1199" spans="12:12" x14ac:dyDescent="0.25">
      <c r="L1199" s="15"/>
    </row>
    <row r="1200" spans="12:12" x14ac:dyDescent="0.25">
      <c r="L1200" s="15"/>
    </row>
    <row r="1201" spans="12:12" x14ac:dyDescent="0.25">
      <c r="L1201" s="15"/>
    </row>
  </sheetData>
  <phoneticPr fontId="1" type="noConversion"/>
  <dataValidations count="2">
    <dataValidation type="list" allowBlank="1" showInputMessage="1" showErrorMessage="1" sqref="J2:J400" xr:uid="{AB767180-DA40-4A91-878B-DEE8217E00E7}">
      <formula1>"Round w Frame, Drop In, Domed, Domed w Frame, Square Hinged 12  15, Curb Inlet 2x2 or 2x3, Traffic Inlet 2x2 or 2x3, No Grate "</formula1>
    </dataValidation>
    <dataValidation type="list" allowBlank="1" showInputMessage="1" showErrorMessage="1" sqref="K2:K400" xr:uid="{B5C26DFC-A088-4387-A1DE-EF6DBD35738C}">
      <formula1>"H10, H25, Solid"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91E-2FEF-40F6-BABA-8AA8E9F9F1F3}">
  <dimension ref="A1:AG401"/>
  <sheetViews>
    <sheetView tabSelected="1" zoomScaleNormal="100" workbookViewId="0">
      <selection activeCell="G10" sqref="G10"/>
    </sheetView>
  </sheetViews>
  <sheetFormatPr defaultRowHeight="15" x14ac:dyDescent="0.25"/>
  <cols>
    <col min="1" max="1" width="13.140625" style="22" customWidth="1"/>
    <col min="2" max="2" width="8.85546875" style="22" bestFit="1" customWidth="1"/>
    <col min="3" max="3" width="8" style="22" bestFit="1" customWidth="1"/>
    <col min="4" max="7" width="9" style="22" bestFit="1" customWidth="1"/>
    <col min="8" max="8" width="6.42578125" style="22" bestFit="1" customWidth="1"/>
    <col min="9" max="9" width="10.85546875" style="22" bestFit="1" customWidth="1"/>
    <col min="10" max="12" width="9.28515625" style="22" bestFit="1" customWidth="1"/>
    <col min="13" max="13" width="11.85546875" style="24" bestFit="1" customWidth="1"/>
    <col min="14" max="14" width="15.140625" style="22" bestFit="1" customWidth="1"/>
    <col min="15" max="15" width="49.42578125" style="22" customWidth="1"/>
    <col min="16" max="16" width="18" style="22" customWidth="1"/>
    <col min="17" max="17" width="27.28515625" style="22" bestFit="1" customWidth="1"/>
    <col min="18" max="18" width="13.140625" style="22" customWidth="1"/>
    <col min="19" max="19" width="8.7109375" style="22" customWidth="1"/>
  </cols>
  <sheetData>
    <row r="1" spans="1:33" x14ac:dyDescent="0.25">
      <c r="A1" s="1" t="s">
        <v>27</v>
      </c>
      <c r="B1" s="2" t="s">
        <v>28</v>
      </c>
      <c r="C1" s="2" t="s">
        <v>29</v>
      </c>
      <c r="D1" s="2" t="s">
        <v>30</v>
      </c>
      <c r="E1" s="2" t="s">
        <v>30</v>
      </c>
      <c r="F1" s="2" t="s">
        <v>30</v>
      </c>
      <c r="G1" s="2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20" t="s">
        <v>36</v>
      </c>
      <c r="N1" s="4" t="s">
        <v>37</v>
      </c>
      <c r="O1" s="5" t="s">
        <v>38</v>
      </c>
      <c r="P1" s="6" t="s">
        <v>39</v>
      </c>
      <c r="Q1"/>
      <c r="R1" s="2" t="s">
        <v>40</v>
      </c>
      <c r="S1"/>
    </row>
    <row r="2" spans="1:33" x14ac:dyDescent="0.25">
      <c r="A2" t="s">
        <v>44</v>
      </c>
      <c r="B2">
        <v>1238.07</v>
      </c>
      <c r="C2">
        <v>1235.4000000000001</v>
      </c>
      <c r="D2">
        <v>4</v>
      </c>
      <c r="E2"/>
      <c r="F2"/>
      <c r="G2"/>
      <c r="H2">
        <f t="shared" ref="H2:H8" si="0">IF(C2="","",B2-C2)</f>
        <v>2.6699999999998454</v>
      </c>
      <c r="I2">
        <f t="shared" ref="I2:I8" si="1">IF(H2="","",H2+0.5)</f>
        <v>3.1699999999998454</v>
      </c>
      <c r="J2">
        <f t="shared" ref="J2:J8" si="2">IF(H2="","",H2+0.67)</f>
        <v>3.3399999999998453</v>
      </c>
      <c r="K2">
        <f t="shared" ref="K2:K8" si="3">IF(H2="","",H2+0.83)</f>
        <v>3.4999999999998455</v>
      </c>
      <c r="L2">
        <f t="shared" ref="L2:L8" si="4">IF(H2="","",H2+1.17)</f>
        <v>3.8399999999998453</v>
      </c>
      <c r="M2" s="27"/>
      <c r="N2" s="17" t="str">
        <f t="shared" ref="N2:N8" si="5">IF(A2="","",A2)</f>
        <v>YD1</v>
      </c>
      <c r="O2" t="str">
        <f>IF(R2="","",_xlfn.XLOOKUP(R2,[2]Sheet2!B:B,[2]Sheet2!C:C))</f>
        <v>12" Drain Basin W/ Slotted H10 Grate, 0'-5'</v>
      </c>
      <c r="P2" t="str">
        <f t="shared" ref="P2:P8" si="6">_xlfn.TEXTJOIN(", ", TRUE, IF(Y2&lt;&gt;"", Y2, ""), IF(Z2&lt;&gt;"", Z2, ""), IF(AA2&lt;&gt;"", AA2, ""),IF(AB2&lt;&gt;"",AB2,""), IF(AC2&lt;&gt;"", AC2, ""),IF(AD2&lt;&gt;"", AD2, ""),IF(AE2&lt;&gt;"", AE2, ""),IF(AF2&lt;&gt;"", AF2, ""),IF(AG2&lt;&gt;"", AG2, ""))</f>
        <v>1 X 4"</v>
      </c>
      <c r="Q2"/>
      <c r="R2" t="s">
        <v>45</v>
      </c>
      <c r="S2" s="7">
        <f>IF(Sheet2!O2="","",--LEFT(Sheet2!O2,FIND("""",Sheet2!O2)-1))</f>
        <v>12</v>
      </c>
      <c r="T2">
        <f t="shared" ref="T2:W2" si="7">IF(D2=4,21, IF(D2=6,27,IF(D2=8,29,IF(D2=10,34,IF(D2=12,42,IF(D2=15,64,IF(D2=18,124,IF(D2=24,267,IF(D2=30,416,IF(D2=36,520,""))))))))))</f>
        <v>21</v>
      </c>
      <c r="U2" t="str">
        <f t="shared" si="7"/>
        <v/>
      </c>
      <c r="V2" t="str">
        <f t="shared" si="7"/>
        <v/>
      </c>
      <c r="W2" t="str">
        <f t="shared" si="7"/>
        <v/>
      </c>
      <c r="X2">
        <f t="shared" ref="X2" si="8">SUM(T2:W2)</f>
        <v>21</v>
      </c>
      <c r="Y2" t="str">
        <f t="shared" ref="Y2" si="9">IF(SUM(COUNTIF(D2:G2,4))&gt;0,SUM(COUNTIF(D2:G2,4))&amp;" X 4""","")</f>
        <v>1 X 4"</v>
      </c>
      <c r="Z2" t="str">
        <f t="shared" ref="Z2" si="10">IF(SUM(COUNTIF(D2:G2,6))&gt;0,SUM(COUNTIF(D2:G2,6))&amp;" X 6""","")</f>
        <v/>
      </c>
      <c r="AA2" t="str">
        <f t="shared" ref="AA2" si="11">IF(SUM(COUNTIF(D2:G2,8))&gt;0,SUM(COUNTIF(D2:G2,8))&amp;" X 8""","")</f>
        <v/>
      </c>
      <c r="AB2" t="str">
        <f t="shared" ref="AB2" si="12">IF(SUM(COUNTIF(D2:G2,10))&gt;0,SUM(COUNTIF(D2:G2,10))&amp;" X 10""","")</f>
        <v/>
      </c>
      <c r="AC2" t="str">
        <f t="shared" ref="AC2" si="13">IF(SUM(COUNTIF(D2:G2,12))&gt;0,SUM(COUNTIF(D2:G2,12))&amp;" X 12""","")</f>
        <v/>
      </c>
      <c r="AD2" t="str">
        <f t="shared" ref="AD2" si="14">IF(SUM(COUNTIF(D2:G2,15))&gt;0,SUM(COUNTIF(D2:G2,15))&amp;" X 15""","")</f>
        <v/>
      </c>
      <c r="AE2" t="str">
        <f t="shared" ref="AE2" si="15">IF(SUM(COUNTIF(D2:G2,18))&gt;0,SUM(COUNTIF(D2:G2,18))&amp;" X 18""","")</f>
        <v/>
      </c>
      <c r="AF2" t="str">
        <f t="shared" ref="AF2" si="16">IF(SUM(COUNTIF(D2:G2,24))&gt;0,SUM(COUNTIF(D2:G2,24))&amp;" X 24""","")</f>
        <v/>
      </c>
      <c r="AG2" t="str">
        <f t="shared" ref="AG2" si="17">IF(SUM(COUNTIF(D2:G2,30))&gt;0,SUM(COUNTIF(D2:G2,30))&amp;" X 30""","")</f>
        <v/>
      </c>
    </row>
    <row r="3" spans="1:33" x14ac:dyDescent="0.25">
      <c r="A3" t="s">
        <v>46</v>
      </c>
      <c r="B3">
        <v>1234.6300000000001</v>
      </c>
      <c r="C3">
        <v>1231.6099999999999</v>
      </c>
      <c r="D3">
        <v>15</v>
      </c>
      <c r="E3">
        <v>12</v>
      </c>
      <c r="F3"/>
      <c r="G3"/>
      <c r="H3">
        <f t="shared" si="0"/>
        <v>3.0200000000002092</v>
      </c>
      <c r="I3">
        <f t="shared" si="1"/>
        <v>3.5200000000002092</v>
      </c>
      <c r="J3">
        <f t="shared" si="2"/>
        <v>3.6900000000002091</v>
      </c>
      <c r="K3">
        <f t="shared" si="3"/>
        <v>3.8500000000002093</v>
      </c>
      <c r="L3">
        <f t="shared" si="4"/>
        <v>4.1900000000002091</v>
      </c>
      <c r="M3" s="27"/>
      <c r="N3" s="17" t="str">
        <f t="shared" si="5"/>
        <v>YD2</v>
      </c>
      <c r="O3" t="str">
        <f>IF(R3="","",_xlfn.XLOOKUP(R3,[2]Sheet2!B:B,[2]Sheet2!C:C))</f>
        <v>12" Drain Basin W/ Slotted H10 Grate, 0'-5'</v>
      </c>
      <c r="P3" t="str">
        <f t="shared" si="6"/>
        <v>1 X 12", 1 X 15"</v>
      </c>
      <c r="Q3"/>
      <c r="R3" s="32" t="s">
        <v>45</v>
      </c>
      <c r="S3" s="7">
        <f>IF(Sheet2!O3="","",--LEFT(Sheet2!O3,FIND("""",Sheet2!O3)-1))</f>
        <v>12</v>
      </c>
      <c r="T3">
        <f t="shared" ref="T3:T45" si="18">IF(D3=4,21, IF(D3=6,27,IF(D3=8,29,IF(D3=10,34,IF(D3=12,42,IF(D3=15,64,IF(D3=18,124,IF(D3=24,267,IF(D3=30,416,IF(D3=36,520,""))))))))))</f>
        <v>64</v>
      </c>
      <c r="U3">
        <f t="shared" ref="U3:U45" si="19">IF(E3=4,21, IF(E3=6,27,IF(E3=8,29,IF(E3=10,34,IF(E3=12,42,IF(E3=15,64,IF(E3=18,124,IF(E3=24,267,IF(E3=30,416,IF(E3=36,520,""))))))))))</f>
        <v>42</v>
      </c>
      <c r="V3" t="str">
        <f t="shared" ref="V3:V45" si="20">IF(F3=4,21, IF(F3=6,27,IF(F3=8,29,IF(F3=10,34,IF(F3=12,42,IF(F3=15,64,IF(F3=18,124,IF(F3=24,267,IF(F3=30,416,IF(F3=36,520,""))))))))))</f>
        <v/>
      </c>
      <c r="W3" t="str">
        <f t="shared" ref="W3:W45" si="21">IF(G3=4,21, IF(G3=6,27,IF(G3=8,29,IF(G3=10,34,IF(G3=12,42,IF(G3=15,64,IF(G3=18,124,IF(G3=24,267,IF(G3=30,416,IF(G3=36,520,""))))))))))</f>
        <v/>
      </c>
      <c r="X3">
        <f t="shared" ref="X3:X45" si="22">SUM(T3:W3)</f>
        <v>106</v>
      </c>
      <c r="Y3" t="str">
        <f t="shared" ref="Y3:Y45" si="23">IF(SUM(COUNTIF(D3:G3,4))&gt;0,SUM(COUNTIF(D3:G3,4))&amp;" X 4""","")</f>
        <v/>
      </c>
      <c r="Z3" t="str">
        <f t="shared" ref="Z3:Z45" si="24">IF(SUM(COUNTIF(D3:G3,6))&gt;0,SUM(COUNTIF(D3:G3,6))&amp;" X 6""","")</f>
        <v/>
      </c>
      <c r="AA3" t="str">
        <f t="shared" ref="AA3:AA45" si="25">IF(SUM(COUNTIF(D3:G3,8))&gt;0,SUM(COUNTIF(D3:G3,8))&amp;" X 8""","")</f>
        <v/>
      </c>
      <c r="AB3" t="str">
        <f t="shared" ref="AB3:AB45" si="26">IF(SUM(COUNTIF(D3:G3,10))&gt;0,SUM(COUNTIF(D3:G3,10))&amp;" X 10""","")</f>
        <v/>
      </c>
      <c r="AC3" t="str">
        <f t="shared" ref="AC3:AC45" si="27">IF(SUM(COUNTIF(D3:G3,12))&gt;0,SUM(COUNTIF(D3:G3,12))&amp;" X 12""","")</f>
        <v>1 X 12"</v>
      </c>
      <c r="AD3" t="str">
        <f t="shared" ref="AD3:AD45" si="28">IF(SUM(COUNTIF(D3:G3,15))&gt;0,SUM(COUNTIF(D3:G3,15))&amp;" X 15""","")</f>
        <v>1 X 15"</v>
      </c>
      <c r="AE3" t="str">
        <f t="shared" ref="AE3:AE45" si="29">IF(SUM(COUNTIF(D3:G3,18))&gt;0,SUM(COUNTIF(D3:G3,18))&amp;" X 18""","")</f>
        <v/>
      </c>
      <c r="AF3" t="str">
        <f t="shared" ref="AF3:AF45" si="30">IF(SUM(COUNTIF(D3:G3,24))&gt;0,SUM(COUNTIF(D3:G3,24))&amp;" X 24""","")</f>
        <v/>
      </c>
      <c r="AG3" t="str">
        <f t="shared" ref="AG3:AG45" si="31">IF(SUM(COUNTIF(D3:G3,30))&gt;0,SUM(COUNTIF(D3:G3,30))&amp;" X 30""","")</f>
        <v/>
      </c>
    </row>
    <row r="4" spans="1:33" x14ac:dyDescent="0.25">
      <c r="A4" t="s">
        <v>47</v>
      </c>
      <c r="B4">
        <v>1232.4100000000001</v>
      </c>
      <c r="C4">
        <v>1229.19</v>
      </c>
      <c r="D4">
        <v>8</v>
      </c>
      <c r="E4">
        <v>8</v>
      </c>
      <c r="F4">
        <v>6</v>
      </c>
      <c r="G4"/>
      <c r="H4">
        <f t="shared" si="0"/>
        <v>3.2200000000000273</v>
      </c>
      <c r="I4">
        <f t="shared" si="1"/>
        <v>3.7200000000000273</v>
      </c>
      <c r="J4">
        <f t="shared" si="2"/>
        <v>3.8900000000000272</v>
      </c>
      <c r="K4">
        <f t="shared" si="3"/>
        <v>4.0500000000000274</v>
      </c>
      <c r="L4">
        <f t="shared" si="4"/>
        <v>4.3900000000000272</v>
      </c>
      <c r="M4" s="27"/>
      <c r="N4" s="17" t="str">
        <f t="shared" si="5"/>
        <v>YD4</v>
      </c>
      <c r="O4" t="str">
        <f>IF(R4="","",_xlfn.XLOOKUP(R4,[2]Sheet2!B:B,[2]Sheet2!C:C))</f>
        <v>15" Drain Basin W/H-25 Round Solid Cover/Frame, 5' - 10'</v>
      </c>
      <c r="P4" t="str">
        <f t="shared" si="6"/>
        <v>1 X 6", 2 X 8"</v>
      </c>
      <c r="Q4"/>
      <c r="R4" s="33" t="s">
        <v>48</v>
      </c>
      <c r="S4" s="7">
        <f>IF(Sheet2!O4="","",--LEFT(Sheet2!O4,FIND("""",Sheet2!O4)-1))</f>
        <v>15</v>
      </c>
      <c r="T4">
        <f t="shared" si="18"/>
        <v>29</v>
      </c>
      <c r="U4">
        <f t="shared" si="19"/>
        <v>29</v>
      </c>
      <c r="V4">
        <f t="shared" si="20"/>
        <v>27</v>
      </c>
      <c r="W4" t="str">
        <f t="shared" si="21"/>
        <v/>
      </c>
      <c r="X4">
        <f t="shared" si="22"/>
        <v>85</v>
      </c>
      <c r="Y4" t="str">
        <f t="shared" si="23"/>
        <v/>
      </c>
      <c r="Z4" t="str">
        <f t="shared" si="24"/>
        <v>1 X 6"</v>
      </c>
      <c r="AA4" t="str">
        <f t="shared" si="25"/>
        <v>2 X 8"</v>
      </c>
      <c r="AB4" t="str">
        <f t="shared" si="26"/>
        <v/>
      </c>
      <c r="AC4" t="str">
        <f t="shared" si="27"/>
        <v/>
      </c>
      <c r="AD4" t="str">
        <f t="shared" si="28"/>
        <v/>
      </c>
      <c r="AE4" t="str">
        <f t="shared" si="29"/>
        <v/>
      </c>
      <c r="AF4" t="str">
        <f t="shared" si="30"/>
        <v/>
      </c>
      <c r="AG4" t="str">
        <f t="shared" si="31"/>
        <v/>
      </c>
    </row>
    <row r="5" spans="1:33" x14ac:dyDescent="0.25">
      <c r="A5" t="s">
        <v>49</v>
      </c>
      <c r="B5">
        <v>1234.7</v>
      </c>
      <c r="C5">
        <v>1230.2</v>
      </c>
      <c r="D5">
        <v>18</v>
      </c>
      <c r="E5"/>
      <c r="F5"/>
      <c r="G5"/>
      <c r="H5">
        <f t="shared" si="0"/>
        <v>4.5</v>
      </c>
      <c r="I5">
        <f t="shared" si="1"/>
        <v>5</v>
      </c>
      <c r="J5">
        <f t="shared" si="2"/>
        <v>5.17</v>
      </c>
      <c r="K5">
        <f t="shared" si="3"/>
        <v>5.33</v>
      </c>
      <c r="L5">
        <f t="shared" si="4"/>
        <v>5.67</v>
      </c>
      <c r="M5" s="27"/>
      <c r="N5" s="17" t="str">
        <f t="shared" si="5"/>
        <v>YD3</v>
      </c>
      <c r="O5" t="str">
        <f>IF(R5="","",_xlfn.XLOOKUP(R5,[2]Sheet2!B:B,[2]Sheet2!C:C))</f>
        <v>12" Drain Basin W/ Slotted H10 Grate, 0'-5'</v>
      </c>
      <c r="P5" t="str">
        <f t="shared" si="6"/>
        <v>1 X 18"</v>
      </c>
      <c r="Q5"/>
      <c r="R5" s="33" t="s">
        <v>45</v>
      </c>
      <c r="S5" s="7">
        <f>IF(Sheet2!O5="","",--LEFT(Sheet2!O5,FIND("""",Sheet2!O5)-1))</f>
        <v>12</v>
      </c>
      <c r="T5">
        <f t="shared" si="18"/>
        <v>124</v>
      </c>
      <c r="U5" t="str">
        <f t="shared" si="19"/>
        <v/>
      </c>
      <c r="V5" t="str">
        <f t="shared" si="20"/>
        <v/>
      </c>
      <c r="W5" t="str">
        <f t="shared" si="21"/>
        <v/>
      </c>
      <c r="X5">
        <f t="shared" si="22"/>
        <v>124</v>
      </c>
      <c r="Y5" t="str">
        <f t="shared" si="23"/>
        <v/>
      </c>
      <c r="Z5" t="str">
        <f t="shared" si="24"/>
        <v/>
      </c>
      <c r="AA5" t="str">
        <f t="shared" si="25"/>
        <v/>
      </c>
      <c r="AB5" t="str">
        <f t="shared" si="26"/>
        <v/>
      </c>
      <c r="AC5" t="str">
        <f t="shared" si="27"/>
        <v/>
      </c>
      <c r="AD5" t="str">
        <f t="shared" si="28"/>
        <v/>
      </c>
      <c r="AE5" t="str">
        <f t="shared" si="29"/>
        <v>1 X 18"</v>
      </c>
      <c r="AF5" t="str">
        <f t="shared" si="30"/>
        <v/>
      </c>
      <c r="AG5" t="str">
        <f t="shared" si="31"/>
        <v/>
      </c>
    </row>
    <row r="6" spans="1:33" x14ac:dyDescent="0.25">
      <c r="A6" t="s">
        <v>58</v>
      </c>
      <c r="B6">
        <v>1231.31</v>
      </c>
      <c r="C6">
        <v>1227.7</v>
      </c>
      <c r="D6">
        <v>15</v>
      </c>
      <c r="E6">
        <v>8</v>
      </c>
      <c r="F6"/>
      <c r="G6"/>
      <c r="H6">
        <f t="shared" si="0"/>
        <v>3.6099999999999</v>
      </c>
      <c r="I6">
        <f t="shared" si="1"/>
        <v>4.1099999999999</v>
      </c>
      <c r="J6">
        <f t="shared" si="2"/>
        <v>4.2799999999998999</v>
      </c>
      <c r="K6">
        <f t="shared" si="3"/>
        <v>4.4399999999999</v>
      </c>
      <c r="L6">
        <f t="shared" si="4"/>
        <v>4.7799999999998999</v>
      </c>
      <c r="M6" s="27"/>
      <c r="N6" s="17" t="str">
        <f t="shared" si="5"/>
        <v>YD6</v>
      </c>
      <c r="O6" t="str">
        <f>IF(R6="","",_xlfn.XLOOKUP(R6,[2]Sheet2!B:B,[2]Sheet2!C:C))</f>
        <v>24" Drain Basin W/H-10 Domed Grate, 5' - 10'</v>
      </c>
      <c r="P6" t="str">
        <f t="shared" si="6"/>
        <v>1 X 8", 1 X 15"</v>
      </c>
      <c r="Q6"/>
      <c r="R6" s="33" t="s">
        <v>56</v>
      </c>
      <c r="S6" s="7">
        <f>IF(Sheet2!O6="","",--LEFT(Sheet2!O6,FIND("""",Sheet2!O6)-1))</f>
        <v>24</v>
      </c>
      <c r="T6">
        <f t="shared" si="18"/>
        <v>64</v>
      </c>
      <c r="U6">
        <f t="shared" si="19"/>
        <v>29</v>
      </c>
      <c r="V6" t="str">
        <f t="shared" si="20"/>
        <v/>
      </c>
      <c r="W6" t="str">
        <f t="shared" si="21"/>
        <v/>
      </c>
      <c r="X6">
        <f t="shared" si="22"/>
        <v>93</v>
      </c>
      <c r="Y6" t="str">
        <f t="shared" si="23"/>
        <v/>
      </c>
      <c r="Z6" t="str">
        <f t="shared" si="24"/>
        <v/>
      </c>
      <c r="AA6" t="str">
        <f t="shared" si="25"/>
        <v>1 X 8"</v>
      </c>
      <c r="AB6" t="str">
        <f t="shared" si="26"/>
        <v/>
      </c>
      <c r="AC6" t="str">
        <f t="shared" si="27"/>
        <v/>
      </c>
      <c r="AD6" t="str">
        <f t="shared" si="28"/>
        <v>1 X 15"</v>
      </c>
      <c r="AE6" t="str">
        <f t="shared" si="29"/>
        <v/>
      </c>
      <c r="AF6" t="str">
        <f t="shared" si="30"/>
        <v/>
      </c>
      <c r="AG6" t="str">
        <f t="shared" si="31"/>
        <v/>
      </c>
    </row>
    <row r="7" spans="1:33" x14ac:dyDescent="0.25">
      <c r="A7" t="s">
        <v>59</v>
      </c>
      <c r="B7">
        <v>1230.5899999999999</v>
      </c>
      <c r="C7">
        <v>1226.3</v>
      </c>
      <c r="D7">
        <v>18</v>
      </c>
      <c r="E7"/>
      <c r="F7"/>
      <c r="G7"/>
      <c r="H7">
        <f t="shared" si="0"/>
        <v>4.2899999999999636</v>
      </c>
      <c r="I7">
        <f t="shared" si="1"/>
        <v>4.7899999999999636</v>
      </c>
      <c r="J7">
        <f t="shared" si="2"/>
        <v>4.9599999999999635</v>
      </c>
      <c r="K7">
        <f t="shared" si="3"/>
        <v>5.1199999999999637</v>
      </c>
      <c r="L7">
        <f t="shared" si="4"/>
        <v>5.4599999999999635</v>
      </c>
      <c r="M7" s="27"/>
      <c r="N7" s="17" t="str">
        <f t="shared" si="5"/>
        <v>YD7</v>
      </c>
      <c r="O7" t="str">
        <f>IF(R7="","",_xlfn.XLOOKUP(R7,[2]Sheet2!B:B,[2]Sheet2!C:C))</f>
        <v>30" X &lt;5' DRAIN BASIN C/W STANDARD SLOT FG</v>
      </c>
      <c r="P7" t="str">
        <f t="shared" si="6"/>
        <v>1 X 18"</v>
      </c>
      <c r="Q7"/>
      <c r="R7" s="34" t="s">
        <v>57</v>
      </c>
      <c r="S7" s="7">
        <f>IF(Sheet2!O7="","",--LEFT(Sheet2!O7,FIND("""",Sheet2!O7)-1))</f>
        <v>30</v>
      </c>
      <c r="T7">
        <f t="shared" si="18"/>
        <v>124</v>
      </c>
      <c r="U7" t="str">
        <f t="shared" si="19"/>
        <v/>
      </c>
      <c r="V7" t="str">
        <f t="shared" si="20"/>
        <v/>
      </c>
      <c r="W7" t="str">
        <f t="shared" si="21"/>
        <v/>
      </c>
      <c r="X7">
        <f t="shared" si="22"/>
        <v>124</v>
      </c>
      <c r="Y7" t="str">
        <f t="shared" si="23"/>
        <v/>
      </c>
      <c r="Z7" t="str">
        <f t="shared" si="24"/>
        <v/>
      </c>
      <c r="AA7" t="str">
        <f t="shared" si="25"/>
        <v/>
      </c>
      <c r="AB7" t="str">
        <f t="shared" si="26"/>
        <v/>
      </c>
      <c r="AC7" t="str">
        <f t="shared" si="27"/>
        <v/>
      </c>
      <c r="AD7" t="str">
        <f t="shared" si="28"/>
        <v/>
      </c>
      <c r="AE7" t="str">
        <f t="shared" si="29"/>
        <v>1 X 18"</v>
      </c>
      <c r="AF7" t="str">
        <f t="shared" si="30"/>
        <v/>
      </c>
      <c r="AG7" t="str">
        <f t="shared" si="31"/>
        <v/>
      </c>
    </row>
    <row r="8" spans="1:33" x14ac:dyDescent="0.25">
      <c r="A8"/>
      <c r="B8"/>
      <c r="C8"/>
      <c r="D8"/>
      <c r="E8"/>
      <c r="F8"/>
      <c r="G8"/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  <c r="L8" t="str">
        <f t="shared" si="4"/>
        <v/>
      </c>
      <c r="M8" s="27"/>
      <c r="N8" s="17" t="str">
        <f t="shared" si="5"/>
        <v/>
      </c>
      <c r="O8" t="str">
        <f>IF(R8="","",_xlfn.XLOOKUP(R8,[2]Sheet2!B:B,[2]Sheet2!C:C))</f>
        <v/>
      </c>
      <c r="P8" t="str">
        <f t="shared" si="6"/>
        <v/>
      </c>
      <c r="Q8"/>
      <c r="R8" s="34"/>
      <c r="S8" s="7" t="str">
        <f>IF(Sheet2!O8="","",--LEFT(Sheet2!O8,FIND("""",Sheet2!O8)-1))</f>
        <v/>
      </c>
      <c r="T8" t="str">
        <f t="shared" si="18"/>
        <v/>
      </c>
      <c r="U8" t="str">
        <f t="shared" si="19"/>
        <v/>
      </c>
      <c r="V8" t="str">
        <f t="shared" si="20"/>
        <v/>
      </c>
      <c r="W8" t="str">
        <f t="shared" si="21"/>
        <v/>
      </c>
      <c r="X8">
        <f t="shared" si="22"/>
        <v>0</v>
      </c>
      <c r="Y8" t="str">
        <f t="shared" si="23"/>
        <v/>
      </c>
      <c r="Z8" t="str">
        <f t="shared" si="24"/>
        <v/>
      </c>
      <c r="AA8" t="str">
        <f t="shared" si="25"/>
        <v/>
      </c>
      <c r="AB8" t="str">
        <f t="shared" si="26"/>
        <v/>
      </c>
      <c r="AC8" t="str">
        <f t="shared" si="27"/>
        <v/>
      </c>
      <c r="AD8" t="str">
        <f t="shared" si="28"/>
        <v/>
      </c>
      <c r="AE8" t="str">
        <f t="shared" si="29"/>
        <v/>
      </c>
      <c r="AF8" t="str">
        <f t="shared" si="30"/>
        <v/>
      </c>
      <c r="AG8" t="str">
        <f t="shared" si="31"/>
        <v/>
      </c>
    </row>
    <row r="9" spans="1:33" x14ac:dyDescent="0.25">
      <c r="A9" s="23"/>
      <c r="B9" s="23"/>
      <c r="C9" s="23"/>
      <c r="D9" s="23"/>
      <c r="E9" s="23"/>
      <c r="F9" s="23"/>
      <c r="H9" t="str">
        <f t="shared" ref="H9:H24" si="32">IF(C9="","",B9-C9)</f>
        <v/>
      </c>
      <c r="I9" t="str">
        <f t="shared" ref="I9:I24" si="33">IF(H9="","",H9+0.5)</f>
        <v/>
      </c>
      <c r="J9" t="str">
        <f t="shared" ref="J9:J24" si="34">IF(H9="","",H9+0.67)</f>
        <v/>
      </c>
      <c r="K9" t="str">
        <f t="shared" ref="K9:K24" si="35">IF(H9="","",H9+0.83)</f>
        <v/>
      </c>
      <c r="L9" t="str">
        <f t="shared" ref="L9:L24" si="36">IF(H9="","",H9+1.17)</f>
        <v/>
      </c>
      <c r="M9" s="27"/>
      <c r="N9" s="17" t="str">
        <f t="shared" ref="N9:N24" si="37">IF(A9="","",A9)</f>
        <v/>
      </c>
      <c r="O9" t="str">
        <f>IF(R9="","",_xlfn.XLOOKUP(R9,[2]Sheet2!B:B,[2]Sheet2!C:C))</f>
        <v/>
      </c>
      <c r="P9" t="str">
        <f t="shared" ref="P9:P24" si="38">_xlfn.TEXTJOIN(", ", TRUE, IF(Y9&lt;&gt;"", Y9, ""), IF(Z9&lt;&gt;"", Z9, ""), IF(AA9&lt;&gt;"", AA9, ""),IF(AB9&lt;&gt;"",AB9,""), IF(AC9&lt;&gt;"", AC9, ""),IF(AD9&lt;&gt;"", AD9, ""),IF(AE9&lt;&gt;"", AE9, ""),IF(AF9&lt;&gt;"", AF9, ""),IF(AG9&lt;&gt;"", AG9, ""))</f>
        <v/>
      </c>
      <c r="R9" s="34"/>
      <c r="S9" s="25" t="str">
        <f>IF(Sheet2!O9="","",--LEFT(Sheet2!O9,FIND("""",Sheet2!O9)-1))</f>
        <v/>
      </c>
      <c r="T9" t="str">
        <f t="shared" si="18"/>
        <v/>
      </c>
      <c r="U9" t="str">
        <f t="shared" si="19"/>
        <v/>
      </c>
      <c r="V9" t="str">
        <f t="shared" si="20"/>
        <v/>
      </c>
      <c r="W9" t="str">
        <f t="shared" si="21"/>
        <v/>
      </c>
      <c r="X9">
        <f t="shared" si="22"/>
        <v>0</v>
      </c>
      <c r="Y9" t="str">
        <f t="shared" si="23"/>
        <v/>
      </c>
      <c r="Z9" t="str">
        <f t="shared" si="24"/>
        <v/>
      </c>
      <c r="AA9" t="str">
        <f t="shared" si="25"/>
        <v/>
      </c>
      <c r="AB9" t="str">
        <f t="shared" si="26"/>
        <v/>
      </c>
      <c r="AC9" t="str">
        <f t="shared" si="27"/>
        <v/>
      </c>
      <c r="AD9" t="str">
        <f t="shared" si="28"/>
        <v/>
      </c>
      <c r="AE9" t="str">
        <f t="shared" si="29"/>
        <v/>
      </c>
      <c r="AF9" t="str">
        <f t="shared" si="30"/>
        <v/>
      </c>
      <c r="AG9" t="str">
        <f t="shared" si="31"/>
        <v/>
      </c>
    </row>
    <row r="10" spans="1:33" x14ac:dyDescent="0.25">
      <c r="A10" s="23"/>
      <c r="B10" s="23"/>
      <c r="C10" s="23"/>
      <c r="D10" s="23"/>
      <c r="E10" s="23"/>
      <c r="H10" t="str">
        <f t="shared" si="32"/>
        <v/>
      </c>
      <c r="I10" t="str">
        <f t="shared" si="33"/>
        <v/>
      </c>
      <c r="J10" t="str">
        <f t="shared" si="34"/>
        <v/>
      </c>
      <c r="K10" t="str">
        <f t="shared" si="35"/>
        <v/>
      </c>
      <c r="L10" t="str">
        <f t="shared" si="36"/>
        <v/>
      </c>
      <c r="M10" s="27"/>
      <c r="N10" s="17" t="str">
        <f t="shared" si="37"/>
        <v/>
      </c>
      <c r="O10" t="str">
        <f>IF(R10="","",_xlfn.XLOOKUP(R10,[2]Sheet2!B:B,[2]Sheet2!C:C))</f>
        <v/>
      </c>
      <c r="P10" t="str">
        <f t="shared" si="38"/>
        <v/>
      </c>
      <c r="R10" s="34"/>
      <c r="S10" s="25" t="str">
        <f>IF(Sheet2!O10="","",--LEFT(Sheet2!O10,FIND("""",Sheet2!O10)-1))</f>
        <v/>
      </c>
      <c r="T10" t="str">
        <f t="shared" si="18"/>
        <v/>
      </c>
      <c r="U10" t="str">
        <f t="shared" si="19"/>
        <v/>
      </c>
      <c r="V10" t="str">
        <f t="shared" si="20"/>
        <v/>
      </c>
      <c r="W10" t="str">
        <f t="shared" si="21"/>
        <v/>
      </c>
      <c r="X10">
        <f t="shared" si="22"/>
        <v>0</v>
      </c>
      <c r="Y10" t="str">
        <f t="shared" si="23"/>
        <v/>
      </c>
      <c r="Z10" t="str">
        <f t="shared" si="24"/>
        <v/>
      </c>
      <c r="AA10" t="str">
        <f t="shared" si="25"/>
        <v/>
      </c>
      <c r="AB10" t="str">
        <f t="shared" si="26"/>
        <v/>
      </c>
      <c r="AC10" t="str">
        <f t="shared" si="27"/>
        <v/>
      </c>
      <c r="AD10" t="str">
        <f t="shared" si="28"/>
        <v/>
      </c>
      <c r="AE10" t="str">
        <f t="shared" si="29"/>
        <v/>
      </c>
      <c r="AF10" t="str">
        <f t="shared" si="30"/>
        <v/>
      </c>
      <c r="AG10" t="str">
        <f t="shared" si="31"/>
        <v/>
      </c>
    </row>
    <row r="11" spans="1:33" x14ac:dyDescent="0.25">
      <c r="A11" s="21"/>
      <c r="B11" s="23"/>
      <c r="C11" s="23"/>
      <c r="H11" t="str">
        <f t="shared" si="32"/>
        <v/>
      </c>
      <c r="I11" t="str">
        <f t="shared" si="33"/>
        <v/>
      </c>
      <c r="J11" t="str">
        <f t="shared" si="34"/>
        <v/>
      </c>
      <c r="K11" t="str">
        <f t="shared" si="35"/>
        <v/>
      </c>
      <c r="L11" t="str">
        <f t="shared" si="36"/>
        <v/>
      </c>
      <c r="M11" s="27"/>
      <c r="N11" s="17" t="str">
        <f t="shared" si="37"/>
        <v/>
      </c>
      <c r="O11" t="str">
        <f>IF(R11="","",_xlfn.XLOOKUP(R11,[2]Sheet2!B:B,[2]Sheet2!C:C))</f>
        <v/>
      </c>
      <c r="P11" t="str">
        <f t="shared" si="38"/>
        <v/>
      </c>
      <c r="R11" s="34"/>
      <c r="S11" s="25" t="str">
        <f>IF(Sheet2!O11="","",--LEFT(Sheet2!O11,FIND("""",Sheet2!O11)-1))</f>
        <v/>
      </c>
      <c r="T11" t="str">
        <f t="shared" si="18"/>
        <v/>
      </c>
      <c r="U11" t="str">
        <f t="shared" si="19"/>
        <v/>
      </c>
      <c r="V11" t="str">
        <f t="shared" si="20"/>
        <v/>
      </c>
      <c r="W11" t="str">
        <f t="shared" si="21"/>
        <v/>
      </c>
      <c r="X11">
        <f t="shared" si="22"/>
        <v>0</v>
      </c>
      <c r="Y11" t="str">
        <f t="shared" si="23"/>
        <v/>
      </c>
      <c r="Z11" t="str">
        <f t="shared" si="24"/>
        <v/>
      </c>
      <c r="AA11" t="str">
        <f t="shared" si="25"/>
        <v/>
      </c>
      <c r="AB11" t="str">
        <f t="shared" si="26"/>
        <v/>
      </c>
      <c r="AC11" t="str">
        <f t="shared" si="27"/>
        <v/>
      </c>
      <c r="AD11" t="str">
        <f t="shared" si="28"/>
        <v/>
      </c>
      <c r="AE11" t="str">
        <f t="shared" si="29"/>
        <v/>
      </c>
      <c r="AF11" t="str">
        <f t="shared" si="30"/>
        <v/>
      </c>
      <c r="AG11" t="str">
        <f t="shared" si="31"/>
        <v/>
      </c>
    </row>
    <row r="12" spans="1:33" x14ac:dyDescent="0.25">
      <c r="A12" s="23"/>
      <c r="B12" s="23"/>
      <c r="C12" s="23"/>
      <c r="H12" t="str">
        <f t="shared" si="32"/>
        <v/>
      </c>
      <c r="I12" t="str">
        <f t="shared" si="33"/>
        <v/>
      </c>
      <c r="J12" t="str">
        <f t="shared" si="34"/>
        <v/>
      </c>
      <c r="K12" t="str">
        <f t="shared" si="35"/>
        <v/>
      </c>
      <c r="L12" t="str">
        <f t="shared" si="36"/>
        <v/>
      </c>
      <c r="M12" s="27"/>
      <c r="N12" s="17" t="str">
        <f t="shared" si="37"/>
        <v/>
      </c>
      <c r="O12" t="str">
        <f>IF(R12="","",_xlfn.XLOOKUP(R12,[2]Sheet2!B:B,[2]Sheet2!C:C))</f>
        <v/>
      </c>
      <c r="P12" t="str">
        <f t="shared" si="38"/>
        <v/>
      </c>
      <c r="R12" s="34"/>
      <c r="S12" s="25" t="str">
        <f>IF(Sheet2!O12="","",--LEFT(Sheet2!O12,FIND("""",Sheet2!O12)-1))</f>
        <v/>
      </c>
      <c r="T12" t="str">
        <f t="shared" si="18"/>
        <v/>
      </c>
      <c r="U12" t="str">
        <f t="shared" si="19"/>
        <v/>
      </c>
      <c r="V12" t="str">
        <f t="shared" si="20"/>
        <v/>
      </c>
      <c r="W12" t="str">
        <f t="shared" si="21"/>
        <v/>
      </c>
      <c r="X12">
        <f t="shared" si="22"/>
        <v>0</v>
      </c>
      <c r="Y12" t="str">
        <f t="shared" si="23"/>
        <v/>
      </c>
      <c r="Z12" t="str">
        <f t="shared" si="24"/>
        <v/>
      </c>
      <c r="AA12" t="str">
        <f t="shared" si="25"/>
        <v/>
      </c>
      <c r="AB12" t="str">
        <f t="shared" si="26"/>
        <v/>
      </c>
      <c r="AC12" t="str">
        <f t="shared" si="27"/>
        <v/>
      </c>
      <c r="AD12" t="str">
        <f t="shared" si="28"/>
        <v/>
      </c>
      <c r="AE12" t="str">
        <f t="shared" si="29"/>
        <v/>
      </c>
      <c r="AF12" t="str">
        <f t="shared" si="30"/>
        <v/>
      </c>
      <c r="AG12" t="str">
        <f t="shared" si="31"/>
        <v/>
      </c>
    </row>
    <row r="13" spans="1:33" x14ac:dyDescent="0.25">
      <c r="A13"/>
      <c r="B13" s="23"/>
      <c r="C13" s="23"/>
      <c r="H13" t="str">
        <f t="shared" si="32"/>
        <v/>
      </c>
      <c r="I13" t="str">
        <f t="shared" si="33"/>
        <v/>
      </c>
      <c r="J13" t="str">
        <f t="shared" si="34"/>
        <v/>
      </c>
      <c r="K13" t="str">
        <f t="shared" si="35"/>
        <v/>
      </c>
      <c r="L13" t="str">
        <f t="shared" si="36"/>
        <v/>
      </c>
      <c r="M13" s="27"/>
      <c r="N13" s="17" t="str">
        <f t="shared" si="37"/>
        <v/>
      </c>
      <c r="O13" t="str">
        <f>IF(R13="","",_xlfn.XLOOKUP(R13,[2]Sheet2!B:B,[2]Sheet2!C:C))</f>
        <v/>
      </c>
      <c r="P13" t="str">
        <f t="shared" si="38"/>
        <v/>
      </c>
      <c r="R13" s="35"/>
      <c r="S13" s="25" t="str">
        <f>IF(Sheet2!O13="","",--LEFT(Sheet2!O13,FIND("""",Sheet2!O13)-1))</f>
        <v/>
      </c>
      <c r="T13" t="str">
        <f t="shared" si="18"/>
        <v/>
      </c>
      <c r="U13" t="str">
        <f t="shared" si="19"/>
        <v/>
      </c>
      <c r="V13" t="str">
        <f t="shared" si="20"/>
        <v/>
      </c>
      <c r="W13" t="str">
        <f t="shared" si="21"/>
        <v/>
      </c>
      <c r="X13">
        <f t="shared" si="22"/>
        <v>0</v>
      </c>
      <c r="Y13" t="str">
        <f t="shared" si="23"/>
        <v/>
      </c>
      <c r="Z13" t="str">
        <f t="shared" si="24"/>
        <v/>
      </c>
      <c r="AA13" t="str">
        <f t="shared" si="25"/>
        <v/>
      </c>
      <c r="AB13" t="str">
        <f t="shared" si="26"/>
        <v/>
      </c>
      <c r="AC13" t="str">
        <f t="shared" si="27"/>
        <v/>
      </c>
      <c r="AD13" t="str">
        <f t="shared" si="28"/>
        <v/>
      </c>
      <c r="AE13" t="str">
        <f t="shared" si="29"/>
        <v/>
      </c>
      <c r="AF13" t="str">
        <f t="shared" si="30"/>
        <v/>
      </c>
      <c r="AG13" t="str">
        <f t="shared" si="31"/>
        <v/>
      </c>
    </row>
    <row r="14" spans="1:33" x14ac:dyDescent="0.25">
      <c r="A14" s="21"/>
      <c r="B14" s="23"/>
      <c r="C14" s="23"/>
      <c r="H14" t="str">
        <f t="shared" si="32"/>
        <v/>
      </c>
      <c r="I14" t="str">
        <f t="shared" si="33"/>
        <v/>
      </c>
      <c r="J14" t="str">
        <f t="shared" si="34"/>
        <v/>
      </c>
      <c r="K14" t="str">
        <f t="shared" si="35"/>
        <v/>
      </c>
      <c r="L14" t="str">
        <f t="shared" si="36"/>
        <v/>
      </c>
      <c r="M14" s="27"/>
      <c r="N14" s="17" t="str">
        <f t="shared" si="37"/>
        <v/>
      </c>
      <c r="O14" t="str">
        <f>IF(R14="","",_xlfn.XLOOKUP(R14,[2]Sheet2!B:B,[2]Sheet2!C:C))</f>
        <v/>
      </c>
      <c r="P14" t="str">
        <f t="shared" si="38"/>
        <v/>
      </c>
      <c r="R14" s="35"/>
      <c r="S14" s="25" t="str">
        <f>IF(Sheet2!O14="","",--LEFT(Sheet2!O14,FIND("""",Sheet2!O14)-1))</f>
        <v/>
      </c>
      <c r="T14" t="str">
        <f t="shared" si="18"/>
        <v/>
      </c>
      <c r="U14" t="str">
        <f t="shared" si="19"/>
        <v/>
      </c>
      <c r="V14" t="str">
        <f t="shared" si="20"/>
        <v/>
      </c>
      <c r="W14" t="str">
        <f t="shared" si="21"/>
        <v/>
      </c>
      <c r="X14">
        <f t="shared" si="22"/>
        <v>0</v>
      </c>
      <c r="Y14" t="str">
        <f t="shared" si="23"/>
        <v/>
      </c>
      <c r="Z14" t="str">
        <f t="shared" si="24"/>
        <v/>
      </c>
      <c r="AA14" t="str">
        <f t="shared" si="25"/>
        <v/>
      </c>
      <c r="AB14" t="str">
        <f t="shared" si="26"/>
        <v/>
      </c>
      <c r="AC14" t="str">
        <f t="shared" si="27"/>
        <v/>
      </c>
      <c r="AD14" t="str">
        <f t="shared" si="28"/>
        <v/>
      </c>
      <c r="AE14" t="str">
        <f t="shared" si="29"/>
        <v/>
      </c>
      <c r="AF14" t="str">
        <f t="shared" si="30"/>
        <v/>
      </c>
      <c r="AG14" t="str">
        <f t="shared" si="31"/>
        <v/>
      </c>
    </row>
    <row r="15" spans="1:33" x14ac:dyDescent="0.25">
      <c r="A15" s="21"/>
      <c r="B15" s="23"/>
      <c r="C15" s="23"/>
      <c r="H15" t="str">
        <f t="shared" si="32"/>
        <v/>
      </c>
      <c r="I15" t="str">
        <f t="shared" si="33"/>
        <v/>
      </c>
      <c r="J15" t="str">
        <f t="shared" si="34"/>
        <v/>
      </c>
      <c r="K15" t="str">
        <f t="shared" si="35"/>
        <v/>
      </c>
      <c r="L15" t="str">
        <f t="shared" si="36"/>
        <v/>
      </c>
      <c r="M15" s="27"/>
      <c r="N15" s="17" t="str">
        <f t="shared" si="37"/>
        <v/>
      </c>
      <c r="O15" t="str">
        <f>IF(R15="","",_xlfn.XLOOKUP(R15,[2]Sheet2!B:B,[2]Sheet2!C:C))</f>
        <v/>
      </c>
      <c r="P15" t="str">
        <f t="shared" si="38"/>
        <v/>
      </c>
      <c r="S15" s="25" t="str">
        <f>IF(Sheet2!O15="","",--LEFT(Sheet2!O15,FIND("""",Sheet2!O15)-1))</f>
        <v/>
      </c>
      <c r="T15" t="str">
        <f t="shared" si="18"/>
        <v/>
      </c>
      <c r="U15" t="str">
        <f t="shared" si="19"/>
        <v/>
      </c>
      <c r="V15" t="str">
        <f t="shared" si="20"/>
        <v/>
      </c>
      <c r="W15" t="str">
        <f t="shared" si="21"/>
        <v/>
      </c>
      <c r="X15">
        <f t="shared" si="22"/>
        <v>0</v>
      </c>
      <c r="Y15" t="str">
        <f t="shared" si="23"/>
        <v/>
      </c>
      <c r="Z15" t="str">
        <f t="shared" si="24"/>
        <v/>
      </c>
      <c r="AA15" t="str">
        <f t="shared" si="25"/>
        <v/>
      </c>
      <c r="AB15" t="str">
        <f t="shared" si="26"/>
        <v/>
      </c>
      <c r="AC15" t="str">
        <f t="shared" si="27"/>
        <v/>
      </c>
      <c r="AD15" t="str">
        <f t="shared" si="28"/>
        <v/>
      </c>
      <c r="AE15" t="str">
        <f t="shared" si="29"/>
        <v/>
      </c>
      <c r="AF15" t="str">
        <f t="shared" si="30"/>
        <v/>
      </c>
      <c r="AG15" t="str">
        <f t="shared" si="31"/>
        <v/>
      </c>
    </row>
    <row r="16" spans="1:33" x14ac:dyDescent="0.25">
      <c r="A16" s="21"/>
      <c r="B16" s="31"/>
      <c r="C16" s="31"/>
      <c r="D16" s="31"/>
      <c r="E16" s="31"/>
      <c r="F16" s="31"/>
      <c r="H16" t="str">
        <f t="shared" si="32"/>
        <v/>
      </c>
      <c r="I16" t="str">
        <f t="shared" si="33"/>
        <v/>
      </c>
      <c r="J16" t="str">
        <f t="shared" si="34"/>
        <v/>
      </c>
      <c r="K16" t="str">
        <f t="shared" si="35"/>
        <v/>
      </c>
      <c r="L16" t="str">
        <f t="shared" si="36"/>
        <v/>
      </c>
      <c r="M16" s="27"/>
      <c r="N16" s="17" t="str">
        <f t="shared" si="37"/>
        <v/>
      </c>
      <c r="O16" t="str">
        <f>IF(R16="","",_xlfn.XLOOKUP(R16,[2]Sheet2!B:B,[2]Sheet2!C:C))</f>
        <v/>
      </c>
      <c r="P16" t="str">
        <f t="shared" si="38"/>
        <v/>
      </c>
      <c r="S16" s="25" t="str">
        <f>IF(Sheet2!O16="","",--LEFT(Sheet2!O16,FIND("""",Sheet2!O16)-1))</f>
        <v/>
      </c>
      <c r="T16" t="str">
        <f t="shared" si="18"/>
        <v/>
      </c>
      <c r="U16" t="str">
        <f t="shared" si="19"/>
        <v/>
      </c>
      <c r="V16" t="str">
        <f t="shared" si="20"/>
        <v/>
      </c>
      <c r="W16" t="str">
        <f t="shared" si="21"/>
        <v/>
      </c>
      <c r="X16">
        <f t="shared" si="22"/>
        <v>0</v>
      </c>
      <c r="Y16" t="str">
        <f t="shared" si="23"/>
        <v/>
      </c>
      <c r="Z16" t="str">
        <f t="shared" si="24"/>
        <v/>
      </c>
      <c r="AA16" t="str">
        <f t="shared" si="25"/>
        <v/>
      </c>
      <c r="AB16" t="str">
        <f t="shared" si="26"/>
        <v/>
      </c>
      <c r="AC16" t="str">
        <f t="shared" si="27"/>
        <v/>
      </c>
      <c r="AD16" t="str">
        <f t="shared" si="28"/>
        <v/>
      </c>
      <c r="AE16" t="str">
        <f t="shared" si="29"/>
        <v/>
      </c>
      <c r="AF16" t="str">
        <f t="shared" si="30"/>
        <v/>
      </c>
      <c r="AG16" t="str">
        <f t="shared" si="31"/>
        <v/>
      </c>
    </row>
    <row r="17" spans="1:33" x14ac:dyDescent="0.25">
      <c r="A17" s="21"/>
      <c r="B17" s="23"/>
      <c r="C17" s="23"/>
      <c r="H17" t="str">
        <f t="shared" si="32"/>
        <v/>
      </c>
      <c r="I17" t="str">
        <f t="shared" si="33"/>
        <v/>
      </c>
      <c r="J17" t="str">
        <f t="shared" si="34"/>
        <v/>
      </c>
      <c r="K17" t="str">
        <f t="shared" si="35"/>
        <v/>
      </c>
      <c r="L17" t="str">
        <f t="shared" si="36"/>
        <v/>
      </c>
      <c r="M17" s="27"/>
      <c r="N17" s="17" t="str">
        <f t="shared" si="37"/>
        <v/>
      </c>
      <c r="O17" t="str">
        <f>IF(R17="","",_xlfn.XLOOKUP(R17,[2]Sheet2!B:B,[2]Sheet2!C:C))</f>
        <v/>
      </c>
      <c r="P17" t="str">
        <f t="shared" si="38"/>
        <v/>
      </c>
      <c r="S17" s="25" t="str">
        <f>IF(Sheet2!O17="","",--LEFT(Sheet2!O17,FIND("""",Sheet2!O17)-1))</f>
        <v/>
      </c>
      <c r="T17" t="str">
        <f t="shared" si="18"/>
        <v/>
      </c>
      <c r="U17" t="str">
        <f t="shared" si="19"/>
        <v/>
      </c>
      <c r="V17" t="str">
        <f t="shared" si="20"/>
        <v/>
      </c>
      <c r="W17" t="str">
        <f t="shared" si="21"/>
        <v/>
      </c>
      <c r="X17">
        <f t="shared" si="22"/>
        <v>0</v>
      </c>
      <c r="Y17" t="str">
        <f t="shared" si="23"/>
        <v/>
      </c>
      <c r="Z17" t="str">
        <f t="shared" si="24"/>
        <v/>
      </c>
      <c r="AA17" t="str">
        <f t="shared" si="25"/>
        <v/>
      </c>
      <c r="AB17" t="str">
        <f t="shared" si="26"/>
        <v/>
      </c>
      <c r="AC17" t="str">
        <f t="shared" si="27"/>
        <v/>
      </c>
      <c r="AD17" t="str">
        <f t="shared" si="28"/>
        <v/>
      </c>
      <c r="AE17" t="str">
        <f t="shared" si="29"/>
        <v/>
      </c>
      <c r="AF17" t="str">
        <f t="shared" si="30"/>
        <v/>
      </c>
      <c r="AG17" t="str">
        <f t="shared" si="31"/>
        <v/>
      </c>
    </row>
    <row r="18" spans="1:33" x14ac:dyDescent="0.25">
      <c r="A18" s="21"/>
      <c r="H18" t="str">
        <f t="shared" si="32"/>
        <v/>
      </c>
      <c r="I18" t="str">
        <f t="shared" si="33"/>
        <v/>
      </c>
      <c r="J18" t="str">
        <f t="shared" si="34"/>
        <v/>
      </c>
      <c r="K18" t="str">
        <f t="shared" si="35"/>
        <v/>
      </c>
      <c r="L18" t="str">
        <f t="shared" si="36"/>
        <v/>
      </c>
      <c r="M18" s="27"/>
      <c r="N18" s="17" t="str">
        <f t="shared" si="37"/>
        <v/>
      </c>
      <c r="O18" t="str">
        <f>IF(R18="","",_xlfn.XLOOKUP(R18,[2]Sheet2!B:B,[2]Sheet2!C:C))</f>
        <v/>
      </c>
      <c r="P18" t="str">
        <f t="shared" si="38"/>
        <v/>
      </c>
      <c r="S18" s="25" t="str">
        <f>IF(Sheet2!O18="","",--LEFT(Sheet2!O18,FIND("""",Sheet2!O18)-1))</f>
        <v/>
      </c>
      <c r="T18" t="str">
        <f t="shared" si="18"/>
        <v/>
      </c>
      <c r="U18" t="str">
        <f t="shared" si="19"/>
        <v/>
      </c>
      <c r="V18" t="str">
        <f t="shared" si="20"/>
        <v/>
      </c>
      <c r="W18" t="str">
        <f t="shared" si="21"/>
        <v/>
      </c>
      <c r="X18">
        <f t="shared" si="22"/>
        <v>0</v>
      </c>
      <c r="Y18" t="str">
        <f t="shared" si="23"/>
        <v/>
      </c>
      <c r="Z18" t="str">
        <f t="shared" si="24"/>
        <v/>
      </c>
      <c r="AA18" t="str">
        <f t="shared" si="25"/>
        <v/>
      </c>
      <c r="AB18" t="str">
        <f t="shared" si="26"/>
        <v/>
      </c>
      <c r="AC18" t="str">
        <f t="shared" si="27"/>
        <v/>
      </c>
      <c r="AD18" t="str">
        <f t="shared" si="28"/>
        <v/>
      </c>
      <c r="AE18" t="str">
        <f t="shared" si="29"/>
        <v/>
      </c>
      <c r="AF18" t="str">
        <f t="shared" si="30"/>
        <v/>
      </c>
      <c r="AG18" t="str">
        <f t="shared" si="31"/>
        <v/>
      </c>
    </row>
    <row r="19" spans="1:33" x14ac:dyDescent="0.25">
      <c r="A19" s="21"/>
      <c r="H19" t="str">
        <f t="shared" si="32"/>
        <v/>
      </c>
      <c r="I19" t="str">
        <f t="shared" si="33"/>
        <v/>
      </c>
      <c r="J19" t="str">
        <f t="shared" si="34"/>
        <v/>
      </c>
      <c r="K19" t="str">
        <f t="shared" si="35"/>
        <v/>
      </c>
      <c r="L19" t="str">
        <f t="shared" si="36"/>
        <v/>
      </c>
      <c r="M19" s="27"/>
      <c r="N19" s="17" t="str">
        <f t="shared" si="37"/>
        <v/>
      </c>
      <c r="O19" t="str">
        <f>IF(R19="","",_xlfn.XLOOKUP(R19,[2]Sheet2!B:B,[2]Sheet2!C:C))</f>
        <v/>
      </c>
      <c r="P19" t="str">
        <f t="shared" si="38"/>
        <v/>
      </c>
      <c r="S19" s="25" t="str">
        <f>IF(Sheet2!O19="","",--LEFT(Sheet2!O19,FIND("""",Sheet2!O19)-1))</f>
        <v/>
      </c>
      <c r="T19" t="str">
        <f t="shared" si="18"/>
        <v/>
      </c>
      <c r="U19" t="str">
        <f t="shared" si="19"/>
        <v/>
      </c>
      <c r="V19" t="str">
        <f t="shared" si="20"/>
        <v/>
      </c>
      <c r="W19" t="str">
        <f t="shared" si="21"/>
        <v/>
      </c>
      <c r="X19">
        <f t="shared" si="22"/>
        <v>0</v>
      </c>
      <c r="Y19" t="str">
        <f t="shared" si="23"/>
        <v/>
      </c>
      <c r="Z19" t="str">
        <f t="shared" si="24"/>
        <v/>
      </c>
      <c r="AA19" t="str">
        <f t="shared" si="25"/>
        <v/>
      </c>
      <c r="AB19" t="str">
        <f t="shared" si="26"/>
        <v/>
      </c>
      <c r="AC19" t="str">
        <f t="shared" si="27"/>
        <v/>
      </c>
      <c r="AD19" t="str">
        <f t="shared" si="28"/>
        <v/>
      </c>
      <c r="AE19" t="str">
        <f t="shared" si="29"/>
        <v/>
      </c>
      <c r="AF19" t="str">
        <f t="shared" si="30"/>
        <v/>
      </c>
      <c r="AG19" t="str">
        <f t="shared" si="31"/>
        <v/>
      </c>
    </row>
    <row r="20" spans="1:33" x14ac:dyDescent="0.25">
      <c r="A20" s="21"/>
      <c r="H20" t="str">
        <f t="shared" si="32"/>
        <v/>
      </c>
      <c r="I20" t="str">
        <f t="shared" si="33"/>
        <v/>
      </c>
      <c r="J20" t="str">
        <f t="shared" si="34"/>
        <v/>
      </c>
      <c r="K20" t="str">
        <f t="shared" si="35"/>
        <v/>
      </c>
      <c r="L20" t="str">
        <f t="shared" si="36"/>
        <v/>
      </c>
      <c r="M20" s="27"/>
      <c r="N20" s="17" t="str">
        <f t="shared" si="37"/>
        <v/>
      </c>
      <c r="O20" t="str">
        <f>IF(R20="","",_xlfn.XLOOKUP(R20,[2]Sheet2!B:B,[2]Sheet2!C:C))</f>
        <v/>
      </c>
      <c r="P20" t="str">
        <f t="shared" si="38"/>
        <v/>
      </c>
      <c r="S20" s="25" t="str">
        <f>IF(Sheet2!O20="","",--LEFT(Sheet2!O20,FIND("""",Sheet2!O20)-1))</f>
        <v/>
      </c>
      <c r="T20" t="str">
        <f t="shared" si="18"/>
        <v/>
      </c>
      <c r="U20" t="str">
        <f t="shared" si="19"/>
        <v/>
      </c>
      <c r="V20" t="str">
        <f t="shared" si="20"/>
        <v/>
      </c>
      <c r="W20" t="str">
        <f t="shared" si="21"/>
        <v/>
      </c>
      <c r="X20">
        <f t="shared" si="22"/>
        <v>0</v>
      </c>
      <c r="Y20" t="str">
        <f t="shared" si="23"/>
        <v/>
      </c>
      <c r="Z20" t="str">
        <f t="shared" si="24"/>
        <v/>
      </c>
      <c r="AA20" t="str">
        <f t="shared" si="25"/>
        <v/>
      </c>
      <c r="AB20" t="str">
        <f t="shared" si="26"/>
        <v/>
      </c>
      <c r="AC20" t="str">
        <f t="shared" si="27"/>
        <v/>
      </c>
      <c r="AD20" t="str">
        <f t="shared" si="28"/>
        <v/>
      </c>
      <c r="AE20" t="str">
        <f t="shared" si="29"/>
        <v/>
      </c>
      <c r="AF20" t="str">
        <f t="shared" si="30"/>
        <v/>
      </c>
      <c r="AG20" t="str">
        <f t="shared" si="31"/>
        <v/>
      </c>
    </row>
    <row r="21" spans="1:33" x14ac:dyDescent="0.25">
      <c r="A21" s="21"/>
      <c r="H21" t="str">
        <f t="shared" si="32"/>
        <v/>
      </c>
      <c r="I21" t="str">
        <f t="shared" si="33"/>
        <v/>
      </c>
      <c r="J21" t="str">
        <f t="shared" si="34"/>
        <v/>
      </c>
      <c r="K21" t="str">
        <f t="shared" si="35"/>
        <v/>
      </c>
      <c r="L21" t="str">
        <f t="shared" si="36"/>
        <v/>
      </c>
      <c r="M21" s="27"/>
      <c r="N21" s="17" t="str">
        <f t="shared" si="37"/>
        <v/>
      </c>
      <c r="O21" t="str">
        <f>IF(R21="","",_xlfn.XLOOKUP(R21,[2]Sheet2!B:B,[2]Sheet2!C:C))</f>
        <v/>
      </c>
      <c r="P21" t="str">
        <f t="shared" si="38"/>
        <v/>
      </c>
      <c r="S21" s="25" t="str">
        <f>IF(Sheet2!O21="","",--LEFT(Sheet2!O21,FIND("""",Sheet2!O21)-1))</f>
        <v/>
      </c>
      <c r="T21" t="str">
        <f t="shared" si="18"/>
        <v/>
      </c>
      <c r="U21" t="str">
        <f t="shared" si="19"/>
        <v/>
      </c>
      <c r="V21" t="str">
        <f t="shared" si="20"/>
        <v/>
      </c>
      <c r="W21" t="str">
        <f t="shared" si="21"/>
        <v/>
      </c>
      <c r="X21">
        <f t="shared" si="22"/>
        <v>0</v>
      </c>
      <c r="Y21" t="str">
        <f t="shared" si="23"/>
        <v/>
      </c>
      <c r="Z21" t="str">
        <f t="shared" si="24"/>
        <v/>
      </c>
      <c r="AA21" t="str">
        <f t="shared" si="25"/>
        <v/>
      </c>
      <c r="AB21" t="str">
        <f t="shared" si="26"/>
        <v/>
      </c>
      <c r="AC21" t="str">
        <f t="shared" si="27"/>
        <v/>
      </c>
      <c r="AD21" t="str">
        <f t="shared" si="28"/>
        <v/>
      </c>
      <c r="AE21" t="str">
        <f t="shared" si="29"/>
        <v/>
      </c>
      <c r="AF21" t="str">
        <f t="shared" si="30"/>
        <v/>
      </c>
      <c r="AG21" t="str">
        <f t="shared" si="31"/>
        <v/>
      </c>
    </row>
    <row r="22" spans="1:33" x14ac:dyDescent="0.25">
      <c r="A22" s="21"/>
      <c r="H22" t="str">
        <f t="shared" si="32"/>
        <v/>
      </c>
      <c r="I22" t="str">
        <f t="shared" si="33"/>
        <v/>
      </c>
      <c r="J22" t="str">
        <f t="shared" si="34"/>
        <v/>
      </c>
      <c r="K22" t="str">
        <f t="shared" si="35"/>
        <v/>
      </c>
      <c r="L22" t="str">
        <f t="shared" si="36"/>
        <v/>
      </c>
      <c r="M22" s="27"/>
      <c r="N22" s="17" t="str">
        <f t="shared" si="37"/>
        <v/>
      </c>
      <c r="O22" t="str">
        <f>IF(R22="","",_xlfn.XLOOKUP(R22,[2]Sheet2!B:B,[2]Sheet2!C:C))</f>
        <v/>
      </c>
      <c r="P22" t="str">
        <f t="shared" si="38"/>
        <v/>
      </c>
      <c r="S22" s="25" t="str">
        <f>IF(Sheet2!O22="","",--LEFT(Sheet2!O22,FIND("""",Sheet2!O22)-1))</f>
        <v/>
      </c>
      <c r="T22" t="str">
        <f t="shared" si="18"/>
        <v/>
      </c>
      <c r="U22" t="str">
        <f t="shared" si="19"/>
        <v/>
      </c>
      <c r="V22" t="str">
        <f t="shared" si="20"/>
        <v/>
      </c>
      <c r="W22" t="str">
        <f t="shared" si="21"/>
        <v/>
      </c>
      <c r="X22">
        <f t="shared" si="22"/>
        <v>0</v>
      </c>
      <c r="Y22" t="str">
        <f t="shared" si="23"/>
        <v/>
      </c>
      <c r="Z22" t="str">
        <f t="shared" si="24"/>
        <v/>
      </c>
      <c r="AA22" t="str">
        <f t="shared" si="25"/>
        <v/>
      </c>
      <c r="AB22" t="str">
        <f t="shared" si="26"/>
        <v/>
      </c>
      <c r="AC22" t="str">
        <f t="shared" si="27"/>
        <v/>
      </c>
      <c r="AD22" t="str">
        <f t="shared" si="28"/>
        <v/>
      </c>
      <c r="AE22" t="str">
        <f t="shared" si="29"/>
        <v/>
      </c>
      <c r="AF22" t="str">
        <f t="shared" si="30"/>
        <v/>
      </c>
      <c r="AG22" t="str">
        <f t="shared" si="31"/>
        <v/>
      </c>
    </row>
    <row r="23" spans="1:33" x14ac:dyDescent="0.25">
      <c r="A23" s="21"/>
      <c r="H23" t="str">
        <f t="shared" si="32"/>
        <v/>
      </c>
      <c r="I23" t="str">
        <f t="shared" si="33"/>
        <v/>
      </c>
      <c r="J23" t="str">
        <f t="shared" si="34"/>
        <v/>
      </c>
      <c r="K23" t="str">
        <f t="shared" si="35"/>
        <v/>
      </c>
      <c r="L23" t="str">
        <f t="shared" si="36"/>
        <v/>
      </c>
      <c r="M23" s="27"/>
      <c r="N23" s="17" t="str">
        <f t="shared" si="37"/>
        <v/>
      </c>
      <c r="O23" t="str">
        <f>IF(R23="","",_xlfn.XLOOKUP(R23,[2]Sheet2!B:B,[2]Sheet2!C:C))</f>
        <v/>
      </c>
      <c r="P23" t="str">
        <f t="shared" si="38"/>
        <v/>
      </c>
      <c r="S23" s="25" t="str">
        <f>IF(Sheet2!O23="","",--LEFT(Sheet2!O23,FIND("""",Sheet2!O23)-1))</f>
        <v/>
      </c>
      <c r="T23" t="str">
        <f t="shared" si="18"/>
        <v/>
      </c>
      <c r="U23" t="str">
        <f t="shared" si="19"/>
        <v/>
      </c>
      <c r="V23" t="str">
        <f t="shared" si="20"/>
        <v/>
      </c>
      <c r="W23" t="str">
        <f t="shared" si="21"/>
        <v/>
      </c>
      <c r="X23">
        <f t="shared" si="22"/>
        <v>0</v>
      </c>
      <c r="Y23" t="str">
        <f t="shared" si="23"/>
        <v/>
      </c>
      <c r="Z23" t="str">
        <f t="shared" si="24"/>
        <v/>
      </c>
      <c r="AA23" t="str">
        <f t="shared" si="25"/>
        <v/>
      </c>
      <c r="AB23" t="str">
        <f t="shared" si="26"/>
        <v/>
      </c>
      <c r="AC23" t="str">
        <f t="shared" si="27"/>
        <v/>
      </c>
      <c r="AD23" t="str">
        <f t="shared" si="28"/>
        <v/>
      </c>
      <c r="AE23" t="str">
        <f t="shared" si="29"/>
        <v/>
      </c>
      <c r="AF23" t="str">
        <f t="shared" si="30"/>
        <v/>
      </c>
      <c r="AG23" t="str">
        <f t="shared" si="31"/>
        <v/>
      </c>
    </row>
    <row r="24" spans="1:33" x14ac:dyDescent="0.25">
      <c r="A24" s="21"/>
      <c r="H24" t="str">
        <f t="shared" si="32"/>
        <v/>
      </c>
      <c r="I24" t="str">
        <f t="shared" si="33"/>
        <v/>
      </c>
      <c r="J24" t="str">
        <f t="shared" si="34"/>
        <v/>
      </c>
      <c r="K24" t="str">
        <f t="shared" si="35"/>
        <v/>
      </c>
      <c r="L24" t="str">
        <f t="shared" si="36"/>
        <v/>
      </c>
      <c r="M24" s="27"/>
      <c r="N24" s="17" t="str">
        <f t="shared" si="37"/>
        <v/>
      </c>
      <c r="O24" t="str">
        <f>IF(R24="","",_xlfn.XLOOKUP(R24,[2]Sheet2!B:B,[2]Sheet2!C:C))</f>
        <v/>
      </c>
      <c r="P24" t="str">
        <f t="shared" si="38"/>
        <v/>
      </c>
      <c r="S24" s="25" t="str">
        <f>IF(Sheet2!O24="","",--LEFT(Sheet2!O24,FIND("""",Sheet2!O24)-1))</f>
        <v/>
      </c>
      <c r="T24" t="str">
        <f t="shared" si="18"/>
        <v/>
      </c>
      <c r="U24" t="str">
        <f t="shared" si="19"/>
        <v/>
      </c>
      <c r="V24" t="str">
        <f t="shared" si="20"/>
        <v/>
      </c>
      <c r="W24" t="str">
        <f t="shared" si="21"/>
        <v/>
      </c>
      <c r="X24">
        <f t="shared" si="22"/>
        <v>0</v>
      </c>
      <c r="Y24" t="str">
        <f t="shared" si="23"/>
        <v/>
      </c>
      <c r="Z24" t="str">
        <f t="shared" si="24"/>
        <v/>
      </c>
      <c r="AA24" t="str">
        <f t="shared" si="25"/>
        <v/>
      </c>
      <c r="AB24" t="str">
        <f t="shared" si="26"/>
        <v/>
      </c>
      <c r="AC24" t="str">
        <f t="shared" si="27"/>
        <v/>
      </c>
      <c r="AD24" t="str">
        <f t="shared" si="28"/>
        <v/>
      </c>
      <c r="AE24" t="str">
        <f t="shared" si="29"/>
        <v/>
      </c>
      <c r="AF24" t="str">
        <f t="shared" si="30"/>
        <v/>
      </c>
      <c r="AG24" t="str">
        <f t="shared" si="31"/>
        <v/>
      </c>
    </row>
    <row r="25" spans="1:33" x14ac:dyDescent="0.25">
      <c r="A25" s="30"/>
      <c r="H25"/>
      <c r="I25"/>
      <c r="J25"/>
      <c r="K25"/>
      <c r="L25"/>
      <c r="M25" s="27"/>
      <c r="O25"/>
      <c r="P25"/>
      <c r="S25" s="25" t="str">
        <f>IF(Sheet2!O25="","",--LEFT(Sheet2!O25,FIND("""",Sheet2!O25)-1))</f>
        <v/>
      </c>
      <c r="T25" t="str">
        <f t="shared" si="18"/>
        <v/>
      </c>
      <c r="U25" t="str">
        <f t="shared" si="19"/>
        <v/>
      </c>
      <c r="V25" t="str">
        <f t="shared" si="20"/>
        <v/>
      </c>
      <c r="W25" t="str">
        <f t="shared" si="21"/>
        <v/>
      </c>
      <c r="X25">
        <f t="shared" si="22"/>
        <v>0</v>
      </c>
      <c r="Y25" t="str">
        <f t="shared" si="23"/>
        <v/>
      </c>
      <c r="Z25" t="str">
        <f t="shared" si="24"/>
        <v/>
      </c>
      <c r="AA25" t="str">
        <f t="shared" si="25"/>
        <v/>
      </c>
      <c r="AB25" t="str">
        <f t="shared" si="26"/>
        <v/>
      </c>
      <c r="AC25" t="str">
        <f t="shared" si="27"/>
        <v/>
      </c>
      <c r="AD25" t="str">
        <f t="shared" si="28"/>
        <v/>
      </c>
      <c r="AE25" t="str">
        <f t="shared" si="29"/>
        <v/>
      </c>
      <c r="AF25" t="str">
        <f t="shared" si="30"/>
        <v/>
      </c>
      <c r="AG25" t="str">
        <f t="shared" si="31"/>
        <v/>
      </c>
    </row>
    <row r="26" spans="1:33" x14ac:dyDescent="0.25">
      <c r="A26" s="30"/>
      <c r="H26"/>
      <c r="I26"/>
      <c r="J26"/>
      <c r="K26"/>
      <c r="L26"/>
      <c r="M26" s="27"/>
      <c r="O26"/>
      <c r="P26"/>
      <c r="S26" s="25" t="str">
        <f>IF(Sheet2!O26="","",--LEFT(Sheet2!O26,FIND("""",Sheet2!O26)-1))</f>
        <v/>
      </c>
      <c r="T26" t="str">
        <f t="shared" si="18"/>
        <v/>
      </c>
      <c r="U26" t="str">
        <f t="shared" si="19"/>
        <v/>
      </c>
      <c r="V26" t="str">
        <f t="shared" si="20"/>
        <v/>
      </c>
      <c r="W26" t="str">
        <f t="shared" si="21"/>
        <v/>
      </c>
      <c r="X26">
        <f t="shared" si="22"/>
        <v>0</v>
      </c>
      <c r="Y26" t="str">
        <f t="shared" si="23"/>
        <v/>
      </c>
      <c r="Z26" t="str">
        <f t="shared" si="24"/>
        <v/>
      </c>
      <c r="AA26" t="str">
        <f t="shared" si="25"/>
        <v/>
      </c>
      <c r="AB26" t="str">
        <f t="shared" si="26"/>
        <v/>
      </c>
      <c r="AC26" t="str">
        <f t="shared" si="27"/>
        <v/>
      </c>
      <c r="AD26" t="str">
        <f t="shared" si="28"/>
        <v/>
      </c>
      <c r="AE26" t="str">
        <f t="shared" si="29"/>
        <v/>
      </c>
      <c r="AF26" t="str">
        <f t="shared" si="30"/>
        <v/>
      </c>
      <c r="AG26" t="str">
        <f t="shared" si="31"/>
        <v/>
      </c>
    </row>
    <row r="27" spans="1:33" x14ac:dyDescent="0.25">
      <c r="A27" s="30"/>
      <c r="H27"/>
      <c r="I27"/>
      <c r="J27"/>
      <c r="K27"/>
      <c r="L27"/>
      <c r="M27" s="27"/>
      <c r="S27" s="25" t="str">
        <f>IF(Sheet2!O27="","",--LEFT(Sheet2!O27,FIND("""",Sheet2!O27)-1))</f>
        <v/>
      </c>
      <c r="T27" t="str">
        <f t="shared" si="18"/>
        <v/>
      </c>
      <c r="U27" t="str">
        <f t="shared" si="19"/>
        <v/>
      </c>
      <c r="V27" t="str">
        <f t="shared" si="20"/>
        <v/>
      </c>
      <c r="W27" t="str">
        <f t="shared" si="21"/>
        <v/>
      </c>
      <c r="X27">
        <f t="shared" si="22"/>
        <v>0</v>
      </c>
      <c r="Y27" t="str">
        <f t="shared" si="23"/>
        <v/>
      </c>
      <c r="Z27" t="str">
        <f t="shared" si="24"/>
        <v/>
      </c>
      <c r="AA27" t="str">
        <f t="shared" si="25"/>
        <v/>
      </c>
      <c r="AB27" t="str">
        <f t="shared" si="26"/>
        <v/>
      </c>
      <c r="AC27" t="str">
        <f t="shared" si="27"/>
        <v/>
      </c>
      <c r="AD27" t="str">
        <f t="shared" si="28"/>
        <v/>
      </c>
      <c r="AE27" t="str">
        <f t="shared" si="29"/>
        <v/>
      </c>
      <c r="AF27" t="str">
        <f t="shared" si="30"/>
        <v/>
      </c>
      <c r="AG27" t="str">
        <f t="shared" si="31"/>
        <v/>
      </c>
    </row>
    <row r="28" spans="1:33" x14ac:dyDescent="0.25">
      <c r="H28"/>
      <c r="I28"/>
      <c r="J28"/>
      <c r="K28"/>
      <c r="L28"/>
      <c r="M28" s="27"/>
      <c r="S28" s="25" t="str">
        <f>IF(Sheet2!O28="","",--LEFT(Sheet2!O28,FIND("""",Sheet2!O28)-1))</f>
        <v/>
      </c>
      <c r="T28" t="str">
        <f t="shared" si="18"/>
        <v/>
      </c>
      <c r="U28" t="str">
        <f t="shared" si="19"/>
        <v/>
      </c>
      <c r="V28" t="str">
        <f t="shared" si="20"/>
        <v/>
      </c>
      <c r="W28" t="str">
        <f t="shared" si="21"/>
        <v/>
      </c>
      <c r="X28">
        <f t="shared" si="22"/>
        <v>0</v>
      </c>
      <c r="Y28" t="str">
        <f t="shared" si="23"/>
        <v/>
      </c>
      <c r="Z28" t="str">
        <f t="shared" si="24"/>
        <v/>
      </c>
      <c r="AA28" t="str">
        <f t="shared" si="25"/>
        <v/>
      </c>
      <c r="AB28" t="str">
        <f t="shared" si="26"/>
        <v/>
      </c>
      <c r="AC28" t="str">
        <f t="shared" si="27"/>
        <v/>
      </c>
      <c r="AD28" t="str">
        <f t="shared" si="28"/>
        <v/>
      </c>
      <c r="AE28" t="str">
        <f t="shared" si="29"/>
        <v/>
      </c>
      <c r="AF28" t="str">
        <f t="shared" si="30"/>
        <v/>
      </c>
      <c r="AG28" t="str">
        <f t="shared" si="31"/>
        <v/>
      </c>
    </row>
    <row r="29" spans="1:33" x14ac:dyDescent="0.25">
      <c r="H29"/>
      <c r="I29"/>
      <c r="J29"/>
      <c r="K29"/>
      <c r="L29"/>
      <c r="M29" s="27"/>
      <c r="S29" s="25" t="str">
        <f>IF(Sheet2!O29="","",--LEFT(Sheet2!O29,FIND("""",Sheet2!O29)-1))</f>
        <v/>
      </c>
      <c r="T29" t="str">
        <f t="shared" si="18"/>
        <v/>
      </c>
      <c r="U29" t="str">
        <f t="shared" si="19"/>
        <v/>
      </c>
      <c r="V29" t="str">
        <f t="shared" si="20"/>
        <v/>
      </c>
      <c r="W29" t="str">
        <f t="shared" si="21"/>
        <v/>
      </c>
      <c r="X29">
        <f t="shared" si="22"/>
        <v>0</v>
      </c>
      <c r="Y29" t="str">
        <f t="shared" si="23"/>
        <v/>
      </c>
      <c r="Z29" t="str">
        <f t="shared" si="24"/>
        <v/>
      </c>
      <c r="AA29" t="str">
        <f t="shared" si="25"/>
        <v/>
      </c>
      <c r="AB29" t="str">
        <f t="shared" si="26"/>
        <v/>
      </c>
      <c r="AC29" t="str">
        <f t="shared" si="27"/>
        <v/>
      </c>
      <c r="AD29" t="str">
        <f t="shared" si="28"/>
        <v/>
      </c>
      <c r="AE29" t="str">
        <f t="shared" si="29"/>
        <v/>
      </c>
      <c r="AF29" t="str">
        <f t="shared" si="30"/>
        <v/>
      </c>
      <c r="AG29" t="str">
        <f t="shared" si="31"/>
        <v/>
      </c>
    </row>
    <row r="30" spans="1:33" x14ac:dyDescent="0.25">
      <c r="H30"/>
      <c r="I30"/>
      <c r="J30"/>
      <c r="K30"/>
      <c r="L30"/>
      <c r="M30" s="27"/>
      <c r="S30" s="25" t="str">
        <f>IF(Sheet2!O30="","",--LEFT(Sheet2!O30,FIND("""",Sheet2!O30)-1))</f>
        <v/>
      </c>
      <c r="T30" t="str">
        <f t="shared" si="18"/>
        <v/>
      </c>
      <c r="U30" t="str">
        <f t="shared" si="19"/>
        <v/>
      </c>
      <c r="V30" t="str">
        <f t="shared" si="20"/>
        <v/>
      </c>
      <c r="W30" t="str">
        <f t="shared" si="21"/>
        <v/>
      </c>
      <c r="X30">
        <f t="shared" si="22"/>
        <v>0</v>
      </c>
      <c r="Y30" t="str">
        <f t="shared" si="23"/>
        <v/>
      </c>
      <c r="Z30" t="str">
        <f t="shared" si="24"/>
        <v/>
      </c>
      <c r="AA30" t="str">
        <f t="shared" si="25"/>
        <v/>
      </c>
      <c r="AB30" t="str">
        <f t="shared" si="26"/>
        <v/>
      </c>
      <c r="AC30" t="str">
        <f t="shared" si="27"/>
        <v/>
      </c>
      <c r="AD30" t="str">
        <f t="shared" si="28"/>
        <v/>
      </c>
      <c r="AE30" t="str">
        <f t="shared" si="29"/>
        <v/>
      </c>
      <c r="AF30" t="str">
        <f t="shared" si="30"/>
        <v/>
      </c>
      <c r="AG30" t="str">
        <f t="shared" si="31"/>
        <v/>
      </c>
    </row>
    <row r="31" spans="1:33" x14ac:dyDescent="0.25">
      <c r="H31" t="str">
        <f t="shared" ref="H31:H66" si="39">IF(C31="","",B31-C31)</f>
        <v/>
      </c>
      <c r="I31" t="str">
        <f t="shared" ref="I31:I66" si="40">IF(H31="","",H31+0.5)</f>
        <v/>
      </c>
      <c r="J31" t="str">
        <f t="shared" ref="J31:J66" si="41">IF(H31="","",H31+0.67)</f>
        <v/>
      </c>
      <c r="K31" t="str">
        <f t="shared" ref="K31:K66" si="42">IF(H31="","",H31+0.83)</f>
        <v/>
      </c>
      <c r="L31" t="str">
        <f t="shared" ref="L31:L66" si="43">IF(H31="","",H31+1.17)</f>
        <v/>
      </c>
      <c r="M31" s="27" t="str">
        <f>IF(R31="","",_xlfn.XLOOKUP(R31,[2]Sheet4!B:B,[2]Sheet4!H:H))</f>
        <v/>
      </c>
      <c r="S31" s="25" t="str">
        <f>IF(Sheet2!O31="","",--LEFT(Sheet2!O31,FIND("""",Sheet2!O31)-1))</f>
        <v/>
      </c>
      <c r="T31" t="str">
        <f t="shared" si="18"/>
        <v/>
      </c>
      <c r="U31" t="str">
        <f t="shared" si="19"/>
        <v/>
      </c>
      <c r="V31" t="str">
        <f t="shared" si="20"/>
        <v/>
      </c>
      <c r="W31" t="str">
        <f t="shared" si="21"/>
        <v/>
      </c>
      <c r="X31">
        <f t="shared" si="22"/>
        <v>0</v>
      </c>
      <c r="Y31" t="str">
        <f t="shared" si="23"/>
        <v/>
      </c>
      <c r="Z31" t="str">
        <f t="shared" si="24"/>
        <v/>
      </c>
      <c r="AA31" t="str">
        <f t="shared" si="25"/>
        <v/>
      </c>
      <c r="AB31" t="str">
        <f t="shared" si="26"/>
        <v/>
      </c>
      <c r="AC31" t="str">
        <f t="shared" si="27"/>
        <v/>
      </c>
      <c r="AD31" t="str">
        <f t="shared" si="28"/>
        <v/>
      </c>
      <c r="AE31" t="str">
        <f t="shared" si="29"/>
        <v/>
      </c>
      <c r="AF31" t="str">
        <f t="shared" si="30"/>
        <v/>
      </c>
      <c r="AG31" t="str">
        <f t="shared" si="31"/>
        <v/>
      </c>
    </row>
    <row r="32" spans="1:33" x14ac:dyDescent="0.25">
      <c r="H32" t="str">
        <f t="shared" si="39"/>
        <v/>
      </c>
      <c r="I32" t="str">
        <f t="shared" si="40"/>
        <v/>
      </c>
      <c r="J32" t="str">
        <f t="shared" si="41"/>
        <v/>
      </c>
      <c r="K32" t="str">
        <f t="shared" si="42"/>
        <v/>
      </c>
      <c r="L32" t="str">
        <f t="shared" si="43"/>
        <v/>
      </c>
      <c r="M32" s="27" t="str">
        <f>IF(R32="","",_xlfn.XLOOKUP(R32,[2]Sheet4!B:B,[2]Sheet4!H:H))</f>
        <v/>
      </c>
      <c r="S32" s="25" t="str">
        <f>IF(Sheet2!O32="","",--LEFT(Sheet2!O32,FIND("""",Sheet2!O32)-1))</f>
        <v/>
      </c>
      <c r="T32" t="str">
        <f t="shared" si="18"/>
        <v/>
      </c>
      <c r="U32" t="str">
        <f t="shared" si="19"/>
        <v/>
      </c>
      <c r="V32" t="str">
        <f t="shared" si="20"/>
        <v/>
      </c>
      <c r="W32" t="str">
        <f t="shared" si="21"/>
        <v/>
      </c>
      <c r="X32">
        <f t="shared" si="22"/>
        <v>0</v>
      </c>
      <c r="Y32" t="str">
        <f t="shared" si="23"/>
        <v/>
      </c>
      <c r="Z32" t="str">
        <f t="shared" si="24"/>
        <v/>
      </c>
      <c r="AA32" t="str">
        <f t="shared" si="25"/>
        <v/>
      </c>
      <c r="AB32" t="str">
        <f t="shared" si="26"/>
        <v/>
      </c>
      <c r="AC32" t="str">
        <f t="shared" si="27"/>
        <v/>
      </c>
      <c r="AD32" t="str">
        <f t="shared" si="28"/>
        <v/>
      </c>
      <c r="AE32" t="str">
        <f t="shared" si="29"/>
        <v/>
      </c>
      <c r="AF32" t="str">
        <f t="shared" si="30"/>
        <v/>
      </c>
      <c r="AG32" t="str">
        <f t="shared" si="31"/>
        <v/>
      </c>
    </row>
    <row r="33" spans="8:33" x14ac:dyDescent="0.25">
      <c r="H33" t="str">
        <f t="shared" si="39"/>
        <v/>
      </c>
      <c r="I33" t="str">
        <f t="shared" si="40"/>
        <v/>
      </c>
      <c r="J33" t="str">
        <f t="shared" si="41"/>
        <v/>
      </c>
      <c r="K33" t="str">
        <f t="shared" si="42"/>
        <v/>
      </c>
      <c r="L33" t="str">
        <f t="shared" si="43"/>
        <v/>
      </c>
      <c r="M33" s="27" t="str">
        <f>IF(R33="","",_xlfn.XLOOKUP(R33,[2]Sheet4!B:B,[2]Sheet4!H:H))</f>
        <v/>
      </c>
      <c r="S33" s="25" t="str">
        <f>IF(Sheet2!O33="","",--LEFT(Sheet2!O33,FIND("""",Sheet2!O33)-1))</f>
        <v/>
      </c>
      <c r="T33" t="str">
        <f t="shared" si="18"/>
        <v/>
      </c>
      <c r="U33" t="str">
        <f t="shared" si="19"/>
        <v/>
      </c>
      <c r="V33" t="str">
        <f t="shared" si="20"/>
        <v/>
      </c>
      <c r="W33" t="str">
        <f t="shared" si="21"/>
        <v/>
      </c>
      <c r="X33">
        <f t="shared" si="22"/>
        <v>0</v>
      </c>
      <c r="Y33" t="str">
        <f t="shared" si="23"/>
        <v/>
      </c>
      <c r="Z33" t="str">
        <f t="shared" si="24"/>
        <v/>
      </c>
      <c r="AA33" t="str">
        <f t="shared" si="25"/>
        <v/>
      </c>
      <c r="AB33" t="str">
        <f t="shared" si="26"/>
        <v/>
      </c>
      <c r="AC33" t="str">
        <f t="shared" si="27"/>
        <v/>
      </c>
      <c r="AD33" t="str">
        <f t="shared" si="28"/>
        <v/>
      </c>
      <c r="AE33" t="str">
        <f t="shared" si="29"/>
        <v/>
      </c>
      <c r="AF33" t="str">
        <f t="shared" si="30"/>
        <v/>
      </c>
      <c r="AG33" t="str">
        <f t="shared" si="31"/>
        <v/>
      </c>
    </row>
    <row r="34" spans="8:33" x14ac:dyDescent="0.25">
      <c r="H34" t="str">
        <f t="shared" si="39"/>
        <v/>
      </c>
      <c r="I34" t="str">
        <f t="shared" si="40"/>
        <v/>
      </c>
      <c r="J34" t="str">
        <f t="shared" si="41"/>
        <v/>
      </c>
      <c r="K34" t="str">
        <f t="shared" si="42"/>
        <v/>
      </c>
      <c r="L34" t="str">
        <f t="shared" si="43"/>
        <v/>
      </c>
      <c r="M34" s="27" t="str">
        <f>IF(R34="","",_xlfn.XLOOKUP(R34,[2]Sheet4!B:B,[2]Sheet4!H:H))</f>
        <v/>
      </c>
      <c r="S34" s="25" t="str">
        <f>IF(Sheet2!O34="","",--LEFT(Sheet2!O34,FIND("""",Sheet2!O34)-1))</f>
        <v/>
      </c>
      <c r="T34" t="str">
        <f t="shared" si="18"/>
        <v/>
      </c>
      <c r="U34" t="str">
        <f t="shared" si="19"/>
        <v/>
      </c>
      <c r="V34" t="str">
        <f t="shared" si="20"/>
        <v/>
      </c>
      <c r="W34" t="str">
        <f t="shared" si="21"/>
        <v/>
      </c>
      <c r="X34">
        <f t="shared" si="22"/>
        <v>0</v>
      </c>
      <c r="Y34" t="str">
        <f t="shared" si="23"/>
        <v/>
      </c>
      <c r="Z34" t="str">
        <f t="shared" si="24"/>
        <v/>
      </c>
      <c r="AA34" t="str">
        <f t="shared" si="25"/>
        <v/>
      </c>
      <c r="AB34" t="str">
        <f t="shared" si="26"/>
        <v/>
      </c>
      <c r="AC34" t="str">
        <f t="shared" si="27"/>
        <v/>
      </c>
      <c r="AD34" t="str">
        <f t="shared" si="28"/>
        <v/>
      </c>
      <c r="AE34" t="str">
        <f t="shared" si="29"/>
        <v/>
      </c>
      <c r="AF34" t="str">
        <f t="shared" si="30"/>
        <v/>
      </c>
      <c r="AG34" t="str">
        <f t="shared" si="31"/>
        <v/>
      </c>
    </row>
    <row r="35" spans="8:33" x14ac:dyDescent="0.25">
      <c r="H35" t="str">
        <f t="shared" si="39"/>
        <v/>
      </c>
      <c r="I35" t="str">
        <f t="shared" si="40"/>
        <v/>
      </c>
      <c r="J35" t="str">
        <f t="shared" si="41"/>
        <v/>
      </c>
      <c r="K35" t="str">
        <f t="shared" si="42"/>
        <v/>
      </c>
      <c r="L35" t="str">
        <f t="shared" si="43"/>
        <v/>
      </c>
      <c r="M35" s="27" t="str">
        <f>IF(R35="","",_xlfn.XLOOKUP(R35,[2]Sheet4!B:B,[2]Sheet4!H:H))</f>
        <v/>
      </c>
      <c r="S35" s="25" t="str">
        <f>IF(Sheet2!O35="","",--LEFT(Sheet2!O35,FIND("""",Sheet2!O35)-1))</f>
        <v/>
      </c>
      <c r="T35" t="str">
        <f t="shared" si="18"/>
        <v/>
      </c>
      <c r="U35" t="str">
        <f t="shared" si="19"/>
        <v/>
      </c>
      <c r="V35" t="str">
        <f t="shared" si="20"/>
        <v/>
      </c>
      <c r="W35" t="str">
        <f t="shared" si="21"/>
        <v/>
      </c>
      <c r="X35">
        <f t="shared" si="22"/>
        <v>0</v>
      </c>
      <c r="Y35" t="str">
        <f t="shared" si="23"/>
        <v/>
      </c>
      <c r="Z35" t="str">
        <f t="shared" si="24"/>
        <v/>
      </c>
      <c r="AA35" t="str">
        <f t="shared" si="25"/>
        <v/>
      </c>
      <c r="AB35" t="str">
        <f t="shared" si="26"/>
        <v/>
      </c>
      <c r="AC35" t="str">
        <f t="shared" si="27"/>
        <v/>
      </c>
      <c r="AD35" t="str">
        <f t="shared" si="28"/>
        <v/>
      </c>
      <c r="AE35" t="str">
        <f t="shared" si="29"/>
        <v/>
      </c>
      <c r="AF35" t="str">
        <f t="shared" si="30"/>
        <v/>
      </c>
      <c r="AG35" t="str">
        <f t="shared" si="31"/>
        <v/>
      </c>
    </row>
    <row r="36" spans="8:33" x14ac:dyDescent="0.25">
      <c r="H36" t="str">
        <f t="shared" si="39"/>
        <v/>
      </c>
      <c r="I36" t="str">
        <f t="shared" si="40"/>
        <v/>
      </c>
      <c r="J36" t="str">
        <f t="shared" si="41"/>
        <v/>
      </c>
      <c r="K36" t="str">
        <f t="shared" si="42"/>
        <v/>
      </c>
      <c r="L36" t="str">
        <f t="shared" si="43"/>
        <v/>
      </c>
      <c r="M36" s="27" t="str">
        <f>IF(R36="","",_xlfn.XLOOKUP(R36,[2]Sheet4!B:B,[2]Sheet4!H:H))</f>
        <v/>
      </c>
      <c r="S36" s="25" t="str">
        <f>IF(Sheet2!O36="","",--LEFT(Sheet2!O36,FIND("""",Sheet2!O36)-1))</f>
        <v/>
      </c>
      <c r="T36" t="str">
        <f t="shared" si="18"/>
        <v/>
      </c>
      <c r="U36" t="str">
        <f t="shared" si="19"/>
        <v/>
      </c>
      <c r="V36" t="str">
        <f t="shared" si="20"/>
        <v/>
      </c>
      <c r="W36" t="str">
        <f t="shared" si="21"/>
        <v/>
      </c>
      <c r="X36">
        <f t="shared" si="22"/>
        <v>0</v>
      </c>
      <c r="Y36" t="str">
        <f t="shared" si="23"/>
        <v/>
      </c>
      <c r="Z36" t="str">
        <f t="shared" si="24"/>
        <v/>
      </c>
      <c r="AA36" t="str">
        <f t="shared" si="25"/>
        <v/>
      </c>
      <c r="AB36" t="str">
        <f t="shared" si="26"/>
        <v/>
      </c>
      <c r="AC36" t="str">
        <f t="shared" si="27"/>
        <v/>
      </c>
      <c r="AD36" t="str">
        <f t="shared" si="28"/>
        <v/>
      </c>
      <c r="AE36" t="str">
        <f t="shared" si="29"/>
        <v/>
      </c>
      <c r="AF36" t="str">
        <f t="shared" si="30"/>
        <v/>
      </c>
      <c r="AG36" t="str">
        <f t="shared" si="31"/>
        <v/>
      </c>
    </row>
    <row r="37" spans="8:33" x14ac:dyDescent="0.25">
      <c r="H37" t="str">
        <f t="shared" si="39"/>
        <v/>
      </c>
      <c r="I37" t="str">
        <f t="shared" si="40"/>
        <v/>
      </c>
      <c r="J37" t="str">
        <f t="shared" si="41"/>
        <v/>
      </c>
      <c r="K37" t="str">
        <f t="shared" si="42"/>
        <v/>
      </c>
      <c r="L37" t="str">
        <f t="shared" si="43"/>
        <v/>
      </c>
      <c r="M37" s="27" t="str">
        <f>IF(R37="","",_xlfn.XLOOKUP(R37,[2]Sheet4!B:B,[2]Sheet4!H:H))</f>
        <v/>
      </c>
      <c r="S37" s="25" t="str">
        <f>IF(Sheet2!O37="","",--LEFT(Sheet2!O37,FIND("""",Sheet2!O37)-1))</f>
        <v/>
      </c>
      <c r="T37" t="str">
        <f t="shared" si="18"/>
        <v/>
      </c>
      <c r="U37" t="str">
        <f t="shared" si="19"/>
        <v/>
      </c>
      <c r="V37" t="str">
        <f t="shared" si="20"/>
        <v/>
      </c>
      <c r="W37" t="str">
        <f t="shared" si="21"/>
        <v/>
      </c>
      <c r="X37">
        <f t="shared" si="22"/>
        <v>0</v>
      </c>
      <c r="Y37" t="str">
        <f t="shared" si="23"/>
        <v/>
      </c>
      <c r="Z37" t="str">
        <f t="shared" si="24"/>
        <v/>
      </c>
      <c r="AA37" t="str">
        <f t="shared" si="25"/>
        <v/>
      </c>
      <c r="AB37" t="str">
        <f t="shared" si="26"/>
        <v/>
      </c>
      <c r="AC37" t="str">
        <f t="shared" si="27"/>
        <v/>
      </c>
      <c r="AD37" t="str">
        <f t="shared" si="28"/>
        <v/>
      </c>
      <c r="AE37" t="str">
        <f t="shared" si="29"/>
        <v/>
      </c>
      <c r="AF37" t="str">
        <f t="shared" si="30"/>
        <v/>
      </c>
      <c r="AG37" t="str">
        <f t="shared" si="31"/>
        <v/>
      </c>
    </row>
    <row r="38" spans="8:33" x14ac:dyDescent="0.25">
      <c r="H38" t="str">
        <f t="shared" si="39"/>
        <v/>
      </c>
      <c r="I38" t="str">
        <f t="shared" si="40"/>
        <v/>
      </c>
      <c r="J38" t="str">
        <f t="shared" si="41"/>
        <v/>
      </c>
      <c r="K38" t="str">
        <f t="shared" si="42"/>
        <v/>
      </c>
      <c r="L38" t="str">
        <f t="shared" si="43"/>
        <v/>
      </c>
      <c r="M38" s="27" t="str">
        <f>IF(R38="","",_xlfn.XLOOKUP(R38,[2]Sheet4!B:B,[2]Sheet4!H:H))</f>
        <v/>
      </c>
      <c r="S38" s="25" t="str">
        <f>IF(Sheet2!O38="","",--LEFT(Sheet2!O38,FIND("""",Sheet2!O38)-1))</f>
        <v/>
      </c>
      <c r="T38" t="str">
        <f t="shared" si="18"/>
        <v/>
      </c>
      <c r="U38" t="str">
        <f t="shared" si="19"/>
        <v/>
      </c>
      <c r="V38" t="str">
        <f t="shared" si="20"/>
        <v/>
      </c>
      <c r="W38" t="str">
        <f t="shared" si="21"/>
        <v/>
      </c>
      <c r="X38">
        <f t="shared" si="22"/>
        <v>0</v>
      </c>
      <c r="Y38" t="str">
        <f t="shared" si="23"/>
        <v/>
      </c>
      <c r="Z38" t="str">
        <f t="shared" si="24"/>
        <v/>
      </c>
      <c r="AA38" t="str">
        <f t="shared" si="25"/>
        <v/>
      </c>
      <c r="AB38" t="str">
        <f t="shared" si="26"/>
        <v/>
      </c>
      <c r="AC38" t="str">
        <f t="shared" si="27"/>
        <v/>
      </c>
      <c r="AD38" t="str">
        <f t="shared" si="28"/>
        <v/>
      </c>
      <c r="AE38" t="str">
        <f t="shared" si="29"/>
        <v/>
      </c>
      <c r="AF38" t="str">
        <f t="shared" si="30"/>
        <v/>
      </c>
      <c r="AG38" t="str">
        <f t="shared" si="31"/>
        <v/>
      </c>
    </row>
    <row r="39" spans="8:33" x14ac:dyDescent="0.25">
      <c r="H39" t="str">
        <f t="shared" si="39"/>
        <v/>
      </c>
      <c r="I39" t="str">
        <f t="shared" si="40"/>
        <v/>
      </c>
      <c r="J39" t="str">
        <f t="shared" si="41"/>
        <v/>
      </c>
      <c r="K39" t="str">
        <f t="shared" si="42"/>
        <v/>
      </c>
      <c r="L39" t="str">
        <f t="shared" si="43"/>
        <v/>
      </c>
      <c r="M39" s="27" t="str">
        <f>IF(R39="","",_xlfn.XLOOKUP(R39,[2]Sheet4!B:B,[2]Sheet4!H:H))</f>
        <v/>
      </c>
      <c r="S39" s="25" t="str">
        <f>IF(Sheet2!O39="","",--LEFT(Sheet2!O39,FIND("""",Sheet2!O39)-1))</f>
        <v/>
      </c>
      <c r="T39" t="str">
        <f t="shared" si="18"/>
        <v/>
      </c>
      <c r="U39" t="str">
        <f t="shared" si="19"/>
        <v/>
      </c>
      <c r="V39" t="str">
        <f t="shared" si="20"/>
        <v/>
      </c>
      <c r="W39" t="str">
        <f t="shared" si="21"/>
        <v/>
      </c>
      <c r="X39">
        <f t="shared" si="22"/>
        <v>0</v>
      </c>
      <c r="Y39" t="str">
        <f t="shared" si="23"/>
        <v/>
      </c>
      <c r="Z39" t="str">
        <f t="shared" si="24"/>
        <v/>
      </c>
      <c r="AA39" t="str">
        <f t="shared" si="25"/>
        <v/>
      </c>
      <c r="AB39" t="str">
        <f t="shared" si="26"/>
        <v/>
      </c>
      <c r="AC39" t="str">
        <f t="shared" si="27"/>
        <v/>
      </c>
      <c r="AD39" t="str">
        <f t="shared" si="28"/>
        <v/>
      </c>
      <c r="AE39" t="str">
        <f t="shared" si="29"/>
        <v/>
      </c>
      <c r="AF39" t="str">
        <f t="shared" si="30"/>
        <v/>
      </c>
      <c r="AG39" t="str">
        <f t="shared" si="31"/>
        <v/>
      </c>
    </row>
    <row r="40" spans="8:33" x14ac:dyDescent="0.25">
      <c r="H40" t="str">
        <f t="shared" si="39"/>
        <v/>
      </c>
      <c r="I40" t="str">
        <f t="shared" si="40"/>
        <v/>
      </c>
      <c r="J40" t="str">
        <f t="shared" si="41"/>
        <v/>
      </c>
      <c r="K40" t="str">
        <f t="shared" si="42"/>
        <v/>
      </c>
      <c r="L40" t="str">
        <f t="shared" si="43"/>
        <v/>
      </c>
      <c r="M40" s="27" t="str">
        <f>IF(R40="","",_xlfn.XLOOKUP(R40,[2]Sheet4!B:B,[2]Sheet4!H:H))</f>
        <v/>
      </c>
      <c r="O40" s="26"/>
      <c r="S40" s="25" t="str">
        <f>IF(Sheet2!O40="","",--LEFT(Sheet2!O40,FIND("""",Sheet2!O40)-1))</f>
        <v/>
      </c>
      <c r="T40" t="str">
        <f t="shared" si="18"/>
        <v/>
      </c>
      <c r="U40" t="str">
        <f t="shared" si="19"/>
        <v/>
      </c>
      <c r="V40" t="str">
        <f t="shared" si="20"/>
        <v/>
      </c>
      <c r="W40" t="str">
        <f t="shared" si="21"/>
        <v/>
      </c>
      <c r="X40">
        <f t="shared" si="22"/>
        <v>0</v>
      </c>
      <c r="Y40" t="str">
        <f t="shared" si="23"/>
        <v/>
      </c>
      <c r="Z40" t="str">
        <f t="shared" si="24"/>
        <v/>
      </c>
      <c r="AA40" t="str">
        <f t="shared" si="25"/>
        <v/>
      </c>
      <c r="AB40" t="str">
        <f t="shared" si="26"/>
        <v/>
      </c>
      <c r="AC40" t="str">
        <f t="shared" si="27"/>
        <v/>
      </c>
      <c r="AD40" t="str">
        <f t="shared" si="28"/>
        <v/>
      </c>
      <c r="AE40" t="str">
        <f t="shared" si="29"/>
        <v/>
      </c>
      <c r="AF40" t="str">
        <f t="shared" si="30"/>
        <v/>
      </c>
      <c r="AG40" t="str">
        <f t="shared" si="31"/>
        <v/>
      </c>
    </row>
    <row r="41" spans="8:33" x14ac:dyDescent="0.25">
      <c r="H41" t="str">
        <f t="shared" si="39"/>
        <v/>
      </c>
      <c r="I41" t="str">
        <f t="shared" si="40"/>
        <v/>
      </c>
      <c r="J41" t="str">
        <f t="shared" si="41"/>
        <v/>
      </c>
      <c r="K41" t="str">
        <f t="shared" si="42"/>
        <v/>
      </c>
      <c r="L41" t="str">
        <f t="shared" si="43"/>
        <v/>
      </c>
      <c r="M41" s="27" t="str">
        <f>IF(R41="","",_xlfn.XLOOKUP(R41,[2]Sheet4!B:B,[2]Sheet4!H:H))</f>
        <v/>
      </c>
      <c r="S41" s="25" t="str">
        <f>IF(Sheet2!O41="","",--LEFT(Sheet2!O41,FIND("""",Sheet2!O41)-1))</f>
        <v/>
      </c>
      <c r="T41" t="str">
        <f t="shared" si="18"/>
        <v/>
      </c>
      <c r="U41" t="str">
        <f t="shared" si="19"/>
        <v/>
      </c>
      <c r="V41" t="str">
        <f t="shared" si="20"/>
        <v/>
      </c>
      <c r="W41" t="str">
        <f t="shared" si="21"/>
        <v/>
      </c>
      <c r="X41">
        <f t="shared" si="22"/>
        <v>0</v>
      </c>
      <c r="Y41" t="str">
        <f t="shared" si="23"/>
        <v/>
      </c>
      <c r="Z41" t="str">
        <f t="shared" si="24"/>
        <v/>
      </c>
      <c r="AA41" t="str">
        <f t="shared" si="25"/>
        <v/>
      </c>
      <c r="AB41" t="str">
        <f t="shared" si="26"/>
        <v/>
      </c>
      <c r="AC41" t="str">
        <f t="shared" si="27"/>
        <v/>
      </c>
      <c r="AD41" t="str">
        <f t="shared" si="28"/>
        <v/>
      </c>
      <c r="AE41" t="str">
        <f t="shared" si="29"/>
        <v/>
      </c>
      <c r="AF41" t="str">
        <f t="shared" si="30"/>
        <v/>
      </c>
      <c r="AG41" t="str">
        <f t="shared" si="31"/>
        <v/>
      </c>
    </row>
    <row r="42" spans="8:33" x14ac:dyDescent="0.25">
      <c r="H42" t="str">
        <f t="shared" si="39"/>
        <v/>
      </c>
      <c r="I42" t="str">
        <f t="shared" si="40"/>
        <v/>
      </c>
      <c r="J42" t="str">
        <f t="shared" si="41"/>
        <v/>
      </c>
      <c r="K42" t="str">
        <f t="shared" si="42"/>
        <v/>
      </c>
      <c r="L42" t="str">
        <f t="shared" si="43"/>
        <v/>
      </c>
      <c r="M42" s="27" t="str">
        <f>IF(R42="","",_xlfn.XLOOKUP(R42,[2]Sheet4!B:B,[2]Sheet4!H:H))</f>
        <v/>
      </c>
      <c r="S42" s="25" t="str">
        <f>IF(Sheet2!O42="","",--LEFT(Sheet2!O42,FIND("""",Sheet2!O42)-1))</f>
        <v/>
      </c>
      <c r="T42" t="str">
        <f t="shared" si="18"/>
        <v/>
      </c>
      <c r="U42" t="str">
        <f t="shared" si="19"/>
        <v/>
      </c>
      <c r="V42" t="str">
        <f t="shared" si="20"/>
        <v/>
      </c>
      <c r="W42" t="str">
        <f t="shared" si="21"/>
        <v/>
      </c>
      <c r="X42">
        <f t="shared" si="22"/>
        <v>0</v>
      </c>
      <c r="Y42" t="str">
        <f t="shared" si="23"/>
        <v/>
      </c>
      <c r="Z42" t="str">
        <f t="shared" si="24"/>
        <v/>
      </c>
      <c r="AA42" t="str">
        <f t="shared" si="25"/>
        <v/>
      </c>
      <c r="AB42" t="str">
        <f t="shared" si="26"/>
        <v/>
      </c>
      <c r="AC42" t="str">
        <f t="shared" si="27"/>
        <v/>
      </c>
      <c r="AD42" t="str">
        <f t="shared" si="28"/>
        <v/>
      </c>
      <c r="AE42" t="str">
        <f t="shared" si="29"/>
        <v/>
      </c>
      <c r="AF42" t="str">
        <f t="shared" si="30"/>
        <v/>
      </c>
      <c r="AG42" t="str">
        <f t="shared" si="31"/>
        <v/>
      </c>
    </row>
    <row r="43" spans="8:33" x14ac:dyDescent="0.25">
      <c r="H43" t="str">
        <f t="shared" si="39"/>
        <v/>
      </c>
      <c r="I43" t="str">
        <f t="shared" si="40"/>
        <v/>
      </c>
      <c r="J43" t="str">
        <f t="shared" si="41"/>
        <v/>
      </c>
      <c r="K43" t="str">
        <f t="shared" si="42"/>
        <v/>
      </c>
      <c r="L43" t="str">
        <f t="shared" si="43"/>
        <v/>
      </c>
      <c r="M43" s="27" t="str">
        <f>IF(R43="","",_xlfn.XLOOKUP(R43,[2]Sheet4!B:B,[2]Sheet4!H:H))</f>
        <v/>
      </c>
      <c r="S43" s="25" t="str">
        <f>IF(Sheet2!O43="","",--LEFT(Sheet2!O43,FIND("""",Sheet2!O43)-1))</f>
        <v/>
      </c>
      <c r="T43" t="str">
        <f t="shared" si="18"/>
        <v/>
      </c>
      <c r="U43" t="str">
        <f t="shared" si="19"/>
        <v/>
      </c>
      <c r="V43" t="str">
        <f t="shared" si="20"/>
        <v/>
      </c>
      <c r="W43" t="str">
        <f t="shared" si="21"/>
        <v/>
      </c>
      <c r="X43">
        <f t="shared" si="22"/>
        <v>0</v>
      </c>
      <c r="Y43" t="str">
        <f t="shared" si="23"/>
        <v/>
      </c>
      <c r="Z43" t="str">
        <f t="shared" si="24"/>
        <v/>
      </c>
      <c r="AA43" t="str">
        <f t="shared" si="25"/>
        <v/>
      </c>
      <c r="AB43" t="str">
        <f t="shared" si="26"/>
        <v/>
      </c>
      <c r="AC43" t="str">
        <f t="shared" si="27"/>
        <v/>
      </c>
      <c r="AD43" t="str">
        <f t="shared" si="28"/>
        <v/>
      </c>
      <c r="AE43" t="str">
        <f t="shared" si="29"/>
        <v/>
      </c>
      <c r="AF43" t="str">
        <f t="shared" si="30"/>
        <v/>
      </c>
      <c r="AG43" t="str">
        <f t="shared" si="31"/>
        <v/>
      </c>
    </row>
    <row r="44" spans="8:33" x14ac:dyDescent="0.25">
      <c r="H44" t="str">
        <f t="shared" si="39"/>
        <v/>
      </c>
      <c r="I44" t="str">
        <f t="shared" si="40"/>
        <v/>
      </c>
      <c r="J44" t="str">
        <f t="shared" si="41"/>
        <v/>
      </c>
      <c r="K44" t="str">
        <f t="shared" si="42"/>
        <v/>
      </c>
      <c r="L44" t="str">
        <f t="shared" si="43"/>
        <v/>
      </c>
      <c r="M44" s="27" t="str">
        <f>IF(R44="","",_xlfn.XLOOKUP(R44,[2]Sheet4!B:B,[2]Sheet4!H:H))</f>
        <v/>
      </c>
      <c r="S44" s="25" t="str">
        <f>IF(Sheet2!O44="","",--LEFT(Sheet2!O44,FIND("""",Sheet2!O44)-1))</f>
        <v/>
      </c>
      <c r="T44" t="str">
        <f t="shared" si="18"/>
        <v/>
      </c>
      <c r="U44" t="str">
        <f t="shared" si="19"/>
        <v/>
      </c>
      <c r="V44" t="str">
        <f t="shared" si="20"/>
        <v/>
      </c>
      <c r="W44" t="str">
        <f t="shared" si="21"/>
        <v/>
      </c>
      <c r="X44">
        <f t="shared" si="22"/>
        <v>0</v>
      </c>
      <c r="Y44" t="str">
        <f t="shared" si="23"/>
        <v/>
      </c>
      <c r="Z44" t="str">
        <f t="shared" si="24"/>
        <v/>
      </c>
      <c r="AA44" t="str">
        <f t="shared" si="25"/>
        <v/>
      </c>
      <c r="AB44" t="str">
        <f t="shared" si="26"/>
        <v/>
      </c>
      <c r="AC44" t="str">
        <f t="shared" si="27"/>
        <v/>
      </c>
      <c r="AD44" t="str">
        <f t="shared" si="28"/>
        <v/>
      </c>
      <c r="AE44" t="str">
        <f t="shared" si="29"/>
        <v/>
      </c>
      <c r="AF44" t="str">
        <f t="shared" si="30"/>
        <v/>
      </c>
      <c r="AG44" t="str">
        <f t="shared" si="31"/>
        <v/>
      </c>
    </row>
    <row r="45" spans="8:33" x14ac:dyDescent="0.25">
      <c r="H45" t="str">
        <f t="shared" si="39"/>
        <v/>
      </c>
      <c r="I45" t="str">
        <f t="shared" si="40"/>
        <v/>
      </c>
      <c r="J45" t="str">
        <f t="shared" si="41"/>
        <v/>
      </c>
      <c r="K45" t="str">
        <f t="shared" si="42"/>
        <v/>
      </c>
      <c r="L45" t="str">
        <f t="shared" si="43"/>
        <v/>
      </c>
      <c r="M45" s="27" t="str">
        <f>IF(R45="","",_xlfn.XLOOKUP(R45,[2]Sheet4!B:B,[2]Sheet4!H:H))</f>
        <v/>
      </c>
      <c r="S45" s="25" t="str">
        <f>IF(Sheet2!O45="","",--LEFT(Sheet2!O45,FIND("""",Sheet2!O45)-1))</f>
        <v/>
      </c>
      <c r="T45" t="str">
        <f t="shared" si="18"/>
        <v/>
      </c>
      <c r="U45" t="str">
        <f t="shared" si="19"/>
        <v/>
      </c>
      <c r="V45" t="str">
        <f t="shared" si="20"/>
        <v/>
      </c>
      <c r="W45" t="str">
        <f t="shared" si="21"/>
        <v/>
      </c>
      <c r="X45">
        <f t="shared" si="22"/>
        <v>0</v>
      </c>
      <c r="Y45" t="str">
        <f t="shared" si="23"/>
        <v/>
      </c>
      <c r="Z45" t="str">
        <f t="shared" si="24"/>
        <v/>
      </c>
      <c r="AA45" t="str">
        <f t="shared" si="25"/>
        <v/>
      </c>
      <c r="AB45" t="str">
        <f t="shared" si="26"/>
        <v/>
      </c>
      <c r="AC45" t="str">
        <f t="shared" si="27"/>
        <v/>
      </c>
      <c r="AD45" t="str">
        <f t="shared" si="28"/>
        <v/>
      </c>
      <c r="AE45" t="str">
        <f t="shared" si="29"/>
        <v/>
      </c>
      <c r="AF45" t="str">
        <f t="shared" si="30"/>
        <v/>
      </c>
      <c r="AG45" t="str">
        <f t="shared" si="31"/>
        <v/>
      </c>
    </row>
    <row r="46" spans="8:33" x14ac:dyDescent="0.25">
      <c r="H46" t="str">
        <f t="shared" si="39"/>
        <v/>
      </c>
      <c r="I46" t="str">
        <f t="shared" si="40"/>
        <v/>
      </c>
      <c r="J46" t="str">
        <f t="shared" si="41"/>
        <v/>
      </c>
      <c r="K46" t="str">
        <f t="shared" si="42"/>
        <v/>
      </c>
      <c r="L46" t="str">
        <f t="shared" si="43"/>
        <v/>
      </c>
      <c r="M46" s="27" t="str">
        <f>IF(R46="","",_xlfn.XLOOKUP(R46,[2]Sheet4!B:B,[2]Sheet4!H:H))</f>
        <v/>
      </c>
      <c r="S46" s="25" t="str">
        <f>IF(Sheet2!O46="","",--LEFT(Sheet2!O46,FIND("""",Sheet2!O46)-1))</f>
        <v/>
      </c>
    </row>
    <row r="47" spans="8:33" x14ac:dyDescent="0.25">
      <c r="H47" t="str">
        <f t="shared" si="39"/>
        <v/>
      </c>
      <c r="I47" t="str">
        <f t="shared" si="40"/>
        <v/>
      </c>
      <c r="J47" t="str">
        <f t="shared" si="41"/>
        <v/>
      </c>
      <c r="K47" t="str">
        <f t="shared" si="42"/>
        <v/>
      </c>
      <c r="L47" t="str">
        <f t="shared" si="43"/>
        <v/>
      </c>
      <c r="M47" s="27" t="str">
        <f>IF(R47="","",_xlfn.XLOOKUP(R47,[2]Sheet4!B:B,[2]Sheet4!H:H))</f>
        <v/>
      </c>
      <c r="S47" s="25" t="str">
        <f>IF(Sheet2!O47="","",--LEFT(Sheet2!O47,FIND("""",Sheet2!O47)-1))</f>
        <v/>
      </c>
    </row>
    <row r="48" spans="8:33" x14ac:dyDescent="0.25">
      <c r="H48" t="str">
        <f t="shared" si="39"/>
        <v/>
      </c>
      <c r="I48" t="str">
        <f t="shared" si="40"/>
        <v/>
      </c>
      <c r="J48" t="str">
        <f t="shared" si="41"/>
        <v/>
      </c>
      <c r="K48" t="str">
        <f t="shared" si="42"/>
        <v/>
      </c>
      <c r="L48" t="str">
        <f t="shared" si="43"/>
        <v/>
      </c>
      <c r="M48" s="27" t="str">
        <f>IF(R48="","",_xlfn.XLOOKUP(R48,[2]Sheet4!B:B,[2]Sheet4!H:H))</f>
        <v/>
      </c>
      <c r="S48" s="25" t="str">
        <f>IF(Sheet2!O48="","",--LEFT(Sheet2!O48,FIND("""",Sheet2!O48)-1))</f>
        <v/>
      </c>
    </row>
    <row r="49" spans="8:19" x14ac:dyDescent="0.25">
      <c r="H49" t="str">
        <f t="shared" si="39"/>
        <v/>
      </c>
      <c r="I49" t="str">
        <f t="shared" si="40"/>
        <v/>
      </c>
      <c r="J49" t="str">
        <f t="shared" si="41"/>
        <v/>
      </c>
      <c r="K49" t="str">
        <f t="shared" si="42"/>
        <v/>
      </c>
      <c r="L49" t="str">
        <f t="shared" si="43"/>
        <v/>
      </c>
      <c r="M49" s="27" t="str">
        <f>IF(R49="","",_xlfn.XLOOKUP(R49,[2]Sheet4!B:B,[2]Sheet4!H:H))</f>
        <v/>
      </c>
      <c r="S49" s="25" t="str">
        <f>IF(Sheet2!O49="","",--LEFT(Sheet2!O49,FIND("""",Sheet2!O49)-1))</f>
        <v/>
      </c>
    </row>
    <row r="50" spans="8:19" x14ac:dyDescent="0.25">
      <c r="H50" t="str">
        <f t="shared" si="39"/>
        <v/>
      </c>
      <c r="I50" t="str">
        <f t="shared" si="40"/>
        <v/>
      </c>
      <c r="J50" t="str">
        <f t="shared" si="41"/>
        <v/>
      </c>
      <c r="K50" t="str">
        <f t="shared" si="42"/>
        <v/>
      </c>
      <c r="L50" t="str">
        <f t="shared" si="43"/>
        <v/>
      </c>
      <c r="M50" s="27" t="str">
        <f>IF(R50="","",_xlfn.XLOOKUP(R50,[2]Sheet4!B:B,[2]Sheet4!H:H))</f>
        <v/>
      </c>
      <c r="S50" s="25" t="str">
        <f>IF(Sheet2!O50="","",--LEFT(Sheet2!O50,FIND("""",Sheet2!O50)-1))</f>
        <v/>
      </c>
    </row>
    <row r="51" spans="8:19" x14ac:dyDescent="0.25">
      <c r="H51" t="str">
        <f t="shared" si="39"/>
        <v/>
      </c>
      <c r="I51" t="str">
        <f t="shared" si="40"/>
        <v/>
      </c>
      <c r="J51" t="str">
        <f t="shared" si="41"/>
        <v/>
      </c>
      <c r="K51" t="str">
        <f t="shared" si="42"/>
        <v/>
      </c>
      <c r="L51" t="str">
        <f t="shared" si="43"/>
        <v/>
      </c>
      <c r="M51" s="27" t="str">
        <f>IF(R51="","",_xlfn.XLOOKUP(R51,[2]Sheet4!B:B,[2]Sheet4!H:H))</f>
        <v/>
      </c>
      <c r="S51" s="25" t="str">
        <f>IF(Sheet2!O51="","",--LEFT(Sheet2!O51,FIND("""",Sheet2!O51)-1))</f>
        <v/>
      </c>
    </row>
    <row r="52" spans="8:19" x14ac:dyDescent="0.25">
      <c r="H52" t="str">
        <f t="shared" si="39"/>
        <v/>
      </c>
      <c r="I52" t="str">
        <f t="shared" si="40"/>
        <v/>
      </c>
      <c r="J52" t="str">
        <f t="shared" si="41"/>
        <v/>
      </c>
      <c r="K52" t="str">
        <f t="shared" si="42"/>
        <v/>
      </c>
      <c r="L52" t="str">
        <f t="shared" si="43"/>
        <v/>
      </c>
      <c r="M52" s="27" t="str">
        <f>IF(R52="","",_xlfn.XLOOKUP(R52,[2]Sheet4!B:B,[2]Sheet4!H:H))</f>
        <v/>
      </c>
      <c r="S52" s="25" t="str">
        <f>IF(Sheet2!O52="","",--LEFT(Sheet2!O52,FIND("""",Sheet2!O52)-1))</f>
        <v/>
      </c>
    </row>
    <row r="53" spans="8:19" x14ac:dyDescent="0.25">
      <c r="H53" t="str">
        <f t="shared" si="39"/>
        <v/>
      </c>
      <c r="I53" t="str">
        <f t="shared" si="40"/>
        <v/>
      </c>
      <c r="J53" t="str">
        <f t="shared" si="41"/>
        <v/>
      </c>
      <c r="K53" t="str">
        <f t="shared" si="42"/>
        <v/>
      </c>
      <c r="L53" t="str">
        <f t="shared" si="43"/>
        <v/>
      </c>
      <c r="M53" s="27" t="str">
        <f>IF(R53="","",_xlfn.XLOOKUP(R53,[2]Sheet4!B:B,[2]Sheet4!H:H))</f>
        <v/>
      </c>
      <c r="S53" s="25" t="str">
        <f>IF(Sheet2!O53="","",--LEFT(Sheet2!O53,FIND("""",Sheet2!O53)-1))</f>
        <v/>
      </c>
    </row>
    <row r="54" spans="8:19" x14ac:dyDescent="0.25">
      <c r="H54" t="str">
        <f t="shared" si="39"/>
        <v/>
      </c>
      <c r="I54" t="str">
        <f t="shared" si="40"/>
        <v/>
      </c>
      <c r="J54" t="str">
        <f t="shared" si="41"/>
        <v/>
      </c>
      <c r="K54" t="str">
        <f t="shared" si="42"/>
        <v/>
      </c>
      <c r="L54" t="str">
        <f t="shared" si="43"/>
        <v/>
      </c>
      <c r="M54" s="27" t="str">
        <f>IF(R54="","",_xlfn.XLOOKUP(R54,[2]Sheet4!B:B,[2]Sheet4!H:H))</f>
        <v/>
      </c>
      <c r="S54" s="25" t="str">
        <f>IF(Sheet2!O54="","",--LEFT(Sheet2!O54,FIND("""",Sheet2!O54)-1))</f>
        <v/>
      </c>
    </row>
    <row r="55" spans="8:19" x14ac:dyDescent="0.25">
      <c r="H55" t="str">
        <f t="shared" si="39"/>
        <v/>
      </c>
      <c r="I55" t="str">
        <f t="shared" si="40"/>
        <v/>
      </c>
      <c r="J55" t="str">
        <f t="shared" si="41"/>
        <v/>
      </c>
      <c r="K55" t="str">
        <f t="shared" si="42"/>
        <v/>
      </c>
      <c r="L55" t="str">
        <f t="shared" si="43"/>
        <v/>
      </c>
      <c r="M55" s="27" t="str">
        <f>IF(R55="","",_xlfn.XLOOKUP(R55,[2]Sheet4!B:B,[2]Sheet4!H:H))</f>
        <v/>
      </c>
      <c r="S55" s="25" t="str">
        <f>IF(Sheet2!O55="","",--LEFT(Sheet2!O55,FIND("""",Sheet2!O55)-1))</f>
        <v/>
      </c>
    </row>
    <row r="56" spans="8:19" x14ac:dyDescent="0.25">
      <c r="H56" t="str">
        <f t="shared" si="39"/>
        <v/>
      </c>
      <c r="I56" t="str">
        <f t="shared" si="40"/>
        <v/>
      </c>
      <c r="J56" t="str">
        <f t="shared" si="41"/>
        <v/>
      </c>
      <c r="K56" t="str">
        <f t="shared" si="42"/>
        <v/>
      </c>
      <c r="L56" t="str">
        <f t="shared" si="43"/>
        <v/>
      </c>
      <c r="M56" s="27" t="str">
        <f>IF(R56="","",_xlfn.XLOOKUP(R56,[2]Sheet4!B:B,[2]Sheet4!H:H))</f>
        <v/>
      </c>
      <c r="S56" s="25" t="str">
        <f>IF(Sheet2!O56="","",--LEFT(Sheet2!O56,FIND("""",Sheet2!O56)-1))</f>
        <v/>
      </c>
    </row>
    <row r="57" spans="8:19" x14ac:dyDescent="0.25">
      <c r="H57" t="str">
        <f t="shared" si="39"/>
        <v/>
      </c>
      <c r="I57" t="str">
        <f t="shared" si="40"/>
        <v/>
      </c>
      <c r="J57" t="str">
        <f t="shared" si="41"/>
        <v/>
      </c>
      <c r="K57" t="str">
        <f t="shared" si="42"/>
        <v/>
      </c>
      <c r="L57" t="str">
        <f t="shared" si="43"/>
        <v/>
      </c>
      <c r="M57" s="27" t="str">
        <f>IF(R57="","",_xlfn.XLOOKUP(R57,[2]Sheet4!B:B,[2]Sheet4!H:H))</f>
        <v/>
      </c>
      <c r="S57" s="25" t="str">
        <f>IF(Sheet2!O57="","",--LEFT(Sheet2!O57,FIND("""",Sheet2!O57)-1))</f>
        <v/>
      </c>
    </row>
    <row r="58" spans="8:19" x14ac:dyDescent="0.25">
      <c r="H58" t="str">
        <f t="shared" si="39"/>
        <v/>
      </c>
      <c r="I58" t="str">
        <f t="shared" si="40"/>
        <v/>
      </c>
      <c r="J58" t="str">
        <f t="shared" si="41"/>
        <v/>
      </c>
      <c r="K58" t="str">
        <f t="shared" si="42"/>
        <v/>
      </c>
      <c r="L58" t="str">
        <f t="shared" si="43"/>
        <v/>
      </c>
      <c r="M58" s="27" t="str">
        <f>IF(R58="","",_xlfn.XLOOKUP(R58,[2]Sheet4!B:B,[2]Sheet4!H:H))</f>
        <v/>
      </c>
      <c r="S58" s="25" t="str">
        <f>IF(Sheet2!O58="","",--LEFT(Sheet2!O58,FIND("""",Sheet2!O58)-1))</f>
        <v/>
      </c>
    </row>
    <row r="59" spans="8:19" x14ac:dyDescent="0.25">
      <c r="H59" t="str">
        <f t="shared" si="39"/>
        <v/>
      </c>
      <c r="I59" t="str">
        <f t="shared" si="40"/>
        <v/>
      </c>
      <c r="J59" t="str">
        <f t="shared" si="41"/>
        <v/>
      </c>
      <c r="K59" t="str">
        <f t="shared" si="42"/>
        <v/>
      </c>
      <c r="L59" t="str">
        <f t="shared" si="43"/>
        <v/>
      </c>
      <c r="M59" s="27" t="str">
        <f>IF(R59="","",_xlfn.XLOOKUP(R59,[2]Sheet4!B:B,[2]Sheet4!H:H))</f>
        <v/>
      </c>
      <c r="S59" s="25" t="str">
        <f>IF(Sheet2!O59="","",--LEFT(Sheet2!O59,FIND("""",Sheet2!O59)-1))</f>
        <v/>
      </c>
    </row>
    <row r="60" spans="8:19" x14ac:dyDescent="0.25">
      <c r="H60" t="str">
        <f t="shared" si="39"/>
        <v/>
      </c>
      <c r="I60" t="str">
        <f t="shared" si="40"/>
        <v/>
      </c>
      <c r="J60" t="str">
        <f t="shared" si="41"/>
        <v/>
      </c>
      <c r="K60" t="str">
        <f t="shared" si="42"/>
        <v/>
      </c>
      <c r="L60" t="str">
        <f t="shared" si="43"/>
        <v/>
      </c>
      <c r="M60" s="27" t="str">
        <f>IF(R60="","",_xlfn.XLOOKUP(R60,[2]Sheet4!B:B,[2]Sheet4!H:H))</f>
        <v/>
      </c>
      <c r="S60" s="25" t="str">
        <f>IF(Sheet2!O60="","",--LEFT(Sheet2!O60,FIND("""",Sheet2!O60)-1))</f>
        <v/>
      </c>
    </row>
    <row r="61" spans="8:19" x14ac:dyDescent="0.25">
      <c r="H61" t="str">
        <f t="shared" si="39"/>
        <v/>
      </c>
      <c r="I61" t="str">
        <f t="shared" si="40"/>
        <v/>
      </c>
      <c r="J61" t="str">
        <f t="shared" si="41"/>
        <v/>
      </c>
      <c r="K61" t="str">
        <f t="shared" si="42"/>
        <v/>
      </c>
      <c r="L61" t="str">
        <f t="shared" si="43"/>
        <v/>
      </c>
      <c r="M61" s="27" t="str">
        <f>IF(R61="","",_xlfn.XLOOKUP(R61,[2]Sheet4!B:B,[2]Sheet4!H:H))</f>
        <v/>
      </c>
      <c r="S61" s="25" t="str">
        <f>IF(Sheet2!O61="","",--LEFT(Sheet2!O61,FIND("""",Sheet2!O61)-1))</f>
        <v/>
      </c>
    </row>
    <row r="62" spans="8:19" x14ac:dyDescent="0.25">
      <c r="H62" t="str">
        <f t="shared" si="39"/>
        <v/>
      </c>
      <c r="I62" t="str">
        <f t="shared" si="40"/>
        <v/>
      </c>
      <c r="J62" t="str">
        <f t="shared" si="41"/>
        <v/>
      </c>
      <c r="K62" t="str">
        <f t="shared" si="42"/>
        <v/>
      </c>
      <c r="L62" t="str">
        <f t="shared" si="43"/>
        <v/>
      </c>
      <c r="M62" s="27" t="str">
        <f>IF(R62="","",_xlfn.XLOOKUP(R62,[2]Sheet4!B:B,[2]Sheet4!H:H))</f>
        <v/>
      </c>
      <c r="S62" s="25" t="str">
        <f>IF(Sheet2!O62="","",--LEFT(Sheet2!O62,FIND("""",Sheet2!O62)-1))</f>
        <v/>
      </c>
    </row>
    <row r="63" spans="8:19" x14ac:dyDescent="0.25">
      <c r="H63" t="str">
        <f t="shared" si="39"/>
        <v/>
      </c>
      <c r="I63" t="str">
        <f t="shared" si="40"/>
        <v/>
      </c>
      <c r="J63" t="str">
        <f t="shared" si="41"/>
        <v/>
      </c>
      <c r="K63" t="str">
        <f t="shared" si="42"/>
        <v/>
      </c>
      <c r="L63" t="str">
        <f t="shared" si="43"/>
        <v/>
      </c>
      <c r="M63" s="27" t="str">
        <f>IF(R63="","",_xlfn.XLOOKUP(R63,[2]Sheet4!B:B,[2]Sheet4!H:H))</f>
        <v/>
      </c>
      <c r="S63" s="25" t="str">
        <f>IF(Sheet2!O63="","",--LEFT(Sheet2!O63,FIND("""",Sheet2!O63)-1))</f>
        <v/>
      </c>
    </row>
    <row r="64" spans="8:19" x14ac:dyDescent="0.25">
      <c r="H64" t="str">
        <f t="shared" si="39"/>
        <v/>
      </c>
      <c r="I64" t="str">
        <f t="shared" si="40"/>
        <v/>
      </c>
      <c r="J64" t="str">
        <f t="shared" si="41"/>
        <v/>
      </c>
      <c r="K64" t="str">
        <f t="shared" si="42"/>
        <v/>
      </c>
      <c r="L64" t="str">
        <f t="shared" si="43"/>
        <v/>
      </c>
      <c r="M64" s="27" t="str">
        <f>IF(R64="","",_xlfn.XLOOKUP(R64,[2]Sheet4!B:B,[2]Sheet4!H:H))</f>
        <v/>
      </c>
      <c r="S64" s="25" t="str">
        <f>IF(Sheet2!O64="","",--LEFT(Sheet2!O64,FIND("""",Sheet2!O64)-1))</f>
        <v/>
      </c>
    </row>
    <row r="65" spans="8:19" x14ac:dyDescent="0.25">
      <c r="H65" t="str">
        <f t="shared" si="39"/>
        <v/>
      </c>
      <c r="I65" t="str">
        <f t="shared" si="40"/>
        <v/>
      </c>
      <c r="J65" t="str">
        <f t="shared" si="41"/>
        <v/>
      </c>
      <c r="K65" t="str">
        <f t="shared" si="42"/>
        <v/>
      </c>
      <c r="L65" t="str">
        <f t="shared" si="43"/>
        <v/>
      </c>
      <c r="M65" s="27" t="str">
        <f>IF(R65="","",_xlfn.XLOOKUP(R65,[2]Sheet4!B:B,[2]Sheet4!H:H))</f>
        <v/>
      </c>
      <c r="S65" s="25" t="str">
        <f>IF(Sheet2!O65="","",--LEFT(Sheet2!O65,FIND("""",Sheet2!O65)-1))</f>
        <v/>
      </c>
    </row>
    <row r="66" spans="8:19" x14ac:dyDescent="0.25">
      <c r="H66" t="str">
        <f t="shared" si="39"/>
        <v/>
      </c>
      <c r="I66" t="str">
        <f t="shared" si="40"/>
        <v/>
      </c>
      <c r="J66" t="str">
        <f t="shared" si="41"/>
        <v/>
      </c>
      <c r="K66" t="str">
        <f t="shared" si="42"/>
        <v/>
      </c>
      <c r="L66" t="str">
        <f t="shared" si="43"/>
        <v/>
      </c>
      <c r="M66" s="27" t="str">
        <f>IF(R66="","",_xlfn.XLOOKUP(R66,[2]Sheet4!B:B,[2]Sheet4!H:H))</f>
        <v/>
      </c>
      <c r="S66" s="25" t="str">
        <f>IF(Sheet2!O66="","",--LEFT(Sheet2!O66,FIND("""",Sheet2!O66)-1))</f>
        <v/>
      </c>
    </row>
    <row r="67" spans="8:19" x14ac:dyDescent="0.25">
      <c r="H67" t="str">
        <f t="shared" ref="H67:H130" si="44">IF(C67="","",B67-C67)</f>
        <v/>
      </c>
      <c r="I67" t="str">
        <f t="shared" ref="I67:I130" si="45">IF(H67="","",H67+0.5)</f>
        <v/>
      </c>
      <c r="J67" t="str">
        <f t="shared" ref="J67:J130" si="46">IF(H67="","",H67+0.67)</f>
        <v/>
      </c>
      <c r="K67" t="str">
        <f t="shared" ref="K67:K130" si="47">IF(H67="","",H67+0.83)</f>
        <v/>
      </c>
      <c r="L67" t="str">
        <f t="shared" ref="L67:L130" si="48">IF(H67="","",H67+1.17)</f>
        <v/>
      </c>
      <c r="M67" s="27" t="str">
        <f>IF(R67="","",_xlfn.XLOOKUP(R67,[2]Sheet4!B:B,[2]Sheet4!H:H))</f>
        <v/>
      </c>
      <c r="S67" s="25" t="str">
        <f>IF(Sheet2!O67="","",--LEFT(Sheet2!O67,FIND("""",Sheet2!O67)-1))</f>
        <v/>
      </c>
    </row>
    <row r="68" spans="8:19" x14ac:dyDescent="0.25">
      <c r="H68" t="str">
        <f t="shared" si="44"/>
        <v/>
      </c>
      <c r="I68" t="str">
        <f t="shared" si="45"/>
        <v/>
      </c>
      <c r="J68" t="str">
        <f t="shared" si="46"/>
        <v/>
      </c>
      <c r="K68" t="str">
        <f t="shared" si="47"/>
        <v/>
      </c>
      <c r="L68" t="str">
        <f t="shared" si="48"/>
        <v/>
      </c>
      <c r="M68" s="27" t="str">
        <f>IF(R68="","",_xlfn.XLOOKUP(R68,[2]Sheet4!B:B,[2]Sheet4!H:H))</f>
        <v/>
      </c>
      <c r="S68" s="25" t="str">
        <f>IF(Sheet2!O68="","",--LEFT(Sheet2!O68,FIND("""",Sheet2!O68)-1))</f>
        <v/>
      </c>
    </row>
    <row r="69" spans="8:19" x14ac:dyDescent="0.25">
      <c r="H69" t="str">
        <f t="shared" si="44"/>
        <v/>
      </c>
      <c r="I69" t="str">
        <f t="shared" si="45"/>
        <v/>
      </c>
      <c r="J69" t="str">
        <f t="shared" si="46"/>
        <v/>
      </c>
      <c r="K69" t="str">
        <f t="shared" si="47"/>
        <v/>
      </c>
      <c r="L69" t="str">
        <f t="shared" si="48"/>
        <v/>
      </c>
      <c r="M69" s="27" t="str">
        <f>IF(R69="","",_xlfn.XLOOKUP(R69,[2]Sheet4!B:B,[2]Sheet4!H:H))</f>
        <v/>
      </c>
      <c r="S69" s="25" t="str">
        <f>IF(Sheet2!O69="","",--LEFT(Sheet2!O69,FIND("""",Sheet2!O69)-1))</f>
        <v/>
      </c>
    </row>
    <row r="70" spans="8:19" x14ac:dyDescent="0.25">
      <c r="H70" t="str">
        <f t="shared" si="44"/>
        <v/>
      </c>
      <c r="I70" t="str">
        <f t="shared" si="45"/>
        <v/>
      </c>
      <c r="J70" t="str">
        <f t="shared" si="46"/>
        <v/>
      </c>
      <c r="K70" t="str">
        <f t="shared" si="47"/>
        <v/>
      </c>
      <c r="L70" t="str">
        <f t="shared" si="48"/>
        <v/>
      </c>
      <c r="M70" s="27" t="str">
        <f>IF(R70="","",_xlfn.XLOOKUP(R70,[2]Sheet4!B:B,[2]Sheet4!H:H))</f>
        <v/>
      </c>
      <c r="S70" s="25" t="str">
        <f>IF(Sheet2!O70="","",--LEFT(Sheet2!O70,FIND("""",Sheet2!O70)-1))</f>
        <v/>
      </c>
    </row>
    <row r="71" spans="8:19" x14ac:dyDescent="0.25">
      <c r="H71" t="str">
        <f t="shared" si="44"/>
        <v/>
      </c>
      <c r="I71" t="str">
        <f t="shared" si="45"/>
        <v/>
      </c>
      <c r="J71" t="str">
        <f t="shared" si="46"/>
        <v/>
      </c>
      <c r="K71" t="str">
        <f t="shared" si="47"/>
        <v/>
      </c>
      <c r="L71" t="str">
        <f t="shared" si="48"/>
        <v/>
      </c>
      <c r="M71" s="27" t="str">
        <f>IF(R71="","",_xlfn.XLOOKUP(R71,[2]Sheet4!B:B,[2]Sheet4!H:H))</f>
        <v/>
      </c>
      <c r="S71" s="25" t="str">
        <f>IF(Sheet2!O71="","",--LEFT(Sheet2!O71,FIND("""",Sheet2!O71)-1))</f>
        <v/>
      </c>
    </row>
    <row r="72" spans="8:19" x14ac:dyDescent="0.25">
      <c r="H72" t="str">
        <f t="shared" si="44"/>
        <v/>
      </c>
      <c r="I72" t="str">
        <f t="shared" si="45"/>
        <v/>
      </c>
      <c r="J72" t="str">
        <f t="shared" si="46"/>
        <v/>
      </c>
      <c r="K72" t="str">
        <f t="shared" si="47"/>
        <v/>
      </c>
      <c r="L72" t="str">
        <f t="shared" si="48"/>
        <v/>
      </c>
      <c r="M72" s="27" t="str">
        <f>IF(R72="","",_xlfn.XLOOKUP(R72,[2]Sheet4!B:B,[2]Sheet4!H:H))</f>
        <v/>
      </c>
      <c r="S72" s="25" t="str">
        <f>IF(Sheet2!O72="","",--LEFT(Sheet2!O72,FIND("""",Sheet2!O72)-1))</f>
        <v/>
      </c>
    </row>
    <row r="73" spans="8:19" x14ac:dyDescent="0.25">
      <c r="H73" t="str">
        <f t="shared" si="44"/>
        <v/>
      </c>
      <c r="I73" t="str">
        <f t="shared" si="45"/>
        <v/>
      </c>
      <c r="J73" t="str">
        <f t="shared" si="46"/>
        <v/>
      </c>
      <c r="K73" t="str">
        <f t="shared" si="47"/>
        <v/>
      </c>
      <c r="L73" t="str">
        <f t="shared" si="48"/>
        <v/>
      </c>
      <c r="M73" s="27" t="str">
        <f>IF(R73="","",_xlfn.XLOOKUP(R73,[2]Sheet4!B:B,[2]Sheet4!H:H))</f>
        <v/>
      </c>
      <c r="S73" s="25" t="str">
        <f>IF(Sheet2!O73="","",--LEFT(Sheet2!O73,FIND("""",Sheet2!O73)-1))</f>
        <v/>
      </c>
    </row>
    <row r="74" spans="8:19" x14ac:dyDescent="0.25">
      <c r="H74" t="str">
        <f t="shared" si="44"/>
        <v/>
      </c>
      <c r="I74" t="str">
        <f t="shared" si="45"/>
        <v/>
      </c>
      <c r="J74" t="str">
        <f t="shared" si="46"/>
        <v/>
      </c>
      <c r="K74" t="str">
        <f t="shared" si="47"/>
        <v/>
      </c>
      <c r="L74" t="str">
        <f t="shared" si="48"/>
        <v/>
      </c>
      <c r="M74" s="27" t="str">
        <f>IF(R74="","",_xlfn.XLOOKUP(R74,[2]Sheet4!B:B,[2]Sheet4!H:H))</f>
        <v/>
      </c>
      <c r="S74" s="25" t="str">
        <f>IF(Sheet2!O74="","",--LEFT(Sheet2!O74,FIND("""",Sheet2!O74)-1))</f>
        <v/>
      </c>
    </row>
    <row r="75" spans="8:19" x14ac:dyDescent="0.25">
      <c r="H75" t="str">
        <f t="shared" si="44"/>
        <v/>
      </c>
      <c r="I75" t="str">
        <f t="shared" si="45"/>
        <v/>
      </c>
      <c r="J75" t="str">
        <f t="shared" si="46"/>
        <v/>
      </c>
      <c r="K75" t="str">
        <f t="shared" si="47"/>
        <v/>
      </c>
      <c r="L75" t="str">
        <f t="shared" si="48"/>
        <v/>
      </c>
      <c r="M75" s="27" t="str">
        <f>IF(R75="","",_xlfn.XLOOKUP(R75,[2]Sheet4!B:B,[2]Sheet4!H:H))</f>
        <v/>
      </c>
      <c r="S75" s="25" t="str">
        <f>IF(Sheet2!O75="","",--LEFT(Sheet2!O75,FIND("""",Sheet2!O75)-1))</f>
        <v/>
      </c>
    </row>
    <row r="76" spans="8:19" x14ac:dyDescent="0.25">
      <c r="H76" t="str">
        <f t="shared" si="44"/>
        <v/>
      </c>
      <c r="I76" t="str">
        <f t="shared" si="45"/>
        <v/>
      </c>
      <c r="J76" t="str">
        <f t="shared" si="46"/>
        <v/>
      </c>
      <c r="K76" t="str">
        <f t="shared" si="47"/>
        <v/>
      </c>
      <c r="L76" t="str">
        <f t="shared" si="48"/>
        <v/>
      </c>
      <c r="M76" s="27" t="str">
        <f>IF(R76="","",_xlfn.XLOOKUP(R76,[2]Sheet4!B:B,[2]Sheet4!H:H))</f>
        <v/>
      </c>
      <c r="S76" s="25" t="str">
        <f>IF(Sheet2!O76="","",--LEFT(Sheet2!O76,FIND("""",Sheet2!O76)-1))</f>
        <v/>
      </c>
    </row>
    <row r="77" spans="8:19" x14ac:dyDescent="0.25">
      <c r="H77" t="str">
        <f t="shared" si="44"/>
        <v/>
      </c>
      <c r="I77" t="str">
        <f t="shared" si="45"/>
        <v/>
      </c>
      <c r="J77" t="str">
        <f t="shared" si="46"/>
        <v/>
      </c>
      <c r="K77" t="str">
        <f t="shared" si="47"/>
        <v/>
      </c>
      <c r="L77" t="str">
        <f t="shared" si="48"/>
        <v/>
      </c>
      <c r="M77" s="27" t="str">
        <f>IF(R77="","",_xlfn.XLOOKUP(R77,[2]Sheet4!B:B,[2]Sheet4!H:H))</f>
        <v/>
      </c>
      <c r="S77" s="25" t="str">
        <f>IF(Sheet2!O77="","",--LEFT(Sheet2!O77,FIND("""",Sheet2!O77)-1))</f>
        <v/>
      </c>
    </row>
    <row r="78" spans="8:19" x14ac:dyDescent="0.25">
      <c r="H78" t="str">
        <f t="shared" si="44"/>
        <v/>
      </c>
      <c r="I78" t="str">
        <f t="shared" si="45"/>
        <v/>
      </c>
      <c r="J78" t="str">
        <f t="shared" si="46"/>
        <v/>
      </c>
      <c r="K78" t="str">
        <f t="shared" si="47"/>
        <v/>
      </c>
      <c r="L78" t="str">
        <f t="shared" si="48"/>
        <v/>
      </c>
      <c r="M78" s="27" t="str">
        <f>IF(R78="","",_xlfn.XLOOKUP(R78,[2]Sheet4!B:B,[2]Sheet4!H:H))</f>
        <v/>
      </c>
      <c r="S78" s="25" t="str">
        <f>IF(Sheet2!O78="","",--LEFT(Sheet2!O78,FIND("""",Sheet2!O78)-1))</f>
        <v/>
      </c>
    </row>
    <row r="79" spans="8:19" x14ac:dyDescent="0.25">
      <c r="H79" t="str">
        <f t="shared" si="44"/>
        <v/>
      </c>
      <c r="I79" t="str">
        <f t="shared" si="45"/>
        <v/>
      </c>
      <c r="J79" t="str">
        <f t="shared" si="46"/>
        <v/>
      </c>
      <c r="K79" t="str">
        <f t="shared" si="47"/>
        <v/>
      </c>
      <c r="L79" t="str">
        <f t="shared" si="48"/>
        <v/>
      </c>
      <c r="M79" s="27" t="str">
        <f>IF(R79="","",_xlfn.XLOOKUP(R79,[2]Sheet4!B:B,[2]Sheet4!H:H))</f>
        <v/>
      </c>
      <c r="S79" s="25" t="str">
        <f>IF(Sheet2!O79="","",--LEFT(Sheet2!O79,FIND("""",Sheet2!O79)-1))</f>
        <v/>
      </c>
    </row>
    <row r="80" spans="8:19" x14ac:dyDescent="0.25">
      <c r="H80" t="str">
        <f t="shared" si="44"/>
        <v/>
      </c>
      <c r="I80" t="str">
        <f t="shared" si="45"/>
        <v/>
      </c>
      <c r="J80" t="str">
        <f t="shared" si="46"/>
        <v/>
      </c>
      <c r="K80" t="str">
        <f t="shared" si="47"/>
        <v/>
      </c>
      <c r="L80" t="str">
        <f t="shared" si="48"/>
        <v/>
      </c>
      <c r="M80" s="27" t="str">
        <f>IF(R80="","",_xlfn.XLOOKUP(R80,[2]Sheet4!B:B,[2]Sheet4!H:H))</f>
        <v/>
      </c>
      <c r="S80" s="25" t="str">
        <f>IF(Sheet2!O80="","",--LEFT(Sheet2!O80,FIND("""",Sheet2!O80)-1))</f>
        <v/>
      </c>
    </row>
    <row r="81" spans="8:19" x14ac:dyDescent="0.25">
      <c r="H81" t="str">
        <f t="shared" si="44"/>
        <v/>
      </c>
      <c r="I81" t="str">
        <f t="shared" si="45"/>
        <v/>
      </c>
      <c r="J81" t="str">
        <f t="shared" si="46"/>
        <v/>
      </c>
      <c r="K81" t="str">
        <f t="shared" si="47"/>
        <v/>
      </c>
      <c r="L81" t="str">
        <f t="shared" si="48"/>
        <v/>
      </c>
      <c r="M81" s="27" t="str">
        <f>IF(R81="","",_xlfn.XLOOKUP(R81,[2]Sheet4!B:B,[2]Sheet4!H:H))</f>
        <v/>
      </c>
      <c r="S81" s="25" t="str">
        <f>IF(Sheet2!O81="","",--LEFT(Sheet2!O81,FIND("""",Sheet2!O81)-1))</f>
        <v/>
      </c>
    </row>
    <row r="82" spans="8:19" x14ac:dyDescent="0.25">
      <c r="H82" t="str">
        <f t="shared" si="44"/>
        <v/>
      </c>
      <c r="I82" t="str">
        <f t="shared" si="45"/>
        <v/>
      </c>
      <c r="J82" t="str">
        <f t="shared" si="46"/>
        <v/>
      </c>
      <c r="K82" t="str">
        <f t="shared" si="47"/>
        <v/>
      </c>
      <c r="L82" t="str">
        <f t="shared" si="48"/>
        <v/>
      </c>
      <c r="M82" s="27" t="str">
        <f>IF(R82="","",_xlfn.XLOOKUP(R82,[2]Sheet4!B:B,[2]Sheet4!H:H))</f>
        <v/>
      </c>
      <c r="S82" s="25" t="str">
        <f>IF(Sheet2!O82="","",--LEFT(Sheet2!O82,FIND("""",Sheet2!O82)-1))</f>
        <v/>
      </c>
    </row>
    <row r="83" spans="8:19" x14ac:dyDescent="0.25">
      <c r="H83" t="str">
        <f t="shared" si="44"/>
        <v/>
      </c>
      <c r="I83" t="str">
        <f t="shared" si="45"/>
        <v/>
      </c>
      <c r="J83" t="str">
        <f t="shared" si="46"/>
        <v/>
      </c>
      <c r="K83" t="str">
        <f t="shared" si="47"/>
        <v/>
      </c>
      <c r="L83" t="str">
        <f t="shared" si="48"/>
        <v/>
      </c>
      <c r="M83" s="27" t="str">
        <f>IF(R83="","",_xlfn.XLOOKUP(R83,[2]Sheet4!B:B,[2]Sheet4!H:H))</f>
        <v/>
      </c>
      <c r="S83" s="25" t="str">
        <f>IF(Sheet2!O83="","",--LEFT(Sheet2!O83,FIND("""",Sheet2!O83)-1))</f>
        <v/>
      </c>
    </row>
    <row r="84" spans="8:19" x14ac:dyDescent="0.25">
      <c r="H84" t="str">
        <f t="shared" si="44"/>
        <v/>
      </c>
      <c r="I84" t="str">
        <f t="shared" si="45"/>
        <v/>
      </c>
      <c r="J84" t="str">
        <f t="shared" si="46"/>
        <v/>
      </c>
      <c r="K84" t="str">
        <f t="shared" si="47"/>
        <v/>
      </c>
      <c r="L84" t="str">
        <f t="shared" si="48"/>
        <v/>
      </c>
      <c r="M84" s="27" t="str">
        <f>IF(R84="","",_xlfn.XLOOKUP(R84,[2]Sheet4!B:B,[2]Sheet4!H:H))</f>
        <v/>
      </c>
      <c r="S84" s="25" t="str">
        <f>IF(Sheet2!O84="","",--LEFT(Sheet2!O84,FIND("""",Sheet2!O84)-1))</f>
        <v/>
      </c>
    </row>
    <row r="85" spans="8:19" x14ac:dyDescent="0.25">
      <c r="H85" t="str">
        <f t="shared" si="44"/>
        <v/>
      </c>
      <c r="I85" t="str">
        <f t="shared" si="45"/>
        <v/>
      </c>
      <c r="J85" t="str">
        <f t="shared" si="46"/>
        <v/>
      </c>
      <c r="K85" t="str">
        <f t="shared" si="47"/>
        <v/>
      </c>
      <c r="L85" t="str">
        <f t="shared" si="48"/>
        <v/>
      </c>
      <c r="M85" s="27" t="str">
        <f>IF(R85="","",_xlfn.XLOOKUP(R85,[2]Sheet4!B:B,[2]Sheet4!H:H))</f>
        <v/>
      </c>
      <c r="S85" s="25" t="str">
        <f>IF(Sheet2!O85="","",--LEFT(Sheet2!O85,FIND("""",Sheet2!O85)-1))</f>
        <v/>
      </c>
    </row>
    <row r="86" spans="8:19" x14ac:dyDescent="0.25">
      <c r="H86" t="str">
        <f t="shared" si="44"/>
        <v/>
      </c>
      <c r="I86" t="str">
        <f t="shared" si="45"/>
        <v/>
      </c>
      <c r="J86" t="str">
        <f t="shared" si="46"/>
        <v/>
      </c>
      <c r="K86" t="str">
        <f t="shared" si="47"/>
        <v/>
      </c>
      <c r="L86" t="str">
        <f t="shared" si="48"/>
        <v/>
      </c>
      <c r="M86" s="27" t="str">
        <f>IF(R86="","",_xlfn.XLOOKUP(R86,[2]Sheet4!B:B,[2]Sheet4!H:H))</f>
        <v/>
      </c>
      <c r="S86" s="25" t="str">
        <f>IF(Sheet2!O86="","",--LEFT(Sheet2!O86,FIND("""",Sheet2!O86)-1))</f>
        <v/>
      </c>
    </row>
    <row r="87" spans="8:19" x14ac:dyDescent="0.25">
      <c r="H87" t="str">
        <f t="shared" si="44"/>
        <v/>
      </c>
      <c r="I87" t="str">
        <f t="shared" si="45"/>
        <v/>
      </c>
      <c r="J87" t="str">
        <f t="shared" si="46"/>
        <v/>
      </c>
      <c r="K87" t="str">
        <f t="shared" si="47"/>
        <v/>
      </c>
      <c r="L87" t="str">
        <f t="shared" si="48"/>
        <v/>
      </c>
      <c r="M87" s="27" t="str">
        <f>IF(R87="","",_xlfn.XLOOKUP(R87,[2]Sheet4!B:B,[2]Sheet4!H:H))</f>
        <v/>
      </c>
      <c r="S87" s="25" t="str">
        <f>IF(Sheet2!O87="","",--LEFT(Sheet2!O87,FIND("""",Sheet2!O87)-1))</f>
        <v/>
      </c>
    </row>
    <row r="88" spans="8:19" x14ac:dyDescent="0.25">
      <c r="H88" t="str">
        <f t="shared" si="44"/>
        <v/>
      </c>
      <c r="I88" t="str">
        <f t="shared" si="45"/>
        <v/>
      </c>
      <c r="J88" t="str">
        <f t="shared" si="46"/>
        <v/>
      </c>
      <c r="K88" t="str">
        <f t="shared" si="47"/>
        <v/>
      </c>
      <c r="L88" t="str">
        <f t="shared" si="48"/>
        <v/>
      </c>
      <c r="M88" s="27" t="str">
        <f>IF(R88="","",_xlfn.XLOOKUP(R88,[2]Sheet4!B:B,[2]Sheet4!H:H))</f>
        <v/>
      </c>
      <c r="S88" s="25" t="str">
        <f>IF(Sheet2!O88="","",--LEFT(Sheet2!O88,FIND("""",Sheet2!O88)-1))</f>
        <v/>
      </c>
    </row>
    <row r="89" spans="8:19" x14ac:dyDescent="0.25">
      <c r="H89" t="str">
        <f t="shared" si="44"/>
        <v/>
      </c>
      <c r="I89" t="str">
        <f t="shared" si="45"/>
        <v/>
      </c>
      <c r="J89" t="str">
        <f t="shared" si="46"/>
        <v/>
      </c>
      <c r="K89" t="str">
        <f t="shared" si="47"/>
        <v/>
      </c>
      <c r="L89" t="str">
        <f t="shared" si="48"/>
        <v/>
      </c>
      <c r="M89" s="27" t="str">
        <f>IF(R89="","",_xlfn.XLOOKUP(R89,[2]Sheet4!B:B,[2]Sheet4!H:H))</f>
        <v/>
      </c>
      <c r="S89" s="25" t="str">
        <f>IF(Sheet2!O89="","",--LEFT(Sheet2!O89,FIND("""",Sheet2!O89)-1))</f>
        <v/>
      </c>
    </row>
    <row r="90" spans="8:19" x14ac:dyDescent="0.25">
      <c r="H90" t="str">
        <f t="shared" si="44"/>
        <v/>
      </c>
      <c r="I90" t="str">
        <f t="shared" si="45"/>
        <v/>
      </c>
      <c r="J90" t="str">
        <f t="shared" si="46"/>
        <v/>
      </c>
      <c r="K90" t="str">
        <f t="shared" si="47"/>
        <v/>
      </c>
      <c r="L90" t="str">
        <f t="shared" si="48"/>
        <v/>
      </c>
      <c r="M90" s="27" t="str">
        <f>IF(R90="","",_xlfn.XLOOKUP(R90,[2]Sheet4!B:B,[2]Sheet4!H:H))</f>
        <v/>
      </c>
      <c r="S90" s="25" t="str">
        <f>IF(Sheet2!O90="","",--LEFT(Sheet2!O90,FIND("""",Sheet2!O90)-1))</f>
        <v/>
      </c>
    </row>
    <row r="91" spans="8:19" x14ac:dyDescent="0.25">
      <c r="H91" t="str">
        <f t="shared" si="44"/>
        <v/>
      </c>
      <c r="I91" t="str">
        <f t="shared" si="45"/>
        <v/>
      </c>
      <c r="J91" t="str">
        <f t="shared" si="46"/>
        <v/>
      </c>
      <c r="K91" t="str">
        <f t="shared" si="47"/>
        <v/>
      </c>
      <c r="L91" t="str">
        <f t="shared" si="48"/>
        <v/>
      </c>
      <c r="M91" s="27" t="str">
        <f>IF(R91="","",_xlfn.XLOOKUP(R91,[2]Sheet4!B:B,[2]Sheet4!H:H))</f>
        <v/>
      </c>
      <c r="S91" s="25" t="str">
        <f>IF(Sheet2!O91="","",--LEFT(Sheet2!O91,FIND("""",Sheet2!O91)-1))</f>
        <v/>
      </c>
    </row>
    <row r="92" spans="8:19" x14ac:dyDescent="0.25">
      <c r="H92" t="str">
        <f t="shared" si="44"/>
        <v/>
      </c>
      <c r="I92" t="str">
        <f t="shared" si="45"/>
        <v/>
      </c>
      <c r="J92" t="str">
        <f t="shared" si="46"/>
        <v/>
      </c>
      <c r="K92" t="str">
        <f t="shared" si="47"/>
        <v/>
      </c>
      <c r="L92" t="str">
        <f t="shared" si="48"/>
        <v/>
      </c>
      <c r="M92" s="27" t="str">
        <f>IF(R92="","",_xlfn.XLOOKUP(R92,[2]Sheet4!B:B,[2]Sheet4!H:H))</f>
        <v/>
      </c>
      <c r="S92" s="25" t="str">
        <f>IF(Sheet2!O92="","",--LEFT(Sheet2!O92,FIND("""",Sheet2!O92)-1))</f>
        <v/>
      </c>
    </row>
    <row r="93" spans="8:19" x14ac:dyDescent="0.25">
      <c r="H93" t="str">
        <f t="shared" si="44"/>
        <v/>
      </c>
      <c r="I93" t="str">
        <f t="shared" si="45"/>
        <v/>
      </c>
      <c r="J93" t="str">
        <f t="shared" si="46"/>
        <v/>
      </c>
      <c r="K93" t="str">
        <f t="shared" si="47"/>
        <v/>
      </c>
      <c r="L93" t="str">
        <f t="shared" si="48"/>
        <v/>
      </c>
      <c r="M93" s="27" t="str">
        <f>IF(R93="","",_xlfn.XLOOKUP(R93,[2]Sheet4!B:B,[2]Sheet4!H:H))</f>
        <v/>
      </c>
      <c r="S93" s="25" t="str">
        <f>IF(Sheet2!O93="","",--LEFT(Sheet2!O93,FIND("""",Sheet2!O93)-1))</f>
        <v/>
      </c>
    </row>
    <row r="94" spans="8:19" x14ac:dyDescent="0.25">
      <c r="H94" t="str">
        <f t="shared" si="44"/>
        <v/>
      </c>
      <c r="I94" t="str">
        <f t="shared" si="45"/>
        <v/>
      </c>
      <c r="J94" t="str">
        <f t="shared" si="46"/>
        <v/>
      </c>
      <c r="K94" t="str">
        <f t="shared" si="47"/>
        <v/>
      </c>
      <c r="L94" t="str">
        <f t="shared" si="48"/>
        <v/>
      </c>
      <c r="M94" s="27" t="str">
        <f>IF(R94="","",_xlfn.XLOOKUP(R94,[2]Sheet4!B:B,[2]Sheet4!H:H))</f>
        <v/>
      </c>
      <c r="S94" s="25" t="str">
        <f>IF(Sheet2!O94="","",--LEFT(Sheet2!O94,FIND("""",Sheet2!O94)-1))</f>
        <v/>
      </c>
    </row>
    <row r="95" spans="8:19" x14ac:dyDescent="0.25">
      <c r="H95" t="str">
        <f t="shared" si="44"/>
        <v/>
      </c>
      <c r="I95" t="str">
        <f t="shared" si="45"/>
        <v/>
      </c>
      <c r="J95" t="str">
        <f t="shared" si="46"/>
        <v/>
      </c>
      <c r="K95" t="str">
        <f t="shared" si="47"/>
        <v/>
      </c>
      <c r="L95" t="str">
        <f t="shared" si="48"/>
        <v/>
      </c>
      <c r="M95" s="27" t="str">
        <f>IF(R95="","",_xlfn.XLOOKUP(R95,[2]Sheet4!B:B,[2]Sheet4!H:H))</f>
        <v/>
      </c>
      <c r="S95" s="25" t="str">
        <f>IF(Sheet2!O95="","",--LEFT(Sheet2!O95,FIND("""",Sheet2!O95)-1))</f>
        <v/>
      </c>
    </row>
    <row r="96" spans="8:19" x14ac:dyDescent="0.25">
      <c r="H96" t="str">
        <f t="shared" si="44"/>
        <v/>
      </c>
      <c r="I96" t="str">
        <f t="shared" si="45"/>
        <v/>
      </c>
      <c r="J96" t="str">
        <f t="shared" si="46"/>
        <v/>
      </c>
      <c r="K96" t="str">
        <f t="shared" si="47"/>
        <v/>
      </c>
      <c r="L96" t="str">
        <f t="shared" si="48"/>
        <v/>
      </c>
      <c r="M96" s="27" t="str">
        <f>IF(R96="","",_xlfn.XLOOKUP(R96,[2]Sheet4!B:B,[2]Sheet4!H:H))</f>
        <v/>
      </c>
      <c r="S96" s="25" t="str">
        <f>IF(Sheet2!O96="","",--LEFT(Sheet2!O96,FIND("""",Sheet2!O96)-1))</f>
        <v/>
      </c>
    </row>
    <row r="97" spans="8:19" x14ac:dyDescent="0.25">
      <c r="H97" t="str">
        <f t="shared" si="44"/>
        <v/>
      </c>
      <c r="I97" t="str">
        <f t="shared" si="45"/>
        <v/>
      </c>
      <c r="J97" t="str">
        <f t="shared" si="46"/>
        <v/>
      </c>
      <c r="K97" t="str">
        <f t="shared" si="47"/>
        <v/>
      </c>
      <c r="L97" t="str">
        <f t="shared" si="48"/>
        <v/>
      </c>
      <c r="M97" s="27" t="str">
        <f>IF(R97="","",_xlfn.XLOOKUP(R97,[2]Sheet4!B:B,[2]Sheet4!H:H))</f>
        <v/>
      </c>
      <c r="S97" s="25" t="str">
        <f>IF(Sheet2!O97="","",--LEFT(Sheet2!O97,FIND("""",Sheet2!O97)-1))</f>
        <v/>
      </c>
    </row>
    <row r="98" spans="8:19" x14ac:dyDescent="0.25">
      <c r="H98" t="str">
        <f t="shared" si="44"/>
        <v/>
      </c>
      <c r="I98" t="str">
        <f t="shared" si="45"/>
        <v/>
      </c>
      <c r="J98" t="str">
        <f t="shared" si="46"/>
        <v/>
      </c>
      <c r="K98" t="str">
        <f t="shared" si="47"/>
        <v/>
      </c>
      <c r="L98" t="str">
        <f t="shared" si="48"/>
        <v/>
      </c>
      <c r="M98" s="27" t="str">
        <f>IF(R98="","",_xlfn.XLOOKUP(R98,[2]Sheet4!B:B,[2]Sheet4!H:H))</f>
        <v/>
      </c>
      <c r="S98" s="25" t="str">
        <f>IF(Sheet2!O98="","",--LEFT(Sheet2!O98,FIND("""",Sheet2!O98)-1))</f>
        <v/>
      </c>
    </row>
    <row r="99" spans="8:19" x14ac:dyDescent="0.25">
      <c r="H99" t="str">
        <f t="shared" si="44"/>
        <v/>
      </c>
      <c r="I99" t="str">
        <f t="shared" si="45"/>
        <v/>
      </c>
      <c r="J99" t="str">
        <f t="shared" si="46"/>
        <v/>
      </c>
      <c r="K99" t="str">
        <f t="shared" si="47"/>
        <v/>
      </c>
      <c r="L99" t="str">
        <f t="shared" si="48"/>
        <v/>
      </c>
      <c r="M99" s="27" t="str">
        <f>IF(R99="","",_xlfn.XLOOKUP(R99,[2]Sheet4!B:B,[2]Sheet4!H:H))</f>
        <v/>
      </c>
      <c r="S99" s="25" t="str">
        <f>IF(Sheet2!O99="","",--LEFT(Sheet2!O99,FIND("""",Sheet2!O99)-1))</f>
        <v/>
      </c>
    </row>
    <row r="100" spans="8:19" x14ac:dyDescent="0.25">
      <c r="H100" t="str">
        <f t="shared" si="44"/>
        <v/>
      </c>
      <c r="I100" t="str">
        <f t="shared" si="45"/>
        <v/>
      </c>
      <c r="J100" t="str">
        <f t="shared" si="46"/>
        <v/>
      </c>
      <c r="K100" t="str">
        <f t="shared" si="47"/>
        <v/>
      </c>
      <c r="L100" t="str">
        <f t="shared" si="48"/>
        <v/>
      </c>
      <c r="M100" s="27" t="str">
        <f>IF(R100="","",_xlfn.XLOOKUP(R100,[2]Sheet4!B:B,[2]Sheet4!H:H))</f>
        <v/>
      </c>
      <c r="S100" s="25" t="str">
        <f>IF(Sheet2!O100="","",--LEFT(Sheet2!O100,FIND("""",Sheet2!O100)-1))</f>
        <v/>
      </c>
    </row>
    <row r="101" spans="8:19" x14ac:dyDescent="0.25">
      <c r="H101" t="str">
        <f t="shared" si="44"/>
        <v/>
      </c>
      <c r="I101" t="str">
        <f t="shared" si="45"/>
        <v/>
      </c>
      <c r="J101" t="str">
        <f t="shared" si="46"/>
        <v/>
      </c>
      <c r="K101" t="str">
        <f t="shared" si="47"/>
        <v/>
      </c>
      <c r="L101" t="str">
        <f t="shared" si="48"/>
        <v/>
      </c>
      <c r="M101" s="27" t="str">
        <f>IF(R101="","",_xlfn.XLOOKUP(R101,[2]Sheet4!B:B,[2]Sheet4!H:H))</f>
        <v/>
      </c>
      <c r="S101" s="25" t="str">
        <f>IF(Sheet2!O101="","",--LEFT(Sheet2!O101,FIND("""",Sheet2!O101)-1))</f>
        <v/>
      </c>
    </row>
    <row r="102" spans="8:19" x14ac:dyDescent="0.25">
      <c r="H102" t="str">
        <f t="shared" si="44"/>
        <v/>
      </c>
      <c r="I102" t="str">
        <f t="shared" si="45"/>
        <v/>
      </c>
      <c r="J102" t="str">
        <f t="shared" si="46"/>
        <v/>
      </c>
      <c r="K102" t="str">
        <f t="shared" si="47"/>
        <v/>
      </c>
      <c r="L102" t="str">
        <f t="shared" si="48"/>
        <v/>
      </c>
      <c r="M102" s="27" t="str">
        <f>IF(R102="","",_xlfn.XLOOKUP(R102,[2]Sheet4!B:B,[2]Sheet4!H:H))</f>
        <v/>
      </c>
      <c r="S102" s="25" t="str">
        <f>IF(Sheet2!O102="","",--LEFT(Sheet2!O102,FIND("""",Sheet2!O102)-1))</f>
        <v/>
      </c>
    </row>
    <row r="103" spans="8:19" x14ac:dyDescent="0.25">
      <c r="H103" t="str">
        <f t="shared" si="44"/>
        <v/>
      </c>
      <c r="I103" t="str">
        <f t="shared" si="45"/>
        <v/>
      </c>
      <c r="J103" t="str">
        <f t="shared" si="46"/>
        <v/>
      </c>
      <c r="K103" t="str">
        <f t="shared" si="47"/>
        <v/>
      </c>
      <c r="L103" t="str">
        <f t="shared" si="48"/>
        <v/>
      </c>
      <c r="M103" s="27" t="str">
        <f>IF(R103="","",_xlfn.XLOOKUP(R103,[2]Sheet4!B:B,[2]Sheet4!H:H))</f>
        <v/>
      </c>
      <c r="S103" s="25" t="str">
        <f>IF(Sheet2!O103="","",--LEFT(Sheet2!O103,FIND("""",Sheet2!O103)-1))</f>
        <v/>
      </c>
    </row>
    <row r="104" spans="8:19" x14ac:dyDescent="0.25">
      <c r="H104" t="str">
        <f t="shared" si="44"/>
        <v/>
      </c>
      <c r="I104" t="str">
        <f t="shared" si="45"/>
        <v/>
      </c>
      <c r="J104" t="str">
        <f t="shared" si="46"/>
        <v/>
      </c>
      <c r="K104" t="str">
        <f t="shared" si="47"/>
        <v/>
      </c>
      <c r="L104" t="str">
        <f t="shared" si="48"/>
        <v/>
      </c>
      <c r="M104" s="27" t="str">
        <f>IF(R104="","",_xlfn.XLOOKUP(R104,[2]Sheet4!B:B,[2]Sheet4!H:H))</f>
        <v/>
      </c>
      <c r="S104" s="25" t="str">
        <f>IF(Sheet2!O104="","",--LEFT(Sheet2!O104,FIND("""",Sheet2!O104)-1))</f>
        <v/>
      </c>
    </row>
    <row r="105" spans="8:19" x14ac:dyDescent="0.25">
      <c r="H105" t="str">
        <f t="shared" si="44"/>
        <v/>
      </c>
      <c r="I105" t="str">
        <f t="shared" si="45"/>
        <v/>
      </c>
      <c r="J105" t="str">
        <f t="shared" si="46"/>
        <v/>
      </c>
      <c r="K105" t="str">
        <f t="shared" si="47"/>
        <v/>
      </c>
      <c r="L105" t="str">
        <f t="shared" si="48"/>
        <v/>
      </c>
      <c r="M105" s="27" t="str">
        <f>IF(R105="","",_xlfn.XLOOKUP(R105,[2]Sheet4!B:B,[2]Sheet4!H:H))</f>
        <v/>
      </c>
      <c r="S105" s="25" t="str">
        <f>IF(Sheet2!O105="","",--LEFT(Sheet2!O105,FIND("""",Sheet2!O105)-1))</f>
        <v/>
      </c>
    </row>
    <row r="106" spans="8:19" x14ac:dyDescent="0.25">
      <c r="H106" t="str">
        <f t="shared" si="44"/>
        <v/>
      </c>
      <c r="I106" t="str">
        <f t="shared" si="45"/>
        <v/>
      </c>
      <c r="J106" t="str">
        <f t="shared" si="46"/>
        <v/>
      </c>
      <c r="K106" t="str">
        <f t="shared" si="47"/>
        <v/>
      </c>
      <c r="L106" t="str">
        <f t="shared" si="48"/>
        <v/>
      </c>
      <c r="M106" s="27" t="str">
        <f>IF(R106="","",_xlfn.XLOOKUP(R106,[2]Sheet4!B:B,[2]Sheet4!H:H))</f>
        <v/>
      </c>
      <c r="S106" s="25" t="str">
        <f>IF(Sheet2!O106="","",--LEFT(Sheet2!O106,FIND("""",Sheet2!O106)-1))</f>
        <v/>
      </c>
    </row>
    <row r="107" spans="8:19" x14ac:dyDescent="0.25">
      <c r="H107" t="str">
        <f t="shared" si="44"/>
        <v/>
      </c>
      <c r="I107" t="str">
        <f t="shared" si="45"/>
        <v/>
      </c>
      <c r="J107" t="str">
        <f t="shared" si="46"/>
        <v/>
      </c>
      <c r="K107" t="str">
        <f t="shared" si="47"/>
        <v/>
      </c>
      <c r="L107" t="str">
        <f t="shared" si="48"/>
        <v/>
      </c>
      <c r="M107" s="27" t="str">
        <f>IF(R107="","",_xlfn.XLOOKUP(R107,[2]Sheet4!B:B,[2]Sheet4!H:H))</f>
        <v/>
      </c>
      <c r="S107" s="25" t="str">
        <f>IF(Sheet2!O107="","",--LEFT(Sheet2!O107,FIND("""",Sheet2!O107)-1))</f>
        <v/>
      </c>
    </row>
    <row r="108" spans="8:19" x14ac:dyDescent="0.25">
      <c r="H108" t="str">
        <f t="shared" si="44"/>
        <v/>
      </c>
      <c r="I108" t="str">
        <f t="shared" si="45"/>
        <v/>
      </c>
      <c r="J108" t="str">
        <f t="shared" si="46"/>
        <v/>
      </c>
      <c r="K108" t="str">
        <f t="shared" si="47"/>
        <v/>
      </c>
      <c r="L108" t="str">
        <f t="shared" si="48"/>
        <v/>
      </c>
      <c r="M108" s="27" t="str">
        <f>IF(R108="","",_xlfn.XLOOKUP(R108,[2]Sheet4!B:B,[2]Sheet4!H:H))</f>
        <v/>
      </c>
      <c r="S108" s="25" t="str">
        <f>IF(Sheet2!O108="","",--LEFT(Sheet2!O108,FIND("""",Sheet2!O108)-1))</f>
        <v/>
      </c>
    </row>
    <row r="109" spans="8:19" x14ac:dyDescent="0.25">
      <c r="H109" t="str">
        <f t="shared" si="44"/>
        <v/>
      </c>
      <c r="I109" t="str">
        <f t="shared" si="45"/>
        <v/>
      </c>
      <c r="J109" t="str">
        <f t="shared" si="46"/>
        <v/>
      </c>
      <c r="K109" t="str">
        <f t="shared" si="47"/>
        <v/>
      </c>
      <c r="L109" t="str">
        <f t="shared" si="48"/>
        <v/>
      </c>
      <c r="M109" s="27" t="str">
        <f>IF(R109="","",_xlfn.XLOOKUP(R109,[2]Sheet4!B:B,[2]Sheet4!H:H))</f>
        <v/>
      </c>
      <c r="S109" s="25" t="str">
        <f>IF(Sheet2!O109="","",--LEFT(Sheet2!O109,FIND("""",Sheet2!O109)-1))</f>
        <v/>
      </c>
    </row>
    <row r="110" spans="8:19" x14ac:dyDescent="0.25">
      <c r="H110" t="str">
        <f t="shared" si="44"/>
        <v/>
      </c>
      <c r="I110" t="str">
        <f t="shared" si="45"/>
        <v/>
      </c>
      <c r="J110" t="str">
        <f t="shared" si="46"/>
        <v/>
      </c>
      <c r="K110" t="str">
        <f t="shared" si="47"/>
        <v/>
      </c>
      <c r="L110" t="str">
        <f t="shared" si="48"/>
        <v/>
      </c>
      <c r="M110" s="27" t="str">
        <f>IF(R110="","",_xlfn.XLOOKUP(R110,[2]Sheet4!B:B,[2]Sheet4!H:H))</f>
        <v/>
      </c>
      <c r="S110" s="25" t="str">
        <f>IF(Sheet2!O110="","",--LEFT(Sheet2!O110,FIND("""",Sheet2!O110)-1))</f>
        <v/>
      </c>
    </row>
    <row r="111" spans="8:19" x14ac:dyDescent="0.25">
      <c r="H111" t="str">
        <f t="shared" si="44"/>
        <v/>
      </c>
      <c r="I111" t="str">
        <f t="shared" si="45"/>
        <v/>
      </c>
      <c r="J111" t="str">
        <f t="shared" si="46"/>
        <v/>
      </c>
      <c r="K111" t="str">
        <f t="shared" si="47"/>
        <v/>
      </c>
      <c r="L111" t="str">
        <f t="shared" si="48"/>
        <v/>
      </c>
      <c r="M111" s="27" t="str">
        <f>IF(R111="","",_xlfn.XLOOKUP(R111,[2]Sheet4!B:B,[2]Sheet4!H:H))</f>
        <v/>
      </c>
      <c r="S111" s="25" t="str">
        <f>IF(Sheet2!O111="","",--LEFT(Sheet2!O111,FIND("""",Sheet2!O111)-1))</f>
        <v/>
      </c>
    </row>
    <row r="112" spans="8:19" x14ac:dyDescent="0.25">
      <c r="H112" t="str">
        <f t="shared" si="44"/>
        <v/>
      </c>
      <c r="I112" t="str">
        <f t="shared" si="45"/>
        <v/>
      </c>
      <c r="J112" t="str">
        <f t="shared" si="46"/>
        <v/>
      </c>
      <c r="K112" t="str">
        <f t="shared" si="47"/>
        <v/>
      </c>
      <c r="L112" t="str">
        <f t="shared" si="48"/>
        <v/>
      </c>
      <c r="M112" s="27" t="str">
        <f>IF(R112="","",_xlfn.XLOOKUP(R112,[2]Sheet4!B:B,[2]Sheet4!H:H))</f>
        <v/>
      </c>
      <c r="S112" s="25" t="str">
        <f>IF(Sheet2!O112="","",--LEFT(Sheet2!O112,FIND("""",Sheet2!O112)-1))</f>
        <v/>
      </c>
    </row>
    <row r="113" spans="8:19" x14ac:dyDescent="0.25">
      <c r="H113" t="str">
        <f t="shared" si="44"/>
        <v/>
      </c>
      <c r="I113" t="str">
        <f t="shared" si="45"/>
        <v/>
      </c>
      <c r="J113" t="str">
        <f t="shared" si="46"/>
        <v/>
      </c>
      <c r="K113" t="str">
        <f t="shared" si="47"/>
        <v/>
      </c>
      <c r="L113" t="str">
        <f t="shared" si="48"/>
        <v/>
      </c>
      <c r="M113" s="27" t="str">
        <f>IF(R113="","",_xlfn.XLOOKUP(R113,[2]Sheet4!B:B,[2]Sheet4!H:H))</f>
        <v/>
      </c>
      <c r="S113" s="25" t="str">
        <f>IF(Sheet2!O113="","",--LEFT(Sheet2!O113,FIND("""",Sheet2!O113)-1))</f>
        <v/>
      </c>
    </row>
    <row r="114" spans="8:19" x14ac:dyDescent="0.25">
      <c r="H114" t="str">
        <f t="shared" si="44"/>
        <v/>
      </c>
      <c r="I114" t="str">
        <f t="shared" si="45"/>
        <v/>
      </c>
      <c r="J114" t="str">
        <f t="shared" si="46"/>
        <v/>
      </c>
      <c r="K114" t="str">
        <f t="shared" si="47"/>
        <v/>
      </c>
      <c r="L114" t="str">
        <f t="shared" si="48"/>
        <v/>
      </c>
      <c r="M114" s="27" t="str">
        <f>IF(R114="","",_xlfn.XLOOKUP(R114,[2]Sheet4!B:B,[2]Sheet4!H:H))</f>
        <v/>
      </c>
      <c r="S114" s="25" t="str">
        <f>IF(Sheet2!O114="","",--LEFT(Sheet2!O114,FIND("""",Sheet2!O114)-1))</f>
        <v/>
      </c>
    </row>
    <row r="115" spans="8:19" x14ac:dyDescent="0.25">
      <c r="H115" t="str">
        <f t="shared" si="44"/>
        <v/>
      </c>
      <c r="I115" t="str">
        <f t="shared" si="45"/>
        <v/>
      </c>
      <c r="J115" t="str">
        <f t="shared" si="46"/>
        <v/>
      </c>
      <c r="K115" t="str">
        <f t="shared" si="47"/>
        <v/>
      </c>
      <c r="L115" t="str">
        <f t="shared" si="48"/>
        <v/>
      </c>
      <c r="M115" s="27" t="str">
        <f>IF(R115="","",_xlfn.XLOOKUP(R115,[2]Sheet4!B:B,[2]Sheet4!H:H))</f>
        <v/>
      </c>
      <c r="S115" s="25" t="str">
        <f>IF(Sheet2!O115="","",--LEFT(Sheet2!O115,FIND("""",Sheet2!O115)-1))</f>
        <v/>
      </c>
    </row>
    <row r="116" spans="8:19" x14ac:dyDescent="0.25">
      <c r="H116" t="str">
        <f t="shared" si="44"/>
        <v/>
      </c>
      <c r="I116" t="str">
        <f t="shared" si="45"/>
        <v/>
      </c>
      <c r="J116" t="str">
        <f t="shared" si="46"/>
        <v/>
      </c>
      <c r="K116" t="str">
        <f t="shared" si="47"/>
        <v/>
      </c>
      <c r="L116" t="str">
        <f t="shared" si="48"/>
        <v/>
      </c>
      <c r="M116" s="27" t="str">
        <f>IF(R116="","",_xlfn.XLOOKUP(R116,[2]Sheet4!B:B,[2]Sheet4!H:H))</f>
        <v/>
      </c>
      <c r="S116" s="25" t="str">
        <f>IF(Sheet2!O116="","",--LEFT(Sheet2!O116,FIND("""",Sheet2!O116)-1))</f>
        <v/>
      </c>
    </row>
    <row r="117" spans="8:19" x14ac:dyDescent="0.25">
      <c r="H117" t="str">
        <f t="shared" si="44"/>
        <v/>
      </c>
      <c r="I117" t="str">
        <f t="shared" si="45"/>
        <v/>
      </c>
      <c r="J117" t="str">
        <f t="shared" si="46"/>
        <v/>
      </c>
      <c r="K117" t="str">
        <f t="shared" si="47"/>
        <v/>
      </c>
      <c r="L117" t="str">
        <f t="shared" si="48"/>
        <v/>
      </c>
      <c r="M117" s="27" t="str">
        <f>IF(R117="","",_xlfn.XLOOKUP(R117,[2]Sheet4!B:B,[2]Sheet4!H:H))</f>
        <v/>
      </c>
      <c r="S117" s="25" t="str">
        <f>IF(Sheet2!O117="","",--LEFT(Sheet2!O117,FIND("""",Sheet2!O117)-1))</f>
        <v/>
      </c>
    </row>
    <row r="118" spans="8:19" x14ac:dyDescent="0.25">
      <c r="H118" t="str">
        <f t="shared" si="44"/>
        <v/>
      </c>
      <c r="I118" t="str">
        <f t="shared" si="45"/>
        <v/>
      </c>
      <c r="J118" t="str">
        <f t="shared" si="46"/>
        <v/>
      </c>
      <c r="K118" t="str">
        <f t="shared" si="47"/>
        <v/>
      </c>
      <c r="L118" t="str">
        <f t="shared" si="48"/>
        <v/>
      </c>
      <c r="M118" s="27" t="str">
        <f>IF(R118="","",_xlfn.XLOOKUP(R118,[2]Sheet4!B:B,[2]Sheet4!H:H))</f>
        <v/>
      </c>
      <c r="S118" s="25" t="str">
        <f>IF(Sheet2!O118="","",--LEFT(Sheet2!O118,FIND("""",Sheet2!O118)-1))</f>
        <v/>
      </c>
    </row>
    <row r="119" spans="8:19" x14ac:dyDescent="0.25">
      <c r="H119" t="str">
        <f t="shared" si="44"/>
        <v/>
      </c>
      <c r="I119" t="str">
        <f t="shared" si="45"/>
        <v/>
      </c>
      <c r="J119" t="str">
        <f t="shared" si="46"/>
        <v/>
      </c>
      <c r="K119" t="str">
        <f t="shared" si="47"/>
        <v/>
      </c>
      <c r="L119" t="str">
        <f t="shared" si="48"/>
        <v/>
      </c>
      <c r="M119" s="27" t="str">
        <f>IF(R119="","",_xlfn.XLOOKUP(R119,[2]Sheet4!B:B,[2]Sheet4!H:H))</f>
        <v/>
      </c>
      <c r="S119" s="25" t="str">
        <f>IF(Sheet2!O119="","",--LEFT(Sheet2!O119,FIND("""",Sheet2!O119)-1))</f>
        <v/>
      </c>
    </row>
    <row r="120" spans="8:19" x14ac:dyDescent="0.25">
      <c r="H120" t="str">
        <f t="shared" si="44"/>
        <v/>
      </c>
      <c r="I120" t="str">
        <f t="shared" si="45"/>
        <v/>
      </c>
      <c r="J120" t="str">
        <f t="shared" si="46"/>
        <v/>
      </c>
      <c r="K120" t="str">
        <f t="shared" si="47"/>
        <v/>
      </c>
      <c r="L120" t="str">
        <f t="shared" si="48"/>
        <v/>
      </c>
      <c r="M120" s="27" t="str">
        <f>IF(R120="","",_xlfn.XLOOKUP(R120,[2]Sheet4!B:B,[2]Sheet4!H:H))</f>
        <v/>
      </c>
      <c r="S120" s="25" t="str">
        <f>IF(Sheet2!O120="","",--LEFT(Sheet2!O120,FIND("""",Sheet2!O120)-1))</f>
        <v/>
      </c>
    </row>
    <row r="121" spans="8:19" x14ac:dyDescent="0.25">
      <c r="H121" t="str">
        <f t="shared" si="44"/>
        <v/>
      </c>
      <c r="I121" t="str">
        <f t="shared" si="45"/>
        <v/>
      </c>
      <c r="J121" t="str">
        <f t="shared" si="46"/>
        <v/>
      </c>
      <c r="K121" t="str">
        <f t="shared" si="47"/>
        <v/>
      </c>
      <c r="L121" t="str">
        <f t="shared" si="48"/>
        <v/>
      </c>
      <c r="M121" s="27" t="str">
        <f>IF(R121="","",_xlfn.XLOOKUP(R121,[2]Sheet4!B:B,[2]Sheet4!H:H))</f>
        <v/>
      </c>
      <c r="S121" s="25" t="str">
        <f>IF(Sheet2!O121="","",--LEFT(Sheet2!O121,FIND("""",Sheet2!O121)-1))</f>
        <v/>
      </c>
    </row>
    <row r="122" spans="8:19" x14ac:dyDescent="0.25">
      <c r="H122" t="str">
        <f t="shared" si="44"/>
        <v/>
      </c>
      <c r="I122" t="str">
        <f t="shared" si="45"/>
        <v/>
      </c>
      <c r="J122" t="str">
        <f t="shared" si="46"/>
        <v/>
      </c>
      <c r="K122" t="str">
        <f t="shared" si="47"/>
        <v/>
      </c>
      <c r="L122" t="str">
        <f t="shared" si="48"/>
        <v/>
      </c>
      <c r="M122" s="27" t="str">
        <f>IF(R122="","",_xlfn.XLOOKUP(R122,[2]Sheet4!B:B,[2]Sheet4!H:H))</f>
        <v/>
      </c>
      <c r="S122" s="25" t="str">
        <f>IF(Sheet2!O122="","",--LEFT(Sheet2!O122,FIND("""",Sheet2!O122)-1))</f>
        <v/>
      </c>
    </row>
    <row r="123" spans="8:19" x14ac:dyDescent="0.25">
      <c r="H123" t="str">
        <f t="shared" si="44"/>
        <v/>
      </c>
      <c r="I123" t="str">
        <f t="shared" si="45"/>
        <v/>
      </c>
      <c r="J123" t="str">
        <f t="shared" si="46"/>
        <v/>
      </c>
      <c r="K123" t="str">
        <f t="shared" si="47"/>
        <v/>
      </c>
      <c r="L123" t="str">
        <f t="shared" si="48"/>
        <v/>
      </c>
      <c r="M123" s="27" t="str">
        <f>IF(R123="","",_xlfn.XLOOKUP(R123,[2]Sheet4!B:B,[2]Sheet4!H:H))</f>
        <v/>
      </c>
      <c r="S123" s="25" t="str">
        <f>IF(Sheet2!O123="","",--LEFT(Sheet2!O123,FIND("""",Sheet2!O123)-1))</f>
        <v/>
      </c>
    </row>
    <row r="124" spans="8:19" x14ac:dyDescent="0.25">
      <c r="H124" t="str">
        <f t="shared" si="44"/>
        <v/>
      </c>
      <c r="I124" t="str">
        <f t="shared" si="45"/>
        <v/>
      </c>
      <c r="J124" t="str">
        <f t="shared" si="46"/>
        <v/>
      </c>
      <c r="K124" t="str">
        <f t="shared" si="47"/>
        <v/>
      </c>
      <c r="L124" t="str">
        <f t="shared" si="48"/>
        <v/>
      </c>
      <c r="M124" s="27" t="str">
        <f>IF(R124="","",_xlfn.XLOOKUP(R124,[2]Sheet4!B:B,[2]Sheet4!H:H))</f>
        <v/>
      </c>
      <c r="S124" s="25" t="str">
        <f>IF(Sheet2!O124="","",--LEFT(Sheet2!O124,FIND("""",Sheet2!O124)-1))</f>
        <v/>
      </c>
    </row>
    <row r="125" spans="8:19" x14ac:dyDescent="0.25">
      <c r="H125" t="str">
        <f t="shared" si="44"/>
        <v/>
      </c>
      <c r="I125" t="str">
        <f t="shared" si="45"/>
        <v/>
      </c>
      <c r="J125" t="str">
        <f t="shared" si="46"/>
        <v/>
      </c>
      <c r="K125" t="str">
        <f t="shared" si="47"/>
        <v/>
      </c>
      <c r="L125" t="str">
        <f t="shared" si="48"/>
        <v/>
      </c>
      <c r="M125" s="27" t="str">
        <f>IF(R125="","",_xlfn.XLOOKUP(R125,[2]Sheet4!B:B,[2]Sheet4!H:H))</f>
        <v/>
      </c>
      <c r="S125" s="25" t="str">
        <f>IF(Sheet2!O125="","",--LEFT(Sheet2!O125,FIND("""",Sheet2!O125)-1))</f>
        <v/>
      </c>
    </row>
    <row r="126" spans="8:19" x14ac:dyDescent="0.25">
      <c r="H126" t="str">
        <f t="shared" si="44"/>
        <v/>
      </c>
      <c r="I126" t="str">
        <f t="shared" si="45"/>
        <v/>
      </c>
      <c r="J126" t="str">
        <f t="shared" si="46"/>
        <v/>
      </c>
      <c r="K126" t="str">
        <f t="shared" si="47"/>
        <v/>
      </c>
      <c r="L126" t="str">
        <f t="shared" si="48"/>
        <v/>
      </c>
      <c r="M126" s="27" t="str">
        <f>IF(R126="","",_xlfn.XLOOKUP(R126,[2]Sheet4!B:B,[2]Sheet4!H:H))</f>
        <v/>
      </c>
      <c r="S126" s="25" t="str">
        <f>IF(Sheet2!O126="","",--LEFT(Sheet2!O126,FIND("""",Sheet2!O126)-1))</f>
        <v/>
      </c>
    </row>
    <row r="127" spans="8:19" x14ac:dyDescent="0.25">
      <c r="H127" t="str">
        <f t="shared" si="44"/>
        <v/>
      </c>
      <c r="I127" t="str">
        <f t="shared" si="45"/>
        <v/>
      </c>
      <c r="J127" t="str">
        <f t="shared" si="46"/>
        <v/>
      </c>
      <c r="K127" t="str">
        <f t="shared" si="47"/>
        <v/>
      </c>
      <c r="L127" t="str">
        <f t="shared" si="48"/>
        <v/>
      </c>
      <c r="M127" s="27" t="str">
        <f>IF(R127="","",_xlfn.XLOOKUP(R127,[2]Sheet4!B:B,[2]Sheet4!H:H))</f>
        <v/>
      </c>
      <c r="S127" s="25" t="str">
        <f>IF(Sheet2!O127="","",--LEFT(Sheet2!O127,FIND("""",Sheet2!O127)-1))</f>
        <v/>
      </c>
    </row>
    <row r="128" spans="8:19" x14ac:dyDescent="0.25">
      <c r="H128" t="str">
        <f t="shared" si="44"/>
        <v/>
      </c>
      <c r="I128" t="str">
        <f t="shared" si="45"/>
        <v/>
      </c>
      <c r="J128" t="str">
        <f t="shared" si="46"/>
        <v/>
      </c>
      <c r="K128" t="str">
        <f t="shared" si="47"/>
        <v/>
      </c>
      <c r="L128" t="str">
        <f t="shared" si="48"/>
        <v/>
      </c>
      <c r="M128" s="27" t="str">
        <f>IF(R128="","",_xlfn.XLOOKUP(R128,[2]Sheet4!B:B,[2]Sheet4!H:H))</f>
        <v/>
      </c>
      <c r="S128" s="25" t="str">
        <f>IF(Sheet2!O128="","",--LEFT(Sheet2!O128,FIND("""",Sheet2!O128)-1))</f>
        <v/>
      </c>
    </row>
    <row r="129" spans="8:19" x14ac:dyDescent="0.25">
      <c r="H129" t="str">
        <f t="shared" si="44"/>
        <v/>
      </c>
      <c r="I129" t="str">
        <f t="shared" si="45"/>
        <v/>
      </c>
      <c r="J129" t="str">
        <f t="shared" si="46"/>
        <v/>
      </c>
      <c r="K129" t="str">
        <f t="shared" si="47"/>
        <v/>
      </c>
      <c r="L129" t="str">
        <f t="shared" si="48"/>
        <v/>
      </c>
      <c r="M129" s="27" t="str">
        <f>IF(R129="","",_xlfn.XLOOKUP(R129,[2]Sheet4!B:B,[2]Sheet4!H:H))</f>
        <v/>
      </c>
      <c r="S129" s="25" t="str">
        <f>IF(Sheet2!O129="","",--LEFT(Sheet2!O129,FIND("""",Sheet2!O129)-1))</f>
        <v/>
      </c>
    </row>
    <row r="130" spans="8:19" x14ac:dyDescent="0.25">
      <c r="H130" t="str">
        <f t="shared" si="44"/>
        <v/>
      </c>
      <c r="I130" t="str">
        <f t="shared" si="45"/>
        <v/>
      </c>
      <c r="J130" t="str">
        <f t="shared" si="46"/>
        <v/>
      </c>
      <c r="K130" t="str">
        <f t="shared" si="47"/>
        <v/>
      </c>
      <c r="L130" t="str">
        <f t="shared" si="48"/>
        <v/>
      </c>
      <c r="M130" s="27" t="str">
        <f>IF(R130="","",_xlfn.XLOOKUP(R130,[2]Sheet4!B:B,[2]Sheet4!H:H))</f>
        <v/>
      </c>
      <c r="S130" s="25" t="str">
        <f>IF(Sheet2!O130="","",--LEFT(Sheet2!O130,FIND("""",Sheet2!O130)-1))</f>
        <v/>
      </c>
    </row>
    <row r="131" spans="8:19" x14ac:dyDescent="0.25">
      <c r="H131" t="str">
        <f t="shared" ref="H131:H194" si="49">IF(C131="","",B131-C131)</f>
        <v/>
      </c>
      <c r="I131" t="str">
        <f t="shared" ref="I131:I194" si="50">IF(H131="","",H131+0.5)</f>
        <v/>
      </c>
      <c r="J131" t="str">
        <f t="shared" ref="J131:J194" si="51">IF(H131="","",H131+0.67)</f>
        <v/>
      </c>
      <c r="K131" t="str">
        <f t="shared" ref="K131:K194" si="52">IF(H131="","",H131+0.83)</f>
        <v/>
      </c>
      <c r="L131" t="str">
        <f t="shared" ref="L131:L194" si="53">IF(H131="","",H131+1.17)</f>
        <v/>
      </c>
      <c r="M131" s="27" t="str">
        <f>IF(R131="","",_xlfn.XLOOKUP(R131,[2]Sheet4!B:B,[2]Sheet4!H:H))</f>
        <v/>
      </c>
      <c r="S131" s="25" t="str">
        <f>IF(Sheet2!O131="","",--LEFT(Sheet2!O131,FIND("""",Sheet2!O131)-1))</f>
        <v/>
      </c>
    </row>
    <row r="132" spans="8:19" x14ac:dyDescent="0.25">
      <c r="H132" t="str">
        <f t="shared" si="49"/>
        <v/>
      </c>
      <c r="I132" t="str">
        <f t="shared" si="50"/>
        <v/>
      </c>
      <c r="J132" t="str">
        <f t="shared" si="51"/>
        <v/>
      </c>
      <c r="K132" t="str">
        <f t="shared" si="52"/>
        <v/>
      </c>
      <c r="L132" t="str">
        <f t="shared" si="53"/>
        <v/>
      </c>
      <c r="M132" s="27" t="str">
        <f>IF(R132="","",_xlfn.XLOOKUP(R132,[2]Sheet4!B:B,[2]Sheet4!H:H))</f>
        <v/>
      </c>
      <c r="S132" s="25" t="str">
        <f>IF(Sheet2!O132="","",--LEFT(Sheet2!O132,FIND("""",Sheet2!O132)-1))</f>
        <v/>
      </c>
    </row>
    <row r="133" spans="8:19" x14ac:dyDescent="0.25">
      <c r="H133" t="str">
        <f t="shared" si="49"/>
        <v/>
      </c>
      <c r="I133" t="str">
        <f t="shared" si="50"/>
        <v/>
      </c>
      <c r="J133" t="str">
        <f t="shared" si="51"/>
        <v/>
      </c>
      <c r="K133" t="str">
        <f t="shared" si="52"/>
        <v/>
      </c>
      <c r="L133" t="str">
        <f t="shared" si="53"/>
        <v/>
      </c>
      <c r="M133" s="27" t="str">
        <f>IF(R133="","",_xlfn.XLOOKUP(R133,[2]Sheet4!B:B,[2]Sheet4!H:H))</f>
        <v/>
      </c>
      <c r="S133" s="25" t="str">
        <f>IF(Sheet2!O133="","",--LEFT(Sheet2!O133,FIND("""",Sheet2!O133)-1))</f>
        <v/>
      </c>
    </row>
    <row r="134" spans="8:19" x14ac:dyDescent="0.25">
      <c r="H134" t="str">
        <f t="shared" si="49"/>
        <v/>
      </c>
      <c r="I134" t="str">
        <f t="shared" si="50"/>
        <v/>
      </c>
      <c r="J134" t="str">
        <f t="shared" si="51"/>
        <v/>
      </c>
      <c r="K134" t="str">
        <f t="shared" si="52"/>
        <v/>
      </c>
      <c r="L134" t="str">
        <f t="shared" si="53"/>
        <v/>
      </c>
      <c r="M134" s="27" t="str">
        <f>IF(R134="","",_xlfn.XLOOKUP(R134,[2]Sheet4!B:B,[2]Sheet4!H:H))</f>
        <v/>
      </c>
      <c r="S134" s="25" t="str">
        <f>IF(Sheet2!O134="","",--LEFT(Sheet2!O134,FIND("""",Sheet2!O134)-1))</f>
        <v/>
      </c>
    </row>
    <row r="135" spans="8:19" x14ac:dyDescent="0.25">
      <c r="H135" t="str">
        <f t="shared" si="49"/>
        <v/>
      </c>
      <c r="I135" t="str">
        <f t="shared" si="50"/>
        <v/>
      </c>
      <c r="J135" t="str">
        <f t="shared" si="51"/>
        <v/>
      </c>
      <c r="K135" t="str">
        <f t="shared" si="52"/>
        <v/>
      </c>
      <c r="L135" t="str">
        <f t="shared" si="53"/>
        <v/>
      </c>
      <c r="M135" s="27" t="str">
        <f>IF(R135="","",_xlfn.XLOOKUP(R135,[2]Sheet4!B:B,[2]Sheet4!H:H))</f>
        <v/>
      </c>
      <c r="S135" s="25" t="str">
        <f>IF(Sheet2!O135="","",--LEFT(Sheet2!O135,FIND("""",Sheet2!O135)-1))</f>
        <v/>
      </c>
    </row>
    <row r="136" spans="8:19" x14ac:dyDescent="0.25">
      <c r="H136" t="str">
        <f t="shared" si="49"/>
        <v/>
      </c>
      <c r="I136" t="str">
        <f t="shared" si="50"/>
        <v/>
      </c>
      <c r="J136" t="str">
        <f t="shared" si="51"/>
        <v/>
      </c>
      <c r="K136" t="str">
        <f t="shared" si="52"/>
        <v/>
      </c>
      <c r="L136" t="str">
        <f t="shared" si="53"/>
        <v/>
      </c>
      <c r="M136" s="27" t="str">
        <f>IF(R136="","",_xlfn.XLOOKUP(R136,[2]Sheet4!B:B,[2]Sheet4!H:H))</f>
        <v/>
      </c>
      <c r="S136" s="25" t="str">
        <f>IF(Sheet2!O136="","",--LEFT(Sheet2!O136,FIND("""",Sheet2!O136)-1))</f>
        <v/>
      </c>
    </row>
    <row r="137" spans="8:19" x14ac:dyDescent="0.25">
      <c r="H137" t="str">
        <f t="shared" si="49"/>
        <v/>
      </c>
      <c r="I137" t="str">
        <f t="shared" si="50"/>
        <v/>
      </c>
      <c r="J137" t="str">
        <f t="shared" si="51"/>
        <v/>
      </c>
      <c r="K137" t="str">
        <f t="shared" si="52"/>
        <v/>
      </c>
      <c r="L137" t="str">
        <f t="shared" si="53"/>
        <v/>
      </c>
      <c r="M137" s="27" t="str">
        <f>IF(R137="","",_xlfn.XLOOKUP(R137,[2]Sheet4!B:B,[2]Sheet4!H:H))</f>
        <v/>
      </c>
      <c r="S137" s="25" t="str">
        <f>IF(Sheet2!O137="","",--LEFT(Sheet2!O137,FIND("""",Sheet2!O137)-1))</f>
        <v/>
      </c>
    </row>
    <row r="138" spans="8:19" x14ac:dyDescent="0.25">
      <c r="H138" t="str">
        <f t="shared" si="49"/>
        <v/>
      </c>
      <c r="I138" t="str">
        <f t="shared" si="50"/>
        <v/>
      </c>
      <c r="J138" t="str">
        <f t="shared" si="51"/>
        <v/>
      </c>
      <c r="K138" t="str">
        <f t="shared" si="52"/>
        <v/>
      </c>
      <c r="L138" t="str">
        <f t="shared" si="53"/>
        <v/>
      </c>
      <c r="M138" s="27" t="str">
        <f>IF(R138="","",_xlfn.XLOOKUP(R138,[2]Sheet4!B:B,[2]Sheet4!H:H))</f>
        <v/>
      </c>
      <c r="S138" s="25" t="str">
        <f>IF(Sheet2!O138="","",--LEFT(Sheet2!O138,FIND("""",Sheet2!O138)-1))</f>
        <v/>
      </c>
    </row>
    <row r="139" spans="8:19" x14ac:dyDescent="0.25">
      <c r="H139" t="str">
        <f t="shared" si="49"/>
        <v/>
      </c>
      <c r="I139" t="str">
        <f t="shared" si="50"/>
        <v/>
      </c>
      <c r="J139" t="str">
        <f t="shared" si="51"/>
        <v/>
      </c>
      <c r="K139" t="str">
        <f t="shared" si="52"/>
        <v/>
      </c>
      <c r="L139" t="str">
        <f t="shared" si="53"/>
        <v/>
      </c>
      <c r="M139" s="27" t="str">
        <f>IF(R139="","",_xlfn.XLOOKUP(R139,[2]Sheet4!B:B,[2]Sheet4!H:H))</f>
        <v/>
      </c>
      <c r="S139" s="25" t="str">
        <f>IF(Sheet2!O139="","",--LEFT(Sheet2!O139,FIND("""",Sheet2!O139)-1))</f>
        <v/>
      </c>
    </row>
    <row r="140" spans="8:19" x14ac:dyDescent="0.25">
      <c r="H140" t="str">
        <f t="shared" si="49"/>
        <v/>
      </c>
      <c r="I140" t="str">
        <f t="shared" si="50"/>
        <v/>
      </c>
      <c r="J140" t="str">
        <f t="shared" si="51"/>
        <v/>
      </c>
      <c r="K140" t="str">
        <f t="shared" si="52"/>
        <v/>
      </c>
      <c r="L140" t="str">
        <f t="shared" si="53"/>
        <v/>
      </c>
      <c r="M140" s="27" t="str">
        <f>IF(R140="","",_xlfn.XLOOKUP(R140,[2]Sheet4!B:B,[2]Sheet4!H:H))</f>
        <v/>
      </c>
      <c r="S140" s="25" t="str">
        <f>IF(Sheet2!O140="","",--LEFT(Sheet2!O140,FIND("""",Sheet2!O140)-1))</f>
        <v/>
      </c>
    </row>
    <row r="141" spans="8:19" x14ac:dyDescent="0.25">
      <c r="H141" t="str">
        <f t="shared" si="49"/>
        <v/>
      </c>
      <c r="I141" t="str">
        <f t="shared" si="50"/>
        <v/>
      </c>
      <c r="J141" t="str">
        <f t="shared" si="51"/>
        <v/>
      </c>
      <c r="K141" t="str">
        <f t="shared" si="52"/>
        <v/>
      </c>
      <c r="L141" t="str">
        <f t="shared" si="53"/>
        <v/>
      </c>
      <c r="M141" s="27" t="str">
        <f>IF(R141="","",_xlfn.XLOOKUP(R141,[2]Sheet4!B:B,[2]Sheet4!H:H))</f>
        <v/>
      </c>
      <c r="S141" s="25" t="str">
        <f>IF(Sheet2!O141="","",--LEFT(Sheet2!O141,FIND("""",Sheet2!O141)-1))</f>
        <v/>
      </c>
    </row>
    <row r="142" spans="8:19" x14ac:dyDescent="0.25">
      <c r="H142" t="str">
        <f t="shared" si="49"/>
        <v/>
      </c>
      <c r="I142" t="str">
        <f t="shared" si="50"/>
        <v/>
      </c>
      <c r="J142" t="str">
        <f t="shared" si="51"/>
        <v/>
      </c>
      <c r="K142" t="str">
        <f t="shared" si="52"/>
        <v/>
      </c>
      <c r="L142" t="str">
        <f t="shared" si="53"/>
        <v/>
      </c>
      <c r="M142" s="27" t="str">
        <f>IF(R142="","",_xlfn.XLOOKUP(R142,[2]Sheet4!B:B,[2]Sheet4!H:H))</f>
        <v/>
      </c>
      <c r="S142" s="25" t="str">
        <f>IF(Sheet2!O142="","",--LEFT(Sheet2!O142,FIND("""",Sheet2!O142)-1))</f>
        <v/>
      </c>
    </row>
    <row r="143" spans="8:19" x14ac:dyDescent="0.25">
      <c r="H143" t="str">
        <f t="shared" si="49"/>
        <v/>
      </c>
      <c r="I143" t="str">
        <f t="shared" si="50"/>
        <v/>
      </c>
      <c r="J143" t="str">
        <f t="shared" si="51"/>
        <v/>
      </c>
      <c r="K143" t="str">
        <f t="shared" si="52"/>
        <v/>
      </c>
      <c r="L143" t="str">
        <f t="shared" si="53"/>
        <v/>
      </c>
      <c r="M143" s="27" t="str">
        <f>IF(R143="","",_xlfn.XLOOKUP(R143,[2]Sheet4!B:B,[2]Sheet4!H:H))</f>
        <v/>
      </c>
      <c r="S143" s="25" t="str">
        <f>IF(Sheet2!O143="","",--LEFT(Sheet2!O143,FIND("""",Sheet2!O143)-1))</f>
        <v/>
      </c>
    </row>
    <row r="144" spans="8:19" x14ac:dyDescent="0.25">
      <c r="H144" t="str">
        <f t="shared" si="49"/>
        <v/>
      </c>
      <c r="I144" t="str">
        <f t="shared" si="50"/>
        <v/>
      </c>
      <c r="J144" t="str">
        <f t="shared" si="51"/>
        <v/>
      </c>
      <c r="K144" t="str">
        <f t="shared" si="52"/>
        <v/>
      </c>
      <c r="L144" t="str">
        <f t="shared" si="53"/>
        <v/>
      </c>
      <c r="M144" s="27" t="str">
        <f>IF(R144="","",_xlfn.XLOOKUP(R144,[2]Sheet4!B:B,[2]Sheet4!H:H))</f>
        <v/>
      </c>
      <c r="S144" s="25" t="str">
        <f>IF(Sheet2!O144="","",--LEFT(Sheet2!O144,FIND("""",Sheet2!O144)-1))</f>
        <v/>
      </c>
    </row>
    <row r="145" spans="8:19" x14ac:dyDescent="0.25">
      <c r="H145" t="str">
        <f t="shared" si="49"/>
        <v/>
      </c>
      <c r="I145" t="str">
        <f t="shared" si="50"/>
        <v/>
      </c>
      <c r="J145" t="str">
        <f t="shared" si="51"/>
        <v/>
      </c>
      <c r="K145" t="str">
        <f t="shared" si="52"/>
        <v/>
      </c>
      <c r="L145" t="str">
        <f t="shared" si="53"/>
        <v/>
      </c>
      <c r="M145" s="27" t="str">
        <f>IF(R145="","",_xlfn.XLOOKUP(R145,[2]Sheet4!B:B,[2]Sheet4!H:H))</f>
        <v/>
      </c>
      <c r="S145" s="25" t="str">
        <f>IF(Sheet2!O145="","",--LEFT(Sheet2!O145,FIND("""",Sheet2!O145)-1))</f>
        <v/>
      </c>
    </row>
    <row r="146" spans="8:19" x14ac:dyDescent="0.25">
      <c r="H146" t="str">
        <f t="shared" si="49"/>
        <v/>
      </c>
      <c r="I146" t="str">
        <f t="shared" si="50"/>
        <v/>
      </c>
      <c r="J146" t="str">
        <f t="shared" si="51"/>
        <v/>
      </c>
      <c r="K146" t="str">
        <f t="shared" si="52"/>
        <v/>
      </c>
      <c r="L146" t="str">
        <f t="shared" si="53"/>
        <v/>
      </c>
      <c r="M146" s="27" t="str">
        <f>IF(R146="","",_xlfn.XLOOKUP(R146,[2]Sheet4!B:B,[2]Sheet4!H:H))</f>
        <v/>
      </c>
      <c r="S146" s="25" t="str">
        <f>IF(Sheet2!O146="","",--LEFT(Sheet2!O146,FIND("""",Sheet2!O146)-1))</f>
        <v/>
      </c>
    </row>
    <row r="147" spans="8:19" x14ac:dyDescent="0.25">
      <c r="H147" t="str">
        <f t="shared" si="49"/>
        <v/>
      </c>
      <c r="I147" t="str">
        <f t="shared" si="50"/>
        <v/>
      </c>
      <c r="J147" t="str">
        <f t="shared" si="51"/>
        <v/>
      </c>
      <c r="K147" t="str">
        <f t="shared" si="52"/>
        <v/>
      </c>
      <c r="L147" t="str">
        <f t="shared" si="53"/>
        <v/>
      </c>
      <c r="M147" s="27" t="str">
        <f>IF(R147="","",_xlfn.XLOOKUP(R147,[2]Sheet4!B:B,[2]Sheet4!H:H))</f>
        <v/>
      </c>
      <c r="S147" s="25" t="str">
        <f>IF(Sheet2!O147="","",--LEFT(Sheet2!O147,FIND("""",Sheet2!O147)-1))</f>
        <v/>
      </c>
    </row>
    <row r="148" spans="8:19" x14ac:dyDescent="0.25">
      <c r="H148" t="str">
        <f t="shared" si="49"/>
        <v/>
      </c>
      <c r="I148" t="str">
        <f t="shared" si="50"/>
        <v/>
      </c>
      <c r="J148" t="str">
        <f t="shared" si="51"/>
        <v/>
      </c>
      <c r="K148" t="str">
        <f t="shared" si="52"/>
        <v/>
      </c>
      <c r="L148" t="str">
        <f t="shared" si="53"/>
        <v/>
      </c>
      <c r="M148" s="27" t="str">
        <f>IF(R148="","",_xlfn.XLOOKUP(R148,[2]Sheet4!B:B,[2]Sheet4!H:H))</f>
        <v/>
      </c>
      <c r="S148" s="25" t="str">
        <f>IF(Sheet2!O148="","",--LEFT(Sheet2!O148,FIND("""",Sheet2!O148)-1))</f>
        <v/>
      </c>
    </row>
    <row r="149" spans="8:19" x14ac:dyDescent="0.25">
      <c r="H149" t="str">
        <f t="shared" si="49"/>
        <v/>
      </c>
      <c r="I149" t="str">
        <f t="shared" si="50"/>
        <v/>
      </c>
      <c r="J149" t="str">
        <f t="shared" si="51"/>
        <v/>
      </c>
      <c r="K149" t="str">
        <f t="shared" si="52"/>
        <v/>
      </c>
      <c r="L149" t="str">
        <f t="shared" si="53"/>
        <v/>
      </c>
      <c r="M149" s="27" t="str">
        <f>IF(R149="","",_xlfn.XLOOKUP(R149,[2]Sheet4!B:B,[2]Sheet4!H:H))</f>
        <v/>
      </c>
      <c r="S149" s="25" t="str">
        <f>IF(Sheet2!O149="","",--LEFT(Sheet2!O149,FIND("""",Sheet2!O149)-1))</f>
        <v/>
      </c>
    </row>
    <row r="150" spans="8:19" x14ac:dyDescent="0.25">
      <c r="H150" t="str">
        <f t="shared" si="49"/>
        <v/>
      </c>
      <c r="I150" t="str">
        <f t="shared" si="50"/>
        <v/>
      </c>
      <c r="J150" t="str">
        <f t="shared" si="51"/>
        <v/>
      </c>
      <c r="K150" t="str">
        <f t="shared" si="52"/>
        <v/>
      </c>
      <c r="L150" t="str">
        <f t="shared" si="53"/>
        <v/>
      </c>
      <c r="M150" s="27" t="str">
        <f>IF(R150="","",_xlfn.XLOOKUP(R150,[2]Sheet4!B:B,[2]Sheet4!H:H))</f>
        <v/>
      </c>
      <c r="S150" s="25" t="str">
        <f>IF(Sheet2!O150="","",--LEFT(Sheet2!O150,FIND("""",Sheet2!O150)-1))</f>
        <v/>
      </c>
    </row>
    <row r="151" spans="8:19" x14ac:dyDescent="0.25">
      <c r="H151" t="str">
        <f t="shared" si="49"/>
        <v/>
      </c>
      <c r="I151" t="str">
        <f t="shared" si="50"/>
        <v/>
      </c>
      <c r="J151" t="str">
        <f t="shared" si="51"/>
        <v/>
      </c>
      <c r="K151" t="str">
        <f t="shared" si="52"/>
        <v/>
      </c>
      <c r="L151" t="str">
        <f t="shared" si="53"/>
        <v/>
      </c>
      <c r="M151" s="27" t="str">
        <f>IF(R151="","",_xlfn.XLOOKUP(R151,[2]Sheet4!B:B,[2]Sheet4!H:H))</f>
        <v/>
      </c>
      <c r="S151" s="25" t="str">
        <f>IF(Sheet2!O151="","",--LEFT(Sheet2!O151,FIND("""",Sheet2!O151)-1))</f>
        <v/>
      </c>
    </row>
    <row r="152" spans="8:19" x14ac:dyDescent="0.25">
      <c r="H152" t="str">
        <f t="shared" si="49"/>
        <v/>
      </c>
      <c r="I152" t="str">
        <f t="shared" si="50"/>
        <v/>
      </c>
      <c r="J152" t="str">
        <f t="shared" si="51"/>
        <v/>
      </c>
      <c r="K152" t="str">
        <f t="shared" si="52"/>
        <v/>
      </c>
      <c r="L152" t="str">
        <f t="shared" si="53"/>
        <v/>
      </c>
      <c r="M152" s="27" t="str">
        <f>IF(R152="","",_xlfn.XLOOKUP(R152,[2]Sheet4!B:B,[2]Sheet4!H:H))</f>
        <v/>
      </c>
      <c r="S152" s="25" t="str">
        <f>IF(Sheet2!O152="","",--LEFT(Sheet2!O152,FIND("""",Sheet2!O152)-1))</f>
        <v/>
      </c>
    </row>
    <row r="153" spans="8:19" x14ac:dyDescent="0.25">
      <c r="H153" t="str">
        <f t="shared" si="49"/>
        <v/>
      </c>
      <c r="I153" t="str">
        <f t="shared" si="50"/>
        <v/>
      </c>
      <c r="J153" t="str">
        <f t="shared" si="51"/>
        <v/>
      </c>
      <c r="K153" t="str">
        <f t="shared" si="52"/>
        <v/>
      </c>
      <c r="L153" t="str">
        <f t="shared" si="53"/>
        <v/>
      </c>
      <c r="M153" s="27" t="str">
        <f>IF(R153="","",_xlfn.XLOOKUP(R153,[2]Sheet4!B:B,[2]Sheet4!H:H))</f>
        <v/>
      </c>
      <c r="S153" s="25" t="str">
        <f>IF(Sheet2!O153="","",--LEFT(Sheet2!O153,FIND("""",Sheet2!O153)-1))</f>
        <v/>
      </c>
    </row>
    <row r="154" spans="8:19" x14ac:dyDescent="0.25">
      <c r="H154" t="str">
        <f t="shared" si="49"/>
        <v/>
      </c>
      <c r="I154" t="str">
        <f t="shared" si="50"/>
        <v/>
      </c>
      <c r="J154" t="str">
        <f t="shared" si="51"/>
        <v/>
      </c>
      <c r="K154" t="str">
        <f t="shared" si="52"/>
        <v/>
      </c>
      <c r="L154" t="str">
        <f t="shared" si="53"/>
        <v/>
      </c>
      <c r="M154" s="27" t="str">
        <f>IF(R154="","",_xlfn.XLOOKUP(R154,[2]Sheet4!B:B,[2]Sheet4!H:H))</f>
        <v/>
      </c>
      <c r="S154" s="25" t="str">
        <f>IF(Sheet2!O154="","",--LEFT(Sheet2!O154,FIND("""",Sheet2!O154)-1))</f>
        <v/>
      </c>
    </row>
    <row r="155" spans="8:19" x14ac:dyDescent="0.25">
      <c r="H155" t="str">
        <f t="shared" si="49"/>
        <v/>
      </c>
      <c r="I155" t="str">
        <f t="shared" si="50"/>
        <v/>
      </c>
      <c r="J155" t="str">
        <f t="shared" si="51"/>
        <v/>
      </c>
      <c r="K155" t="str">
        <f t="shared" si="52"/>
        <v/>
      </c>
      <c r="L155" t="str">
        <f t="shared" si="53"/>
        <v/>
      </c>
      <c r="M155" s="27" t="str">
        <f>IF(R155="","",_xlfn.XLOOKUP(R155,[2]Sheet4!B:B,[2]Sheet4!H:H))</f>
        <v/>
      </c>
      <c r="S155" s="25" t="str">
        <f>IF(Sheet2!O155="","",--LEFT(Sheet2!O155,FIND("""",Sheet2!O155)-1))</f>
        <v/>
      </c>
    </row>
    <row r="156" spans="8:19" x14ac:dyDescent="0.25">
      <c r="H156" t="str">
        <f t="shared" si="49"/>
        <v/>
      </c>
      <c r="I156" t="str">
        <f t="shared" si="50"/>
        <v/>
      </c>
      <c r="J156" t="str">
        <f t="shared" si="51"/>
        <v/>
      </c>
      <c r="K156" t="str">
        <f t="shared" si="52"/>
        <v/>
      </c>
      <c r="L156" t="str">
        <f t="shared" si="53"/>
        <v/>
      </c>
      <c r="M156" s="27" t="str">
        <f>IF(R156="","",_xlfn.XLOOKUP(R156,[2]Sheet4!B:B,[2]Sheet4!H:H))</f>
        <v/>
      </c>
      <c r="S156" s="25" t="str">
        <f>IF(Sheet2!O156="","",--LEFT(Sheet2!O156,FIND("""",Sheet2!O156)-1))</f>
        <v/>
      </c>
    </row>
    <row r="157" spans="8:19" x14ac:dyDescent="0.25">
      <c r="H157" t="str">
        <f t="shared" si="49"/>
        <v/>
      </c>
      <c r="I157" t="str">
        <f t="shared" si="50"/>
        <v/>
      </c>
      <c r="J157" t="str">
        <f t="shared" si="51"/>
        <v/>
      </c>
      <c r="K157" t="str">
        <f t="shared" si="52"/>
        <v/>
      </c>
      <c r="L157" t="str">
        <f t="shared" si="53"/>
        <v/>
      </c>
      <c r="M157" s="27" t="str">
        <f>IF(R157="","",_xlfn.XLOOKUP(R157,[2]Sheet4!B:B,[2]Sheet4!H:H))</f>
        <v/>
      </c>
      <c r="S157" s="25" t="str">
        <f>IF(Sheet2!O157="","",--LEFT(Sheet2!O157,FIND("""",Sheet2!O157)-1))</f>
        <v/>
      </c>
    </row>
    <row r="158" spans="8:19" x14ac:dyDescent="0.25">
      <c r="H158" t="str">
        <f t="shared" si="49"/>
        <v/>
      </c>
      <c r="I158" t="str">
        <f t="shared" si="50"/>
        <v/>
      </c>
      <c r="J158" t="str">
        <f t="shared" si="51"/>
        <v/>
      </c>
      <c r="K158" t="str">
        <f t="shared" si="52"/>
        <v/>
      </c>
      <c r="L158" t="str">
        <f t="shared" si="53"/>
        <v/>
      </c>
      <c r="M158" s="27" t="str">
        <f>IF(R158="","",_xlfn.XLOOKUP(R158,[2]Sheet4!B:B,[2]Sheet4!H:H))</f>
        <v/>
      </c>
      <c r="S158" s="25" t="str">
        <f>IF(Sheet2!O158="","",--LEFT(Sheet2!O158,FIND("""",Sheet2!O158)-1))</f>
        <v/>
      </c>
    </row>
    <row r="159" spans="8:19" x14ac:dyDescent="0.25">
      <c r="H159" t="str">
        <f t="shared" si="49"/>
        <v/>
      </c>
      <c r="I159" t="str">
        <f t="shared" si="50"/>
        <v/>
      </c>
      <c r="J159" t="str">
        <f t="shared" si="51"/>
        <v/>
      </c>
      <c r="K159" t="str">
        <f t="shared" si="52"/>
        <v/>
      </c>
      <c r="L159" t="str">
        <f t="shared" si="53"/>
        <v/>
      </c>
      <c r="M159" s="27" t="str">
        <f>IF(R159="","",_xlfn.XLOOKUP(R159,[2]Sheet4!B:B,[2]Sheet4!H:H))</f>
        <v/>
      </c>
      <c r="S159" s="25" t="str">
        <f>IF(Sheet2!O159="","",--LEFT(Sheet2!O159,FIND("""",Sheet2!O159)-1))</f>
        <v/>
      </c>
    </row>
    <row r="160" spans="8:19" x14ac:dyDescent="0.25">
      <c r="H160" t="str">
        <f t="shared" si="49"/>
        <v/>
      </c>
      <c r="I160" t="str">
        <f t="shared" si="50"/>
        <v/>
      </c>
      <c r="J160" t="str">
        <f t="shared" si="51"/>
        <v/>
      </c>
      <c r="K160" t="str">
        <f t="shared" si="52"/>
        <v/>
      </c>
      <c r="L160" t="str">
        <f t="shared" si="53"/>
        <v/>
      </c>
      <c r="M160" s="27" t="str">
        <f>IF(R160="","",_xlfn.XLOOKUP(R160,[2]Sheet4!B:B,[2]Sheet4!H:H))</f>
        <v/>
      </c>
      <c r="S160" s="25" t="str">
        <f>IF(Sheet2!O160="","",--LEFT(Sheet2!O160,FIND("""",Sheet2!O160)-1))</f>
        <v/>
      </c>
    </row>
    <row r="161" spans="8:19" x14ac:dyDescent="0.25">
      <c r="H161" t="str">
        <f t="shared" si="49"/>
        <v/>
      </c>
      <c r="I161" t="str">
        <f t="shared" si="50"/>
        <v/>
      </c>
      <c r="J161" t="str">
        <f t="shared" si="51"/>
        <v/>
      </c>
      <c r="K161" t="str">
        <f t="shared" si="52"/>
        <v/>
      </c>
      <c r="L161" t="str">
        <f t="shared" si="53"/>
        <v/>
      </c>
      <c r="M161" s="27" t="str">
        <f>IF(R161="","",_xlfn.XLOOKUP(R161,[2]Sheet4!B:B,[2]Sheet4!H:H))</f>
        <v/>
      </c>
      <c r="S161" s="25" t="str">
        <f>IF(Sheet2!O161="","",--LEFT(Sheet2!O161,FIND("""",Sheet2!O161)-1))</f>
        <v/>
      </c>
    </row>
    <row r="162" spans="8:19" x14ac:dyDescent="0.25">
      <c r="H162" t="str">
        <f t="shared" si="49"/>
        <v/>
      </c>
      <c r="I162" t="str">
        <f t="shared" si="50"/>
        <v/>
      </c>
      <c r="J162" t="str">
        <f t="shared" si="51"/>
        <v/>
      </c>
      <c r="K162" t="str">
        <f t="shared" si="52"/>
        <v/>
      </c>
      <c r="L162" t="str">
        <f t="shared" si="53"/>
        <v/>
      </c>
      <c r="M162" s="27" t="str">
        <f>IF(R162="","",_xlfn.XLOOKUP(R162,[2]Sheet4!B:B,[2]Sheet4!H:H))</f>
        <v/>
      </c>
      <c r="S162" s="25" t="str">
        <f>IF(Sheet2!O162="","",--LEFT(Sheet2!O162,FIND("""",Sheet2!O162)-1))</f>
        <v/>
      </c>
    </row>
    <row r="163" spans="8:19" x14ac:dyDescent="0.25">
      <c r="H163" t="str">
        <f t="shared" si="49"/>
        <v/>
      </c>
      <c r="I163" t="str">
        <f t="shared" si="50"/>
        <v/>
      </c>
      <c r="J163" t="str">
        <f t="shared" si="51"/>
        <v/>
      </c>
      <c r="K163" t="str">
        <f t="shared" si="52"/>
        <v/>
      </c>
      <c r="L163" t="str">
        <f t="shared" si="53"/>
        <v/>
      </c>
      <c r="M163" s="27" t="str">
        <f>IF(R163="","",_xlfn.XLOOKUP(R163,[2]Sheet4!B:B,[2]Sheet4!H:H))</f>
        <v/>
      </c>
      <c r="S163" s="25" t="str">
        <f>IF(Sheet2!O163="","",--LEFT(Sheet2!O163,FIND("""",Sheet2!O163)-1))</f>
        <v/>
      </c>
    </row>
    <row r="164" spans="8:19" x14ac:dyDescent="0.25">
      <c r="H164" t="str">
        <f t="shared" si="49"/>
        <v/>
      </c>
      <c r="I164" t="str">
        <f t="shared" si="50"/>
        <v/>
      </c>
      <c r="J164" t="str">
        <f t="shared" si="51"/>
        <v/>
      </c>
      <c r="K164" t="str">
        <f t="shared" si="52"/>
        <v/>
      </c>
      <c r="L164" t="str">
        <f t="shared" si="53"/>
        <v/>
      </c>
      <c r="M164" s="27" t="str">
        <f>IF(R164="","",_xlfn.XLOOKUP(R164,[2]Sheet4!B:B,[2]Sheet4!H:H))</f>
        <v/>
      </c>
      <c r="S164" s="25" t="str">
        <f>IF(Sheet2!O164="","",--LEFT(Sheet2!O164,FIND("""",Sheet2!O164)-1))</f>
        <v/>
      </c>
    </row>
    <row r="165" spans="8:19" x14ac:dyDescent="0.25">
      <c r="H165" t="str">
        <f t="shared" si="49"/>
        <v/>
      </c>
      <c r="I165" t="str">
        <f t="shared" si="50"/>
        <v/>
      </c>
      <c r="J165" t="str">
        <f t="shared" si="51"/>
        <v/>
      </c>
      <c r="K165" t="str">
        <f t="shared" si="52"/>
        <v/>
      </c>
      <c r="L165" t="str">
        <f t="shared" si="53"/>
        <v/>
      </c>
      <c r="M165" s="27" t="str">
        <f>IF(R165="","",_xlfn.XLOOKUP(R165,[2]Sheet4!B:B,[2]Sheet4!H:H))</f>
        <v/>
      </c>
      <c r="S165" s="25" t="str">
        <f>IF(Sheet2!O165="","",--LEFT(Sheet2!O165,FIND("""",Sheet2!O165)-1))</f>
        <v/>
      </c>
    </row>
    <row r="166" spans="8:19" x14ac:dyDescent="0.25">
      <c r="H166" t="str">
        <f t="shared" si="49"/>
        <v/>
      </c>
      <c r="I166" t="str">
        <f t="shared" si="50"/>
        <v/>
      </c>
      <c r="J166" t="str">
        <f t="shared" si="51"/>
        <v/>
      </c>
      <c r="K166" t="str">
        <f t="shared" si="52"/>
        <v/>
      </c>
      <c r="L166" t="str">
        <f t="shared" si="53"/>
        <v/>
      </c>
      <c r="M166" s="27" t="str">
        <f>IF(R166="","",_xlfn.XLOOKUP(R166,[2]Sheet4!B:B,[2]Sheet4!H:H))</f>
        <v/>
      </c>
      <c r="S166" s="25" t="str">
        <f>IF(Sheet2!O166="","",--LEFT(Sheet2!O166,FIND("""",Sheet2!O166)-1))</f>
        <v/>
      </c>
    </row>
    <row r="167" spans="8:19" x14ac:dyDescent="0.25">
      <c r="H167" t="str">
        <f t="shared" si="49"/>
        <v/>
      </c>
      <c r="I167" t="str">
        <f t="shared" si="50"/>
        <v/>
      </c>
      <c r="J167" t="str">
        <f t="shared" si="51"/>
        <v/>
      </c>
      <c r="K167" t="str">
        <f t="shared" si="52"/>
        <v/>
      </c>
      <c r="L167" t="str">
        <f t="shared" si="53"/>
        <v/>
      </c>
      <c r="M167" s="27" t="str">
        <f>IF(R167="","",_xlfn.XLOOKUP(R167,[2]Sheet4!B:B,[2]Sheet4!H:H))</f>
        <v/>
      </c>
      <c r="S167" s="25" t="str">
        <f>IF(Sheet2!O167="","",--LEFT(Sheet2!O167,FIND("""",Sheet2!O167)-1))</f>
        <v/>
      </c>
    </row>
    <row r="168" spans="8:19" x14ac:dyDescent="0.25">
      <c r="H168" t="str">
        <f t="shared" si="49"/>
        <v/>
      </c>
      <c r="I168" t="str">
        <f t="shared" si="50"/>
        <v/>
      </c>
      <c r="J168" t="str">
        <f t="shared" si="51"/>
        <v/>
      </c>
      <c r="K168" t="str">
        <f t="shared" si="52"/>
        <v/>
      </c>
      <c r="L168" t="str">
        <f t="shared" si="53"/>
        <v/>
      </c>
      <c r="M168" s="27" t="str">
        <f>IF(R168="","",_xlfn.XLOOKUP(R168,[2]Sheet4!B:B,[2]Sheet4!H:H))</f>
        <v/>
      </c>
      <c r="S168" s="25" t="str">
        <f>IF(Sheet2!O168="","",--LEFT(Sheet2!O168,FIND("""",Sheet2!O168)-1))</f>
        <v/>
      </c>
    </row>
    <row r="169" spans="8:19" x14ac:dyDescent="0.25">
      <c r="H169" t="str">
        <f t="shared" si="49"/>
        <v/>
      </c>
      <c r="I169" t="str">
        <f t="shared" si="50"/>
        <v/>
      </c>
      <c r="J169" t="str">
        <f t="shared" si="51"/>
        <v/>
      </c>
      <c r="K169" t="str">
        <f t="shared" si="52"/>
        <v/>
      </c>
      <c r="L169" t="str">
        <f t="shared" si="53"/>
        <v/>
      </c>
      <c r="M169" s="27" t="str">
        <f>IF(R169="","",_xlfn.XLOOKUP(R169,[2]Sheet4!B:B,[2]Sheet4!H:H))</f>
        <v/>
      </c>
      <c r="S169" s="25" t="str">
        <f>IF(Sheet2!O169="","",--LEFT(Sheet2!O169,FIND("""",Sheet2!O169)-1))</f>
        <v/>
      </c>
    </row>
    <row r="170" spans="8:19" x14ac:dyDescent="0.25">
      <c r="H170" t="str">
        <f t="shared" si="49"/>
        <v/>
      </c>
      <c r="I170" t="str">
        <f t="shared" si="50"/>
        <v/>
      </c>
      <c r="J170" t="str">
        <f t="shared" si="51"/>
        <v/>
      </c>
      <c r="K170" t="str">
        <f t="shared" si="52"/>
        <v/>
      </c>
      <c r="L170" t="str">
        <f t="shared" si="53"/>
        <v/>
      </c>
      <c r="M170" s="27" t="str">
        <f>IF(R170="","",_xlfn.XLOOKUP(R170,[2]Sheet4!B:B,[2]Sheet4!H:H))</f>
        <v/>
      </c>
      <c r="S170" s="25" t="str">
        <f>IF(Sheet2!O170="","",--LEFT(Sheet2!O170,FIND("""",Sheet2!O170)-1))</f>
        <v/>
      </c>
    </row>
    <row r="171" spans="8:19" x14ac:dyDescent="0.25">
      <c r="H171" t="str">
        <f t="shared" si="49"/>
        <v/>
      </c>
      <c r="I171" t="str">
        <f t="shared" si="50"/>
        <v/>
      </c>
      <c r="J171" t="str">
        <f t="shared" si="51"/>
        <v/>
      </c>
      <c r="K171" t="str">
        <f t="shared" si="52"/>
        <v/>
      </c>
      <c r="L171" t="str">
        <f t="shared" si="53"/>
        <v/>
      </c>
      <c r="M171" s="27" t="str">
        <f>IF(R171="","",_xlfn.XLOOKUP(R171,[2]Sheet4!B:B,[2]Sheet4!H:H))</f>
        <v/>
      </c>
      <c r="S171" s="25" t="str">
        <f>IF(Sheet2!O171="","",--LEFT(Sheet2!O171,FIND("""",Sheet2!O171)-1))</f>
        <v/>
      </c>
    </row>
    <row r="172" spans="8:19" x14ac:dyDescent="0.25">
      <c r="H172" t="str">
        <f t="shared" si="49"/>
        <v/>
      </c>
      <c r="I172" t="str">
        <f t="shared" si="50"/>
        <v/>
      </c>
      <c r="J172" t="str">
        <f t="shared" si="51"/>
        <v/>
      </c>
      <c r="K172" t="str">
        <f t="shared" si="52"/>
        <v/>
      </c>
      <c r="L172" t="str">
        <f t="shared" si="53"/>
        <v/>
      </c>
      <c r="M172" s="27" t="str">
        <f>IF(R172="","",_xlfn.XLOOKUP(R172,[2]Sheet4!B:B,[2]Sheet4!H:H))</f>
        <v/>
      </c>
      <c r="S172" s="25" t="str">
        <f>IF(Sheet2!O172="","",--LEFT(Sheet2!O172,FIND("""",Sheet2!O172)-1))</f>
        <v/>
      </c>
    </row>
    <row r="173" spans="8:19" x14ac:dyDescent="0.25">
      <c r="H173" t="str">
        <f t="shared" si="49"/>
        <v/>
      </c>
      <c r="I173" t="str">
        <f t="shared" si="50"/>
        <v/>
      </c>
      <c r="J173" t="str">
        <f t="shared" si="51"/>
        <v/>
      </c>
      <c r="K173" t="str">
        <f t="shared" si="52"/>
        <v/>
      </c>
      <c r="L173" t="str">
        <f t="shared" si="53"/>
        <v/>
      </c>
      <c r="M173" s="27" t="str">
        <f>IF(R173="","",_xlfn.XLOOKUP(R173,[2]Sheet4!B:B,[2]Sheet4!H:H))</f>
        <v/>
      </c>
      <c r="S173" s="25" t="str">
        <f>IF(Sheet2!O173="","",--LEFT(Sheet2!O173,FIND("""",Sheet2!O173)-1))</f>
        <v/>
      </c>
    </row>
    <row r="174" spans="8:19" x14ac:dyDescent="0.25">
      <c r="H174" t="str">
        <f t="shared" si="49"/>
        <v/>
      </c>
      <c r="I174" t="str">
        <f t="shared" si="50"/>
        <v/>
      </c>
      <c r="J174" t="str">
        <f t="shared" si="51"/>
        <v/>
      </c>
      <c r="K174" t="str">
        <f t="shared" si="52"/>
        <v/>
      </c>
      <c r="L174" t="str">
        <f t="shared" si="53"/>
        <v/>
      </c>
      <c r="M174" s="27" t="str">
        <f>IF(R174="","",_xlfn.XLOOKUP(R174,[2]Sheet4!B:B,[2]Sheet4!H:H))</f>
        <v/>
      </c>
      <c r="S174" s="25" t="str">
        <f>IF(Sheet2!O174="","",--LEFT(Sheet2!O174,FIND("""",Sheet2!O174)-1))</f>
        <v/>
      </c>
    </row>
    <row r="175" spans="8:19" x14ac:dyDescent="0.25">
      <c r="H175" t="str">
        <f t="shared" si="49"/>
        <v/>
      </c>
      <c r="I175" t="str">
        <f t="shared" si="50"/>
        <v/>
      </c>
      <c r="J175" t="str">
        <f t="shared" si="51"/>
        <v/>
      </c>
      <c r="K175" t="str">
        <f t="shared" si="52"/>
        <v/>
      </c>
      <c r="L175" t="str">
        <f t="shared" si="53"/>
        <v/>
      </c>
      <c r="M175" s="27" t="str">
        <f>IF(R175="","",_xlfn.XLOOKUP(R175,[2]Sheet4!B:B,[2]Sheet4!H:H))</f>
        <v/>
      </c>
      <c r="S175" s="25" t="str">
        <f>IF(Sheet2!O175="","",--LEFT(Sheet2!O175,FIND("""",Sheet2!O175)-1))</f>
        <v/>
      </c>
    </row>
    <row r="176" spans="8:19" x14ac:dyDescent="0.25">
      <c r="H176" t="str">
        <f t="shared" si="49"/>
        <v/>
      </c>
      <c r="I176" t="str">
        <f t="shared" si="50"/>
        <v/>
      </c>
      <c r="J176" t="str">
        <f t="shared" si="51"/>
        <v/>
      </c>
      <c r="K176" t="str">
        <f t="shared" si="52"/>
        <v/>
      </c>
      <c r="L176" t="str">
        <f t="shared" si="53"/>
        <v/>
      </c>
      <c r="M176" s="27" t="str">
        <f>IF(R176="","",_xlfn.XLOOKUP(R176,[2]Sheet4!B:B,[2]Sheet4!H:H))</f>
        <v/>
      </c>
      <c r="S176" s="25" t="str">
        <f>IF(Sheet2!O176="","",--LEFT(Sheet2!O176,FIND("""",Sheet2!O176)-1))</f>
        <v/>
      </c>
    </row>
    <row r="177" spans="8:19" x14ac:dyDescent="0.25">
      <c r="H177" t="str">
        <f t="shared" si="49"/>
        <v/>
      </c>
      <c r="I177" t="str">
        <f t="shared" si="50"/>
        <v/>
      </c>
      <c r="J177" t="str">
        <f t="shared" si="51"/>
        <v/>
      </c>
      <c r="K177" t="str">
        <f t="shared" si="52"/>
        <v/>
      </c>
      <c r="L177" t="str">
        <f t="shared" si="53"/>
        <v/>
      </c>
      <c r="M177" s="27" t="str">
        <f>IF(R177="","",_xlfn.XLOOKUP(R177,[2]Sheet4!B:B,[2]Sheet4!H:H))</f>
        <v/>
      </c>
      <c r="S177" s="25" t="str">
        <f>IF(Sheet2!O177="","",--LEFT(Sheet2!O177,FIND("""",Sheet2!O177)-1))</f>
        <v/>
      </c>
    </row>
    <row r="178" spans="8:19" x14ac:dyDescent="0.25">
      <c r="H178" t="str">
        <f t="shared" si="49"/>
        <v/>
      </c>
      <c r="I178" t="str">
        <f t="shared" si="50"/>
        <v/>
      </c>
      <c r="J178" t="str">
        <f t="shared" si="51"/>
        <v/>
      </c>
      <c r="K178" t="str">
        <f t="shared" si="52"/>
        <v/>
      </c>
      <c r="L178" t="str">
        <f t="shared" si="53"/>
        <v/>
      </c>
      <c r="M178" s="27" t="str">
        <f>IF(R178="","",_xlfn.XLOOKUP(R178,[2]Sheet4!B:B,[2]Sheet4!H:H))</f>
        <v/>
      </c>
      <c r="S178" s="25" t="str">
        <f>IF(Sheet2!O178="","",--LEFT(Sheet2!O178,FIND("""",Sheet2!O178)-1))</f>
        <v/>
      </c>
    </row>
    <row r="179" spans="8:19" x14ac:dyDescent="0.25">
      <c r="H179" t="str">
        <f t="shared" si="49"/>
        <v/>
      </c>
      <c r="I179" t="str">
        <f t="shared" si="50"/>
        <v/>
      </c>
      <c r="J179" t="str">
        <f t="shared" si="51"/>
        <v/>
      </c>
      <c r="K179" t="str">
        <f t="shared" si="52"/>
        <v/>
      </c>
      <c r="L179" t="str">
        <f t="shared" si="53"/>
        <v/>
      </c>
      <c r="M179" s="27" t="str">
        <f>IF(R179="","",_xlfn.XLOOKUP(R179,[2]Sheet4!B:B,[2]Sheet4!H:H))</f>
        <v/>
      </c>
      <c r="S179" s="25" t="str">
        <f>IF(Sheet2!O179="","",--LEFT(Sheet2!O179,FIND("""",Sheet2!O179)-1))</f>
        <v/>
      </c>
    </row>
    <row r="180" spans="8:19" x14ac:dyDescent="0.25">
      <c r="H180" t="str">
        <f t="shared" si="49"/>
        <v/>
      </c>
      <c r="I180" t="str">
        <f t="shared" si="50"/>
        <v/>
      </c>
      <c r="J180" t="str">
        <f t="shared" si="51"/>
        <v/>
      </c>
      <c r="K180" t="str">
        <f t="shared" si="52"/>
        <v/>
      </c>
      <c r="L180" t="str">
        <f t="shared" si="53"/>
        <v/>
      </c>
      <c r="M180" s="27" t="str">
        <f>IF(R180="","",_xlfn.XLOOKUP(R180,[2]Sheet4!B:B,[2]Sheet4!H:H))</f>
        <v/>
      </c>
      <c r="S180" s="25" t="str">
        <f>IF(Sheet2!O180="","",--LEFT(Sheet2!O180,FIND("""",Sheet2!O180)-1))</f>
        <v/>
      </c>
    </row>
    <row r="181" spans="8:19" x14ac:dyDescent="0.25">
      <c r="H181" t="str">
        <f t="shared" si="49"/>
        <v/>
      </c>
      <c r="I181" t="str">
        <f t="shared" si="50"/>
        <v/>
      </c>
      <c r="J181" t="str">
        <f t="shared" si="51"/>
        <v/>
      </c>
      <c r="K181" t="str">
        <f t="shared" si="52"/>
        <v/>
      </c>
      <c r="L181" t="str">
        <f t="shared" si="53"/>
        <v/>
      </c>
      <c r="M181" s="27" t="str">
        <f>IF(R181="","",_xlfn.XLOOKUP(R181,[2]Sheet4!B:B,[2]Sheet4!H:H))</f>
        <v/>
      </c>
      <c r="S181" s="25" t="str">
        <f>IF(Sheet2!O181="","",--LEFT(Sheet2!O181,FIND("""",Sheet2!O181)-1))</f>
        <v/>
      </c>
    </row>
    <row r="182" spans="8:19" x14ac:dyDescent="0.25">
      <c r="H182" t="str">
        <f t="shared" si="49"/>
        <v/>
      </c>
      <c r="I182" t="str">
        <f t="shared" si="50"/>
        <v/>
      </c>
      <c r="J182" t="str">
        <f t="shared" si="51"/>
        <v/>
      </c>
      <c r="K182" t="str">
        <f t="shared" si="52"/>
        <v/>
      </c>
      <c r="L182" t="str">
        <f t="shared" si="53"/>
        <v/>
      </c>
      <c r="M182" s="27" t="str">
        <f>IF(R182="","",_xlfn.XLOOKUP(R182,[2]Sheet4!B:B,[2]Sheet4!H:H))</f>
        <v/>
      </c>
      <c r="S182" s="25" t="str">
        <f>IF(Sheet2!O182="","",--LEFT(Sheet2!O182,FIND("""",Sheet2!O182)-1))</f>
        <v/>
      </c>
    </row>
    <row r="183" spans="8:19" x14ac:dyDescent="0.25">
      <c r="H183" t="str">
        <f t="shared" si="49"/>
        <v/>
      </c>
      <c r="I183" t="str">
        <f t="shared" si="50"/>
        <v/>
      </c>
      <c r="J183" t="str">
        <f t="shared" si="51"/>
        <v/>
      </c>
      <c r="K183" t="str">
        <f t="shared" si="52"/>
        <v/>
      </c>
      <c r="L183" t="str">
        <f t="shared" si="53"/>
        <v/>
      </c>
      <c r="M183" s="27" t="str">
        <f>IF(R183="","",_xlfn.XLOOKUP(R183,[2]Sheet4!B:B,[2]Sheet4!H:H))</f>
        <v/>
      </c>
      <c r="S183" s="25" t="str">
        <f>IF(Sheet2!O183="","",--LEFT(Sheet2!O183,FIND("""",Sheet2!O183)-1))</f>
        <v/>
      </c>
    </row>
    <row r="184" spans="8:19" x14ac:dyDescent="0.25">
      <c r="H184" t="str">
        <f t="shared" si="49"/>
        <v/>
      </c>
      <c r="I184" t="str">
        <f t="shared" si="50"/>
        <v/>
      </c>
      <c r="J184" t="str">
        <f t="shared" si="51"/>
        <v/>
      </c>
      <c r="K184" t="str">
        <f t="shared" si="52"/>
        <v/>
      </c>
      <c r="L184" t="str">
        <f t="shared" si="53"/>
        <v/>
      </c>
      <c r="M184" s="27" t="str">
        <f>IF(R184="","",_xlfn.XLOOKUP(R184,[2]Sheet4!B:B,[2]Sheet4!H:H))</f>
        <v/>
      </c>
      <c r="S184" s="25" t="str">
        <f>IF(Sheet2!O184="","",--LEFT(Sheet2!O184,FIND("""",Sheet2!O184)-1))</f>
        <v/>
      </c>
    </row>
    <row r="185" spans="8:19" x14ac:dyDescent="0.25">
      <c r="H185" t="str">
        <f t="shared" si="49"/>
        <v/>
      </c>
      <c r="I185" t="str">
        <f t="shared" si="50"/>
        <v/>
      </c>
      <c r="J185" t="str">
        <f t="shared" si="51"/>
        <v/>
      </c>
      <c r="K185" t="str">
        <f t="shared" si="52"/>
        <v/>
      </c>
      <c r="L185" t="str">
        <f t="shared" si="53"/>
        <v/>
      </c>
      <c r="M185" s="27" t="str">
        <f>IF(R185="","",_xlfn.XLOOKUP(R185,[2]Sheet4!B:B,[2]Sheet4!H:H))</f>
        <v/>
      </c>
      <c r="S185" s="25" t="str">
        <f>IF(Sheet2!O185="","",--LEFT(Sheet2!O185,FIND("""",Sheet2!O185)-1))</f>
        <v/>
      </c>
    </row>
    <row r="186" spans="8:19" x14ac:dyDescent="0.25">
      <c r="H186" t="str">
        <f t="shared" si="49"/>
        <v/>
      </c>
      <c r="I186" t="str">
        <f t="shared" si="50"/>
        <v/>
      </c>
      <c r="J186" t="str">
        <f t="shared" si="51"/>
        <v/>
      </c>
      <c r="K186" t="str">
        <f t="shared" si="52"/>
        <v/>
      </c>
      <c r="L186" t="str">
        <f t="shared" si="53"/>
        <v/>
      </c>
      <c r="M186" s="27" t="str">
        <f>IF(R186="","",_xlfn.XLOOKUP(R186,[2]Sheet4!B:B,[2]Sheet4!H:H))</f>
        <v/>
      </c>
      <c r="S186" s="25" t="str">
        <f>IF(Sheet2!O186="","",--LEFT(Sheet2!O186,FIND("""",Sheet2!O186)-1))</f>
        <v/>
      </c>
    </row>
    <row r="187" spans="8:19" x14ac:dyDescent="0.25">
      <c r="H187" t="str">
        <f t="shared" si="49"/>
        <v/>
      </c>
      <c r="I187" t="str">
        <f t="shared" si="50"/>
        <v/>
      </c>
      <c r="J187" t="str">
        <f t="shared" si="51"/>
        <v/>
      </c>
      <c r="K187" t="str">
        <f t="shared" si="52"/>
        <v/>
      </c>
      <c r="L187" t="str">
        <f t="shared" si="53"/>
        <v/>
      </c>
      <c r="M187" s="27" t="str">
        <f>IF(R187="","",_xlfn.XLOOKUP(R187,[2]Sheet4!B:B,[2]Sheet4!H:H))</f>
        <v/>
      </c>
      <c r="S187" s="25" t="str">
        <f>IF(Sheet2!O187="","",--LEFT(Sheet2!O187,FIND("""",Sheet2!O187)-1))</f>
        <v/>
      </c>
    </row>
    <row r="188" spans="8:19" x14ac:dyDescent="0.25">
      <c r="H188" t="str">
        <f t="shared" si="49"/>
        <v/>
      </c>
      <c r="I188" t="str">
        <f t="shared" si="50"/>
        <v/>
      </c>
      <c r="J188" t="str">
        <f t="shared" si="51"/>
        <v/>
      </c>
      <c r="K188" t="str">
        <f t="shared" si="52"/>
        <v/>
      </c>
      <c r="L188" t="str">
        <f t="shared" si="53"/>
        <v/>
      </c>
      <c r="M188" s="27" t="str">
        <f>IF(R188="","",_xlfn.XLOOKUP(R188,[2]Sheet4!B:B,[2]Sheet4!H:H))</f>
        <v/>
      </c>
      <c r="S188" s="25" t="str">
        <f>IF(Sheet2!O188="","",--LEFT(Sheet2!O188,FIND("""",Sheet2!O188)-1))</f>
        <v/>
      </c>
    </row>
    <row r="189" spans="8:19" x14ac:dyDescent="0.25">
      <c r="H189" t="str">
        <f t="shared" si="49"/>
        <v/>
      </c>
      <c r="I189" t="str">
        <f t="shared" si="50"/>
        <v/>
      </c>
      <c r="J189" t="str">
        <f t="shared" si="51"/>
        <v/>
      </c>
      <c r="K189" t="str">
        <f t="shared" si="52"/>
        <v/>
      </c>
      <c r="L189" t="str">
        <f t="shared" si="53"/>
        <v/>
      </c>
      <c r="M189" s="27" t="str">
        <f>IF(R189="","",_xlfn.XLOOKUP(R189,[2]Sheet4!B:B,[2]Sheet4!H:H))</f>
        <v/>
      </c>
      <c r="S189" s="25" t="str">
        <f>IF(Sheet2!O189="","",--LEFT(Sheet2!O189,FIND("""",Sheet2!O189)-1))</f>
        <v/>
      </c>
    </row>
    <row r="190" spans="8:19" x14ac:dyDescent="0.25">
      <c r="H190" t="str">
        <f t="shared" si="49"/>
        <v/>
      </c>
      <c r="I190" t="str">
        <f t="shared" si="50"/>
        <v/>
      </c>
      <c r="J190" t="str">
        <f t="shared" si="51"/>
        <v/>
      </c>
      <c r="K190" t="str">
        <f t="shared" si="52"/>
        <v/>
      </c>
      <c r="L190" t="str">
        <f t="shared" si="53"/>
        <v/>
      </c>
      <c r="M190" s="27" t="str">
        <f>IF(R190="","",_xlfn.XLOOKUP(R190,[2]Sheet4!B:B,[2]Sheet4!H:H))</f>
        <v/>
      </c>
      <c r="S190" s="25" t="str">
        <f>IF(Sheet2!O190="","",--LEFT(Sheet2!O190,FIND("""",Sheet2!O190)-1))</f>
        <v/>
      </c>
    </row>
    <row r="191" spans="8:19" x14ac:dyDescent="0.25">
      <c r="H191" t="str">
        <f t="shared" si="49"/>
        <v/>
      </c>
      <c r="I191" t="str">
        <f t="shared" si="50"/>
        <v/>
      </c>
      <c r="J191" t="str">
        <f t="shared" si="51"/>
        <v/>
      </c>
      <c r="K191" t="str">
        <f t="shared" si="52"/>
        <v/>
      </c>
      <c r="L191" t="str">
        <f t="shared" si="53"/>
        <v/>
      </c>
      <c r="M191" s="27" t="str">
        <f>IF(R191="","",_xlfn.XLOOKUP(R191,[2]Sheet4!B:B,[2]Sheet4!H:H))</f>
        <v/>
      </c>
      <c r="S191" s="25" t="str">
        <f>IF(Sheet2!O191="","",--LEFT(Sheet2!O191,FIND("""",Sheet2!O191)-1))</f>
        <v/>
      </c>
    </row>
    <row r="192" spans="8:19" x14ac:dyDescent="0.25">
      <c r="H192" t="str">
        <f t="shared" si="49"/>
        <v/>
      </c>
      <c r="I192" t="str">
        <f t="shared" si="50"/>
        <v/>
      </c>
      <c r="J192" t="str">
        <f t="shared" si="51"/>
        <v/>
      </c>
      <c r="K192" t="str">
        <f t="shared" si="52"/>
        <v/>
      </c>
      <c r="L192" t="str">
        <f t="shared" si="53"/>
        <v/>
      </c>
      <c r="M192" s="27" t="str">
        <f>IF(R192="","",_xlfn.XLOOKUP(R192,[2]Sheet4!B:B,[2]Sheet4!H:H))</f>
        <v/>
      </c>
      <c r="S192" s="25" t="str">
        <f>IF(Sheet2!O192="","",--LEFT(Sheet2!O192,FIND("""",Sheet2!O192)-1))</f>
        <v/>
      </c>
    </row>
    <row r="193" spans="8:19" x14ac:dyDescent="0.25">
      <c r="H193" t="str">
        <f t="shared" si="49"/>
        <v/>
      </c>
      <c r="I193" t="str">
        <f t="shared" si="50"/>
        <v/>
      </c>
      <c r="J193" t="str">
        <f t="shared" si="51"/>
        <v/>
      </c>
      <c r="K193" t="str">
        <f t="shared" si="52"/>
        <v/>
      </c>
      <c r="L193" t="str">
        <f t="shared" si="53"/>
        <v/>
      </c>
      <c r="M193" s="27" t="str">
        <f>IF(R193="","",_xlfn.XLOOKUP(R193,[2]Sheet4!B:B,[2]Sheet4!H:H))</f>
        <v/>
      </c>
      <c r="S193" s="25" t="str">
        <f>IF(Sheet2!O193="","",--LEFT(Sheet2!O193,FIND("""",Sheet2!O193)-1))</f>
        <v/>
      </c>
    </row>
    <row r="194" spans="8:19" x14ac:dyDescent="0.25">
      <c r="H194" t="str">
        <f t="shared" si="49"/>
        <v/>
      </c>
      <c r="I194" t="str">
        <f t="shared" si="50"/>
        <v/>
      </c>
      <c r="J194" t="str">
        <f t="shared" si="51"/>
        <v/>
      </c>
      <c r="K194" t="str">
        <f t="shared" si="52"/>
        <v/>
      </c>
      <c r="L194" t="str">
        <f t="shared" si="53"/>
        <v/>
      </c>
      <c r="M194" s="27" t="str">
        <f>IF(R194="","",_xlfn.XLOOKUP(R194,[2]Sheet4!B:B,[2]Sheet4!H:H))</f>
        <v/>
      </c>
      <c r="S194" s="25" t="str">
        <f>IF(Sheet2!O194="","",--LEFT(Sheet2!O194,FIND("""",Sheet2!O194)-1))</f>
        <v/>
      </c>
    </row>
    <row r="195" spans="8:19" x14ac:dyDescent="0.25">
      <c r="H195" t="str">
        <f t="shared" ref="H195:H258" si="54">IF(C195="","",B195-C195)</f>
        <v/>
      </c>
      <c r="I195" t="str">
        <f t="shared" ref="I195:I258" si="55">IF(H195="","",H195+0.5)</f>
        <v/>
      </c>
      <c r="J195" t="str">
        <f t="shared" ref="J195:J258" si="56">IF(H195="","",H195+0.67)</f>
        <v/>
      </c>
      <c r="K195" t="str">
        <f t="shared" ref="K195:K258" si="57">IF(H195="","",H195+0.83)</f>
        <v/>
      </c>
      <c r="L195" t="str">
        <f t="shared" ref="L195:L258" si="58">IF(H195="","",H195+1.17)</f>
        <v/>
      </c>
      <c r="M195" s="27" t="str">
        <f>IF(R195="","",_xlfn.XLOOKUP(R195,[2]Sheet4!B:B,[2]Sheet4!H:H))</f>
        <v/>
      </c>
      <c r="S195" s="25" t="str">
        <f>IF(Sheet2!O195="","",--LEFT(Sheet2!O195,FIND("""",Sheet2!O195)-1))</f>
        <v/>
      </c>
    </row>
    <row r="196" spans="8:19" x14ac:dyDescent="0.25">
      <c r="H196" t="str">
        <f t="shared" si="54"/>
        <v/>
      </c>
      <c r="I196" t="str">
        <f t="shared" si="55"/>
        <v/>
      </c>
      <c r="J196" t="str">
        <f t="shared" si="56"/>
        <v/>
      </c>
      <c r="K196" t="str">
        <f t="shared" si="57"/>
        <v/>
      </c>
      <c r="L196" t="str">
        <f t="shared" si="58"/>
        <v/>
      </c>
      <c r="M196" s="27" t="str">
        <f>IF(R196="","",_xlfn.XLOOKUP(R196,[2]Sheet4!B:B,[2]Sheet4!H:H))</f>
        <v/>
      </c>
      <c r="S196" s="25" t="str">
        <f>IF(Sheet2!O196="","",--LEFT(Sheet2!O196,FIND("""",Sheet2!O196)-1))</f>
        <v/>
      </c>
    </row>
    <row r="197" spans="8:19" x14ac:dyDescent="0.25">
      <c r="H197" t="str">
        <f t="shared" si="54"/>
        <v/>
      </c>
      <c r="I197" t="str">
        <f t="shared" si="55"/>
        <v/>
      </c>
      <c r="J197" t="str">
        <f t="shared" si="56"/>
        <v/>
      </c>
      <c r="K197" t="str">
        <f t="shared" si="57"/>
        <v/>
      </c>
      <c r="L197" t="str">
        <f t="shared" si="58"/>
        <v/>
      </c>
      <c r="M197" s="27" t="str">
        <f>IF(R197="","",_xlfn.XLOOKUP(R197,[2]Sheet4!B:B,[2]Sheet4!H:H))</f>
        <v/>
      </c>
      <c r="S197" s="25" t="str">
        <f>IF(Sheet2!O197="","",--LEFT(Sheet2!O197,FIND("""",Sheet2!O197)-1))</f>
        <v/>
      </c>
    </row>
    <row r="198" spans="8:19" x14ac:dyDescent="0.25">
      <c r="H198" t="str">
        <f t="shared" si="54"/>
        <v/>
      </c>
      <c r="I198" t="str">
        <f t="shared" si="55"/>
        <v/>
      </c>
      <c r="J198" t="str">
        <f t="shared" si="56"/>
        <v/>
      </c>
      <c r="K198" t="str">
        <f t="shared" si="57"/>
        <v/>
      </c>
      <c r="L198" t="str">
        <f t="shared" si="58"/>
        <v/>
      </c>
      <c r="M198" s="27" t="str">
        <f>IF(R198="","",_xlfn.XLOOKUP(R198,[2]Sheet4!B:B,[2]Sheet4!H:H))</f>
        <v/>
      </c>
      <c r="S198" s="25" t="str">
        <f>IF(Sheet2!O198="","",--LEFT(Sheet2!O198,FIND("""",Sheet2!O198)-1))</f>
        <v/>
      </c>
    </row>
    <row r="199" spans="8:19" x14ac:dyDescent="0.25">
      <c r="H199" t="str">
        <f t="shared" si="54"/>
        <v/>
      </c>
      <c r="I199" t="str">
        <f t="shared" si="55"/>
        <v/>
      </c>
      <c r="J199" t="str">
        <f t="shared" si="56"/>
        <v/>
      </c>
      <c r="K199" t="str">
        <f t="shared" si="57"/>
        <v/>
      </c>
      <c r="L199" t="str">
        <f t="shared" si="58"/>
        <v/>
      </c>
      <c r="M199" s="27" t="str">
        <f>IF(R199="","",_xlfn.XLOOKUP(R199,[2]Sheet4!B:B,[2]Sheet4!H:H))</f>
        <v/>
      </c>
      <c r="S199" s="25" t="str">
        <f>IF(Sheet2!O199="","",--LEFT(Sheet2!O199,FIND("""",Sheet2!O199)-1))</f>
        <v/>
      </c>
    </row>
    <row r="200" spans="8:19" x14ac:dyDescent="0.25">
      <c r="H200" t="str">
        <f t="shared" si="54"/>
        <v/>
      </c>
      <c r="I200" t="str">
        <f t="shared" si="55"/>
        <v/>
      </c>
      <c r="J200" t="str">
        <f t="shared" si="56"/>
        <v/>
      </c>
      <c r="K200" t="str">
        <f t="shared" si="57"/>
        <v/>
      </c>
      <c r="L200" t="str">
        <f t="shared" si="58"/>
        <v/>
      </c>
      <c r="M200" s="27" t="str">
        <f>IF(R200="","",_xlfn.XLOOKUP(R200,[2]Sheet4!B:B,[2]Sheet4!H:H))</f>
        <v/>
      </c>
      <c r="S200" s="25" t="str">
        <f>IF(Sheet2!O200="","",--LEFT(Sheet2!O200,FIND("""",Sheet2!O200)-1))</f>
        <v/>
      </c>
    </row>
    <row r="201" spans="8:19" x14ac:dyDescent="0.25">
      <c r="H201" t="str">
        <f t="shared" si="54"/>
        <v/>
      </c>
      <c r="I201" t="str">
        <f t="shared" si="55"/>
        <v/>
      </c>
      <c r="J201" t="str">
        <f t="shared" si="56"/>
        <v/>
      </c>
      <c r="K201" t="str">
        <f t="shared" si="57"/>
        <v/>
      </c>
      <c r="L201" t="str">
        <f t="shared" si="58"/>
        <v/>
      </c>
      <c r="M201" s="27" t="str">
        <f>IF(R201="","",_xlfn.XLOOKUP(R201,[2]Sheet4!B:B,[2]Sheet4!H:H))</f>
        <v/>
      </c>
      <c r="S201" s="25" t="str">
        <f>IF(Sheet2!O201="","",--LEFT(Sheet2!O201,FIND("""",Sheet2!O201)-1))</f>
        <v/>
      </c>
    </row>
    <row r="202" spans="8:19" x14ac:dyDescent="0.25">
      <c r="H202" t="str">
        <f t="shared" si="54"/>
        <v/>
      </c>
      <c r="I202" t="str">
        <f t="shared" si="55"/>
        <v/>
      </c>
      <c r="J202" t="str">
        <f t="shared" si="56"/>
        <v/>
      </c>
      <c r="K202" t="str">
        <f t="shared" si="57"/>
        <v/>
      </c>
      <c r="L202" t="str">
        <f t="shared" si="58"/>
        <v/>
      </c>
      <c r="M202" s="27" t="str">
        <f>IF(R202="","",_xlfn.XLOOKUP(R202,[2]Sheet4!B:B,[2]Sheet4!H:H))</f>
        <v/>
      </c>
      <c r="S202" s="25" t="str">
        <f>IF(Sheet2!O202="","",--LEFT(Sheet2!O202,FIND("""",Sheet2!O202)-1))</f>
        <v/>
      </c>
    </row>
    <row r="203" spans="8:19" x14ac:dyDescent="0.25">
      <c r="H203" t="str">
        <f t="shared" si="54"/>
        <v/>
      </c>
      <c r="I203" t="str">
        <f t="shared" si="55"/>
        <v/>
      </c>
      <c r="J203" t="str">
        <f t="shared" si="56"/>
        <v/>
      </c>
      <c r="K203" t="str">
        <f t="shared" si="57"/>
        <v/>
      </c>
      <c r="L203" t="str">
        <f t="shared" si="58"/>
        <v/>
      </c>
      <c r="M203" s="27" t="str">
        <f>IF(R203="","",_xlfn.XLOOKUP(R203,[2]Sheet4!B:B,[2]Sheet4!H:H))</f>
        <v/>
      </c>
      <c r="S203" s="25" t="str">
        <f>IF(Sheet2!O203="","",--LEFT(Sheet2!O203,FIND("""",Sheet2!O203)-1))</f>
        <v/>
      </c>
    </row>
    <row r="204" spans="8:19" x14ac:dyDescent="0.25">
      <c r="H204" t="str">
        <f t="shared" si="54"/>
        <v/>
      </c>
      <c r="I204" t="str">
        <f t="shared" si="55"/>
        <v/>
      </c>
      <c r="J204" t="str">
        <f t="shared" si="56"/>
        <v/>
      </c>
      <c r="K204" t="str">
        <f t="shared" si="57"/>
        <v/>
      </c>
      <c r="L204" t="str">
        <f t="shared" si="58"/>
        <v/>
      </c>
      <c r="M204" s="27" t="str">
        <f>IF(R204="","",_xlfn.XLOOKUP(R204,[2]Sheet4!B:B,[2]Sheet4!H:H))</f>
        <v/>
      </c>
      <c r="S204" s="25" t="str">
        <f>IF(Sheet2!O204="","",--LEFT(Sheet2!O204,FIND("""",Sheet2!O204)-1))</f>
        <v/>
      </c>
    </row>
    <row r="205" spans="8:19" x14ac:dyDescent="0.25">
      <c r="H205" t="str">
        <f t="shared" si="54"/>
        <v/>
      </c>
      <c r="I205" t="str">
        <f t="shared" si="55"/>
        <v/>
      </c>
      <c r="J205" t="str">
        <f t="shared" si="56"/>
        <v/>
      </c>
      <c r="K205" t="str">
        <f t="shared" si="57"/>
        <v/>
      </c>
      <c r="L205" t="str">
        <f t="shared" si="58"/>
        <v/>
      </c>
      <c r="M205" s="27" t="str">
        <f>IF(R205="","",_xlfn.XLOOKUP(R205,[2]Sheet4!B:B,[2]Sheet4!H:H))</f>
        <v/>
      </c>
      <c r="S205" s="25" t="str">
        <f>IF(Sheet2!O205="","",--LEFT(Sheet2!O205,FIND("""",Sheet2!O205)-1))</f>
        <v/>
      </c>
    </row>
    <row r="206" spans="8:19" x14ac:dyDescent="0.25">
      <c r="H206" t="str">
        <f t="shared" si="54"/>
        <v/>
      </c>
      <c r="I206" t="str">
        <f t="shared" si="55"/>
        <v/>
      </c>
      <c r="J206" t="str">
        <f t="shared" si="56"/>
        <v/>
      </c>
      <c r="K206" t="str">
        <f t="shared" si="57"/>
        <v/>
      </c>
      <c r="L206" t="str">
        <f t="shared" si="58"/>
        <v/>
      </c>
      <c r="M206" s="27" t="str">
        <f>IF(R206="","",_xlfn.XLOOKUP(R206,[2]Sheet4!B:B,[2]Sheet4!H:H))</f>
        <v/>
      </c>
      <c r="S206" s="25" t="str">
        <f>IF(Sheet2!O206="","",--LEFT(Sheet2!O206,FIND("""",Sheet2!O206)-1))</f>
        <v/>
      </c>
    </row>
    <row r="207" spans="8:19" x14ac:dyDescent="0.25">
      <c r="H207" t="str">
        <f t="shared" si="54"/>
        <v/>
      </c>
      <c r="I207" t="str">
        <f t="shared" si="55"/>
        <v/>
      </c>
      <c r="J207" t="str">
        <f t="shared" si="56"/>
        <v/>
      </c>
      <c r="K207" t="str">
        <f t="shared" si="57"/>
        <v/>
      </c>
      <c r="L207" t="str">
        <f t="shared" si="58"/>
        <v/>
      </c>
      <c r="M207" s="27" t="str">
        <f>IF(R207="","",_xlfn.XLOOKUP(R207,[2]Sheet4!B:B,[2]Sheet4!H:H))</f>
        <v/>
      </c>
      <c r="S207" s="25" t="str">
        <f>IF(Sheet2!O207="","",--LEFT(Sheet2!O207,FIND("""",Sheet2!O207)-1))</f>
        <v/>
      </c>
    </row>
    <row r="208" spans="8:19" x14ac:dyDescent="0.25">
      <c r="H208" t="str">
        <f t="shared" si="54"/>
        <v/>
      </c>
      <c r="I208" t="str">
        <f t="shared" si="55"/>
        <v/>
      </c>
      <c r="J208" t="str">
        <f t="shared" si="56"/>
        <v/>
      </c>
      <c r="K208" t="str">
        <f t="shared" si="57"/>
        <v/>
      </c>
      <c r="L208" t="str">
        <f t="shared" si="58"/>
        <v/>
      </c>
      <c r="M208" s="27" t="str">
        <f>IF(R208="","",_xlfn.XLOOKUP(R208,[2]Sheet4!B:B,[2]Sheet4!H:H))</f>
        <v/>
      </c>
      <c r="S208" s="25" t="str">
        <f>IF(Sheet2!O208="","",--LEFT(Sheet2!O208,FIND("""",Sheet2!O208)-1))</f>
        <v/>
      </c>
    </row>
    <row r="209" spans="8:19" x14ac:dyDescent="0.25">
      <c r="H209" t="str">
        <f t="shared" si="54"/>
        <v/>
      </c>
      <c r="I209" t="str">
        <f t="shared" si="55"/>
        <v/>
      </c>
      <c r="J209" t="str">
        <f t="shared" si="56"/>
        <v/>
      </c>
      <c r="K209" t="str">
        <f t="shared" si="57"/>
        <v/>
      </c>
      <c r="L209" t="str">
        <f t="shared" si="58"/>
        <v/>
      </c>
      <c r="M209" s="27" t="str">
        <f>IF(R209="","",_xlfn.XLOOKUP(R209,[2]Sheet4!B:B,[2]Sheet4!H:H))</f>
        <v/>
      </c>
      <c r="S209" s="25" t="str">
        <f>IF(Sheet2!O209="","",--LEFT(Sheet2!O209,FIND("""",Sheet2!O209)-1))</f>
        <v/>
      </c>
    </row>
    <row r="210" spans="8:19" x14ac:dyDescent="0.25">
      <c r="H210" t="str">
        <f t="shared" si="54"/>
        <v/>
      </c>
      <c r="I210" t="str">
        <f t="shared" si="55"/>
        <v/>
      </c>
      <c r="J210" t="str">
        <f t="shared" si="56"/>
        <v/>
      </c>
      <c r="K210" t="str">
        <f t="shared" si="57"/>
        <v/>
      </c>
      <c r="L210" t="str">
        <f t="shared" si="58"/>
        <v/>
      </c>
      <c r="M210" s="27" t="str">
        <f>IF(R210="","",_xlfn.XLOOKUP(R210,[2]Sheet4!B:B,[2]Sheet4!H:H))</f>
        <v/>
      </c>
      <c r="S210" s="25" t="str">
        <f>IF(Sheet2!O210="","",--LEFT(Sheet2!O210,FIND("""",Sheet2!O210)-1))</f>
        <v/>
      </c>
    </row>
    <row r="211" spans="8:19" x14ac:dyDescent="0.25">
      <c r="H211" t="str">
        <f t="shared" si="54"/>
        <v/>
      </c>
      <c r="I211" t="str">
        <f t="shared" si="55"/>
        <v/>
      </c>
      <c r="J211" t="str">
        <f t="shared" si="56"/>
        <v/>
      </c>
      <c r="K211" t="str">
        <f t="shared" si="57"/>
        <v/>
      </c>
      <c r="L211" t="str">
        <f t="shared" si="58"/>
        <v/>
      </c>
      <c r="M211" s="27" t="str">
        <f>IF(R211="","",_xlfn.XLOOKUP(R211,[2]Sheet4!B:B,[2]Sheet4!H:H))</f>
        <v/>
      </c>
      <c r="S211" s="25" t="str">
        <f>IF(Sheet2!O211="","",--LEFT(Sheet2!O211,FIND("""",Sheet2!O211)-1))</f>
        <v/>
      </c>
    </row>
    <row r="212" spans="8:19" x14ac:dyDescent="0.25">
      <c r="H212" t="str">
        <f t="shared" si="54"/>
        <v/>
      </c>
      <c r="I212" t="str">
        <f t="shared" si="55"/>
        <v/>
      </c>
      <c r="J212" t="str">
        <f t="shared" si="56"/>
        <v/>
      </c>
      <c r="K212" t="str">
        <f t="shared" si="57"/>
        <v/>
      </c>
      <c r="L212" t="str">
        <f t="shared" si="58"/>
        <v/>
      </c>
      <c r="M212" s="27" t="str">
        <f>IF(R212="","",_xlfn.XLOOKUP(R212,[2]Sheet4!B:B,[2]Sheet4!H:H))</f>
        <v/>
      </c>
      <c r="S212" s="25" t="str">
        <f>IF(Sheet2!O212="","",--LEFT(Sheet2!O212,FIND("""",Sheet2!O212)-1))</f>
        <v/>
      </c>
    </row>
    <row r="213" spans="8:19" x14ac:dyDescent="0.25">
      <c r="H213" t="str">
        <f t="shared" si="54"/>
        <v/>
      </c>
      <c r="I213" t="str">
        <f t="shared" si="55"/>
        <v/>
      </c>
      <c r="J213" t="str">
        <f t="shared" si="56"/>
        <v/>
      </c>
      <c r="K213" t="str">
        <f t="shared" si="57"/>
        <v/>
      </c>
      <c r="L213" t="str">
        <f t="shared" si="58"/>
        <v/>
      </c>
      <c r="M213" s="27" t="str">
        <f>IF(R213="","",_xlfn.XLOOKUP(R213,[2]Sheet4!B:B,[2]Sheet4!H:H))</f>
        <v/>
      </c>
      <c r="S213" s="25" t="str">
        <f>IF(Sheet2!O213="","",--LEFT(Sheet2!O213,FIND("""",Sheet2!O213)-1))</f>
        <v/>
      </c>
    </row>
    <row r="214" spans="8:19" x14ac:dyDescent="0.25">
      <c r="H214" t="str">
        <f t="shared" si="54"/>
        <v/>
      </c>
      <c r="I214" t="str">
        <f t="shared" si="55"/>
        <v/>
      </c>
      <c r="J214" t="str">
        <f t="shared" si="56"/>
        <v/>
      </c>
      <c r="K214" t="str">
        <f t="shared" si="57"/>
        <v/>
      </c>
      <c r="L214" t="str">
        <f t="shared" si="58"/>
        <v/>
      </c>
      <c r="M214" s="27" t="str">
        <f>IF(R214="","",_xlfn.XLOOKUP(R214,[2]Sheet4!B:B,[2]Sheet4!H:H))</f>
        <v/>
      </c>
      <c r="S214" s="25" t="str">
        <f>IF(Sheet2!O214="","",--LEFT(Sheet2!O214,FIND("""",Sheet2!O214)-1))</f>
        <v/>
      </c>
    </row>
    <row r="215" spans="8:19" x14ac:dyDescent="0.25">
      <c r="H215" t="str">
        <f t="shared" si="54"/>
        <v/>
      </c>
      <c r="I215" t="str">
        <f t="shared" si="55"/>
        <v/>
      </c>
      <c r="J215" t="str">
        <f t="shared" si="56"/>
        <v/>
      </c>
      <c r="K215" t="str">
        <f t="shared" si="57"/>
        <v/>
      </c>
      <c r="L215" t="str">
        <f t="shared" si="58"/>
        <v/>
      </c>
      <c r="M215" s="27" t="str">
        <f>IF(R215="","",_xlfn.XLOOKUP(R215,[2]Sheet4!B:B,[2]Sheet4!H:H))</f>
        <v/>
      </c>
      <c r="S215" s="25" t="str">
        <f>IF(Sheet2!O215="","",--LEFT(Sheet2!O215,FIND("""",Sheet2!O215)-1))</f>
        <v/>
      </c>
    </row>
    <row r="216" spans="8:19" x14ac:dyDescent="0.25">
      <c r="H216" t="str">
        <f t="shared" si="54"/>
        <v/>
      </c>
      <c r="I216" t="str">
        <f t="shared" si="55"/>
        <v/>
      </c>
      <c r="J216" t="str">
        <f t="shared" si="56"/>
        <v/>
      </c>
      <c r="K216" t="str">
        <f t="shared" si="57"/>
        <v/>
      </c>
      <c r="L216" t="str">
        <f t="shared" si="58"/>
        <v/>
      </c>
      <c r="M216" s="27" t="str">
        <f>IF(R216="","",_xlfn.XLOOKUP(R216,[2]Sheet4!B:B,[2]Sheet4!H:H))</f>
        <v/>
      </c>
      <c r="S216" s="25" t="str">
        <f>IF(Sheet2!O216="","",--LEFT(Sheet2!O216,FIND("""",Sheet2!O216)-1))</f>
        <v/>
      </c>
    </row>
    <row r="217" spans="8:19" x14ac:dyDescent="0.25">
      <c r="H217" t="str">
        <f t="shared" si="54"/>
        <v/>
      </c>
      <c r="I217" t="str">
        <f t="shared" si="55"/>
        <v/>
      </c>
      <c r="J217" t="str">
        <f t="shared" si="56"/>
        <v/>
      </c>
      <c r="K217" t="str">
        <f t="shared" si="57"/>
        <v/>
      </c>
      <c r="L217" t="str">
        <f t="shared" si="58"/>
        <v/>
      </c>
      <c r="M217" s="27" t="str">
        <f>IF(R217="","",_xlfn.XLOOKUP(R217,[2]Sheet4!B:B,[2]Sheet4!H:H))</f>
        <v/>
      </c>
      <c r="S217" s="25" t="str">
        <f>IF(Sheet2!O217="","",--LEFT(Sheet2!O217,FIND("""",Sheet2!O217)-1))</f>
        <v/>
      </c>
    </row>
    <row r="218" spans="8:19" x14ac:dyDescent="0.25">
      <c r="H218" t="str">
        <f t="shared" si="54"/>
        <v/>
      </c>
      <c r="I218" t="str">
        <f t="shared" si="55"/>
        <v/>
      </c>
      <c r="J218" t="str">
        <f t="shared" si="56"/>
        <v/>
      </c>
      <c r="K218" t="str">
        <f t="shared" si="57"/>
        <v/>
      </c>
      <c r="L218" t="str">
        <f t="shared" si="58"/>
        <v/>
      </c>
      <c r="M218" s="27" t="str">
        <f>IF(R218="","",_xlfn.XLOOKUP(R218,[2]Sheet4!B:B,[2]Sheet4!H:H))</f>
        <v/>
      </c>
      <c r="S218" s="25" t="str">
        <f>IF(Sheet2!O218="","",--LEFT(Sheet2!O218,FIND("""",Sheet2!O218)-1))</f>
        <v/>
      </c>
    </row>
    <row r="219" spans="8:19" x14ac:dyDescent="0.25">
      <c r="H219" t="str">
        <f t="shared" si="54"/>
        <v/>
      </c>
      <c r="I219" t="str">
        <f t="shared" si="55"/>
        <v/>
      </c>
      <c r="J219" t="str">
        <f t="shared" si="56"/>
        <v/>
      </c>
      <c r="K219" t="str">
        <f t="shared" si="57"/>
        <v/>
      </c>
      <c r="L219" t="str">
        <f t="shared" si="58"/>
        <v/>
      </c>
      <c r="M219" s="27" t="str">
        <f>IF(R219="","",_xlfn.XLOOKUP(R219,[2]Sheet4!B:B,[2]Sheet4!H:H))</f>
        <v/>
      </c>
      <c r="S219" s="25" t="str">
        <f>IF(Sheet2!O219="","",--LEFT(Sheet2!O219,FIND("""",Sheet2!O219)-1))</f>
        <v/>
      </c>
    </row>
    <row r="220" spans="8:19" x14ac:dyDescent="0.25">
      <c r="H220" t="str">
        <f t="shared" si="54"/>
        <v/>
      </c>
      <c r="I220" t="str">
        <f t="shared" si="55"/>
        <v/>
      </c>
      <c r="J220" t="str">
        <f t="shared" si="56"/>
        <v/>
      </c>
      <c r="K220" t="str">
        <f t="shared" si="57"/>
        <v/>
      </c>
      <c r="L220" t="str">
        <f t="shared" si="58"/>
        <v/>
      </c>
      <c r="M220" s="27" t="str">
        <f>IF(R220="","",_xlfn.XLOOKUP(R220,[2]Sheet4!B:B,[2]Sheet4!H:H))</f>
        <v/>
      </c>
      <c r="S220" s="25" t="str">
        <f>IF(Sheet2!O220="","",--LEFT(Sheet2!O220,FIND("""",Sheet2!O220)-1))</f>
        <v/>
      </c>
    </row>
    <row r="221" spans="8:19" x14ac:dyDescent="0.25">
      <c r="H221" t="str">
        <f t="shared" si="54"/>
        <v/>
      </c>
      <c r="I221" t="str">
        <f t="shared" si="55"/>
        <v/>
      </c>
      <c r="J221" t="str">
        <f t="shared" si="56"/>
        <v/>
      </c>
      <c r="K221" t="str">
        <f t="shared" si="57"/>
        <v/>
      </c>
      <c r="L221" t="str">
        <f t="shared" si="58"/>
        <v/>
      </c>
      <c r="M221" s="27" t="str">
        <f>IF(R221="","",_xlfn.XLOOKUP(R221,[2]Sheet4!B:B,[2]Sheet4!H:H))</f>
        <v/>
      </c>
      <c r="S221" s="25" t="str">
        <f>IF(Sheet2!O221="","",--LEFT(Sheet2!O221,FIND("""",Sheet2!O221)-1))</f>
        <v/>
      </c>
    </row>
    <row r="222" spans="8:19" x14ac:dyDescent="0.25">
      <c r="H222" t="str">
        <f t="shared" si="54"/>
        <v/>
      </c>
      <c r="I222" t="str">
        <f t="shared" si="55"/>
        <v/>
      </c>
      <c r="J222" t="str">
        <f t="shared" si="56"/>
        <v/>
      </c>
      <c r="K222" t="str">
        <f t="shared" si="57"/>
        <v/>
      </c>
      <c r="L222" t="str">
        <f t="shared" si="58"/>
        <v/>
      </c>
      <c r="M222" s="27" t="str">
        <f>IF(R222="","",_xlfn.XLOOKUP(R222,[2]Sheet4!B:B,[2]Sheet4!H:H))</f>
        <v/>
      </c>
      <c r="S222" s="25" t="str">
        <f>IF(Sheet2!O222="","",--LEFT(Sheet2!O222,FIND("""",Sheet2!O222)-1))</f>
        <v/>
      </c>
    </row>
    <row r="223" spans="8:19" x14ac:dyDescent="0.25">
      <c r="H223" t="str">
        <f t="shared" si="54"/>
        <v/>
      </c>
      <c r="I223" t="str">
        <f t="shared" si="55"/>
        <v/>
      </c>
      <c r="J223" t="str">
        <f t="shared" si="56"/>
        <v/>
      </c>
      <c r="K223" t="str">
        <f t="shared" si="57"/>
        <v/>
      </c>
      <c r="L223" t="str">
        <f t="shared" si="58"/>
        <v/>
      </c>
      <c r="M223" s="27" t="str">
        <f>IF(R223="","",_xlfn.XLOOKUP(R223,[2]Sheet4!B:B,[2]Sheet4!H:H))</f>
        <v/>
      </c>
      <c r="S223" s="25" t="str">
        <f>IF(Sheet2!O223="","",--LEFT(Sheet2!O223,FIND("""",Sheet2!O223)-1))</f>
        <v/>
      </c>
    </row>
    <row r="224" spans="8:19" x14ac:dyDescent="0.25">
      <c r="H224" t="str">
        <f t="shared" si="54"/>
        <v/>
      </c>
      <c r="I224" t="str">
        <f t="shared" si="55"/>
        <v/>
      </c>
      <c r="J224" t="str">
        <f t="shared" si="56"/>
        <v/>
      </c>
      <c r="K224" t="str">
        <f t="shared" si="57"/>
        <v/>
      </c>
      <c r="L224" t="str">
        <f t="shared" si="58"/>
        <v/>
      </c>
      <c r="M224" s="27" t="str">
        <f>IF(R224="","",_xlfn.XLOOKUP(R224,[2]Sheet4!B:B,[2]Sheet4!H:H))</f>
        <v/>
      </c>
      <c r="S224" s="25" t="str">
        <f>IF(Sheet2!O224="","",--LEFT(Sheet2!O224,FIND("""",Sheet2!O224)-1))</f>
        <v/>
      </c>
    </row>
    <row r="225" spans="8:19" x14ac:dyDescent="0.25">
      <c r="H225" t="str">
        <f t="shared" si="54"/>
        <v/>
      </c>
      <c r="I225" t="str">
        <f t="shared" si="55"/>
        <v/>
      </c>
      <c r="J225" t="str">
        <f t="shared" si="56"/>
        <v/>
      </c>
      <c r="K225" t="str">
        <f t="shared" si="57"/>
        <v/>
      </c>
      <c r="L225" t="str">
        <f t="shared" si="58"/>
        <v/>
      </c>
      <c r="M225" s="27" t="str">
        <f>IF(R225="","",_xlfn.XLOOKUP(R225,[2]Sheet4!B:B,[2]Sheet4!H:H))</f>
        <v/>
      </c>
      <c r="S225" s="25" t="str">
        <f>IF(Sheet2!O225="","",--LEFT(Sheet2!O225,FIND("""",Sheet2!O225)-1))</f>
        <v/>
      </c>
    </row>
    <row r="226" spans="8:19" x14ac:dyDescent="0.25">
      <c r="H226" t="str">
        <f t="shared" si="54"/>
        <v/>
      </c>
      <c r="I226" t="str">
        <f t="shared" si="55"/>
        <v/>
      </c>
      <c r="J226" t="str">
        <f t="shared" si="56"/>
        <v/>
      </c>
      <c r="K226" t="str">
        <f t="shared" si="57"/>
        <v/>
      </c>
      <c r="L226" t="str">
        <f t="shared" si="58"/>
        <v/>
      </c>
      <c r="M226" s="27" t="str">
        <f>IF(R226="","",_xlfn.XLOOKUP(R226,[2]Sheet4!B:B,[2]Sheet4!H:H))</f>
        <v/>
      </c>
      <c r="S226" s="25" t="str">
        <f>IF(Sheet2!O226="","",--LEFT(Sheet2!O226,FIND("""",Sheet2!O226)-1))</f>
        <v/>
      </c>
    </row>
    <row r="227" spans="8:19" x14ac:dyDescent="0.25">
      <c r="H227" t="str">
        <f t="shared" si="54"/>
        <v/>
      </c>
      <c r="I227" t="str">
        <f t="shared" si="55"/>
        <v/>
      </c>
      <c r="J227" t="str">
        <f t="shared" si="56"/>
        <v/>
      </c>
      <c r="K227" t="str">
        <f t="shared" si="57"/>
        <v/>
      </c>
      <c r="L227" t="str">
        <f t="shared" si="58"/>
        <v/>
      </c>
      <c r="M227" s="27" t="str">
        <f>IF(R227="","",_xlfn.XLOOKUP(R227,[2]Sheet4!B:B,[2]Sheet4!H:H))</f>
        <v/>
      </c>
      <c r="S227" s="25" t="str">
        <f>IF(Sheet2!O227="","",--LEFT(Sheet2!O227,FIND("""",Sheet2!O227)-1))</f>
        <v/>
      </c>
    </row>
    <row r="228" spans="8:19" x14ac:dyDescent="0.25">
      <c r="H228" t="str">
        <f t="shared" si="54"/>
        <v/>
      </c>
      <c r="I228" t="str">
        <f t="shared" si="55"/>
        <v/>
      </c>
      <c r="J228" t="str">
        <f t="shared" si="56"/>
        <v/>
      </c>
      <c r="K228" t="str">
        <f t="shared" si="57"/>
        <v/>
      </c>
      <c r="L228" t="str">
        <f t="shared" si="58"/>
        <v/>
      </c>
      <c r="M228" s="27" t="str">
        <f>IF(R228="","",_xlfn.XLOOKUP(R228,[2]Sheet4!B:B,[2]Sheet4!H:H))</f>
        <v/>
      </c>
      <c r="S228" s="25" t="str">
        <f>IF(Sheet2!O228="","",--LEFT(Sheet2!O228,FIND("""",Sheet2!O228)-1))</f>
        <v/>
      </c>
    </row>
    <row r="229" spans="8:19" x14ac:dyDescent="0.25">
      <c r="H229" t="str">
        <f t="shared" si="54"/>
        <v/>
      </c>
      <c r="I229" t="str">
        <f t="shared" si="55"/>
        <v/>
      </c>
      <c r="J229" t="str">
        <f t="shared" si="56"/>
        <v/>
      </c>
      <c r="K229" t="str">
        <f t="shared" si="57"/>
        <v/>
      </c>
      <c r="L229" t="str">
        <f t="shared" si="58"/>
        <v/>
      </c>
      <c r="M229" s="27" t="str">
        <f>IF(R229="","",_xlfn.XLOOKUP(R229,[2]Sheet4!B:B,[2]Sheet4!H:H))</f>
        <v/>
      </c>
      <c r="S229" s="25" t="str">
        <f>IF(Sheet2!O229="","",--LEFT(Sheet2!O229,FIND("""",Sheet2!O229)-1))</f>
        <v/>
      </c>
    </row>
    <row r="230" spans="8:19" x14ac:dyDescent="0.25">
      <c r="H230" t="str">
        <f t="shared" si="54"/>
        <v/>
      </c>
      <c r="I230" t="str">
        <f t="shared" si="55"/>
        <v/>
      </c>
      <c r="J230" t="str">
        <f t="shared" si="56"/>
        <v/>
      </c>
      <c r="K230" t="str">
        <f t="shared" si="57"/>
        <v/>
      </c>
      <c r="L230" t="str">
        <f t="shared" si="58"/>
        <v/>
      </c>
      <c r="M230" s="27" t="str">
        <f>IF(R230="","",_xlfn.XLOOKUP(R230,[2]Sheet4!B:B,[2]Sheet4!H:H))</f>
        <v/>
      </c>
      <c r="S230" s="25" t="str">
        <f>IF(Sheet2!O230="","",--LEFT(Sheet2!O230,FIND("""",Sheet2!O230)-1))</f>
        <v/>
      </c>
    </row>
    <row r="231" spans="8:19" x14ac:dyDescent="0.25">
      <c r="H231" t="str">
        <f t="shared" si="54"/>
        <v/>
      </c>
      <c r="I231" t="str">
        <f t="shared" si="55"/>
        <v/>
      </c>
      <c r="J231" t="str">
        <f t="shared" si="56"/>
        <v/>
      </c>
      <c r="K231" t="str">
        <f t="shared" si="57"/>
        <v/>
      </c>
      <c r="L231" t="str">
        <f t="shared" si="58"/>
        <v/>
      </c>
      <c r="M231" s="27" t="str">
        <f>IF(R231="","",_xlfn.XLOOKUP(R231,[2]Sheet4!B:B,[2]Sheet4!H:H))</f>
        <v/>
      </c>
      <c r="S231" s="25" t="str">
        <f>IF(Sheet2!O231="","",--LEFT(Sheet2!O231,FIND("""",Sheet2!O231)-1))</f>
        <v/>
      </c>
    </row>
    <row r="232" spans="8:19" x14ac:dyDescent="0.25">
      <c r="H232" t="str">
        <f t="shared" si="54"/>
        <v/>
      </c>
      <c r="I232" t="str">
        <f t="shared" si="55"/>
        <v/>
      </c>
      <c r="J232" t="str">
        <f t="shared" si="56"/>
        <v/>
      </c>
      <c r="K232" t="str">
        <f t="shared" si="57"/>
        <v/>
      </c>
      <c r="L232" t="str">
        <f t="shared" si="58"/>
        <v/>
      </c>
      <c r="M232" s="27" t="str">
        <f>IF(R232="","",_xlfn.XLOOKUP(R232,[2]Sheet4!B:B,[2]Sheet4!H:H))</f>
        <v/>
      </c>
      <c r="S232" s="25" t="str">
        <f>IF(Sheet2!O232="","",--LEFT(Sheet2!O232,FIND("""",Sheet2!O232)-1))</f>
        <v/>
      </c>
    </row>
    <row r="233" spans="8:19" x14ac:dyDescent="0.25">
      <c r="H233" t="str">
        <f t="shared" si="54"/>
        <v/>
      </c>
      <c r="I233" t="str">
        <f t="shared" si="55"/>
        <v/>
      </c>
      <c r="J233" t="str">
        <f t="shared" si="56"/>
        <v/>
      </c>
      <c r="K233" t="str">
        <f t="shared" si="57"/>
        <v/>
      </c>
      <c r="L233" t="str">
        <f t="shared" si="58"/>
        <v/>
      </c>
      <c r="M233" s="27" t="str">
        <f>IF(R233="","",_xlfn.XLOOKUP(R233,[2]Sheet4!B:B,[2]Sheet4!H:H))</f>
        <v/>
      </c>
      <c r="S233" s="25" t="str">
        <f>IF(Sheet2!O233="","",--LEFT(Sheet2!O233,FIND("""",Sheet2!O233)-1))</f>
        <v/>
      </c>
    </row>
    <row r="234" spans="8:19" x14ac:dyDescent="0.25">
      <c r="H234" t="str">
        <f t="shared" si="54"/>
        <v/>
      </c>
      <c r="I234" t="str">
        <f t="shared" si="55"/>
        <v/>
      </c>
      <c r="J234" t="str">
        <f t="shared" si="56"/>
        <v/>
      </c>
      <c r="K234" t="str">
        <f t="shared" si="57"/>
        <v/>
      </c>
      <c r="L234" t="str">
        <f t="shared" si="58"/>
        <v/>
      </c>
      <c r="M234" s="27" t="str">
        <f>IF(R234="","",_xlfn.XLOOKUP(R234,[2]Sheet4!B:B,[2]Sheet4!H:H))</f>
        <v/>
      </c>
      <c r="S234" s="25" t="str">
        <f>IF(Sheet2!O234="","",--LEFT(Sheet2!O234,FIND("""",Sheet2!O234)-1))</f>
        <v/>
      </c>
    </row>
    <row r="235" spans="8:19" x14ac:dyDescent="0.25">
      <c r="H235" t="str">
        <f t="shared" si="54"/>
        <v/>
      </c>
      <c r="I235" t="str">
        <f t="shared" si="55"/>
        <v/>
      </c>
      <c r="J235" t="str">
        <f t="shared" si="56"/>
        <v/>
      </c>
      <c r="K235" t="str">
        <f t="shared" si="57"/>
        <v/>
      </c>
      <c r="L235" t="str">
        <f t="shared" si="58"/>
        <v/>
      </c>
      <c r="M235" s="27" t="str">
        <f>IF(R235="","",_xlfn.XLOOKUP(R235,[2]Sheet4!B:B,[2]Sheet4!H:H))</f>
        <v/>
      </c>
      <c r="S235" s="25" t="str">
        <f>IF(Sheet2!O235="","",--LEFT(Sheet2!O235,FIND("""",Sheet2!O235)-1))</f>
        <v/>
      </c>
    </row>
    <row r="236" spans="8:19" x14ac:dyDescent="0.25">
      <c r="H236" t="str">
        <f t="shared" si="54"/>
        <v/>
      </c>
      <c r="I236" t="str">
        <f t="shared" si="55"/>
        <v/>
      </c>
      <c r="J236" t="str">
        <f t="shared" si="56"/>
        <v/>
      </c>
      <c r="K236" t="str">
        <f t="shared" si="57"/>
        <v/>
      </c>
      <c r="L236" t="str">
        <f t="shared" si="58"/>
        <v/>
      </c>
      <c r="M236" s="27" t="str">
        <f>IF(R236="","",_xlfn.XLOOKUP(R236,[2]Sheet4!B:B,[2]Sheet4!H:H))</f>
        <v/>
      </c>
      <c r="S236" s="25" t="str">
        <f>IF(Sheet2!O236="","",--LEFT(Sheet2!O236,FIND("""",Sheet2!O236)-1))</f>
        <v/>
      </c>
    </row>
    <row r="237" spans="8:19" x14ac:dyDescent="0.25">
      <c r="H237" t="str">
        <f t="shared" si="54"/>
        <v/>
      </c>
      <c r="I237" t="str">
        <f t="shared" si="55"/>
        <v/>
      </c>
      <c r="J237" t="str">
        <f t="shared" si="56"/>
        <v/>
      </c>
      <c r="K237" t="str">
        <f t="shared" si="57"/>
        <v/>
      </c>
      <c r="L237" t="str">
        <f t="shared" si="58"/>
        <v/>
      </c>
      <c r="M237" s="27" t="str">
        <f>IF(R237="","",_xlfn.XLOOKUP(R237,[2]Sheet4!B:B,[2]Sheet4!H:H))</f>
        <v/>
      </c>
      <c r="S237" s="25" t="str">
        <f>IF(Sheet2!O237="","",--LEFT(Sheet2!O237,FIND("""",Sheet2!O237)-1))</f>
        <v/>
      </c>
    </row>
    <row r="238" spans="8:19" x14ac:dyDescent="0.25">
      <c r="H238" t="str">
        <f t="shared" si="54"/>
        <v/>
      </c>
      <c r="I238" t="str">
        <f t="shared" si="55"/>
        <v/>
      </c>
      <c r="J238" t="str">
        <f t="shared" si="56"/>
        <v/>
      </c>
      <c r="K238" t="str">
        <f t="shared" si="57"/>
        <v/>
      </c>
      <c r="L238" t="str">
        <f t="shared" si="58"/>
        <v/>
      </c>
      <c r="M238" s="27" t="str">
        <f>IF(R238="","",_xlfn.XLOOKUP(R238,[2]Sheet4!B:B,[2]Sheet4!H:H))</f>
        <v/>
      </c>
      <c r="S238" s="25" t="str">
        <f>IF(Sheet2!O238="","",--LEFT(Sheet2!O238,FIND("""",Sheet2!O238)-1))</f>
        <v/>
      </c>
    </row>
    <row r="239" spans="8:19" x14ac:dyDescent="0.25">
      <c r="H239" t="str">
        <f t="shared" si="54"/>
        <v/>
      </c>
      <c r="I239" t="str">
        <f t="shared" si="55"/>
        <v/>
      </c>
      <c r="J239" t="str">
        <f t="shared" si="56"/>
        <v/>
      </c>
      <c r="K239" t="str">
        <f t="shared" si="57"/>
        <v/>
      </c>
      <c r="L239" t="str">
        <f t="shared" si="58"/>
        <v/>
      </c>
      <c r="M239" s="27" t="str">
        <f>IF(R239="","",_xlfn.XLOOKUP(R239,[2]Sheet4!B:B,[2]Sheet4!H:H))</f>
        <v/>
      </c>
      <c r="S239" s="25" t="str">
        <f>IF(Sheet2!O239="","",--LEFT(Sheet2!O239,FIND("""",Sheet2!O239)-1))</f>
        <v/>
      </c>
    </row>
    <row r="240" spans="8:19" x14ac:dyDescent="0.25">
      <c r="H240" t="str">
        <f t="shared" si="54"/>
        <v/>
      </c>
      <c r="I240" t="str">
        <f t="shared" si="55"/>
        <v/>
      </c>
      <c r="J240" t="str">
        <f t="shared" si="56"/>
        <v/>
      </c>
      <c r="K240" t="str">
        <f t="shared" si="57"/>
        <v/>
      </c>
      <c r="L240" t="str">
        <f t="shared" si="58"/>
        <v/>
      </c>
      <c r="M240" s="27" t="str">
        <f>IF(R240="","",_xlfn.XLOOKUP(R240,[2]Sheet4!B:B,[2]Sheet4!H:H))</f>
        <v/>
      </c>
      <c r="S240" s="25" t="str">
        <f>IF(Sheet2!O240="","",--LEFT(Sheet2!O240,FIND("""",Sheet2!O240)-1))</f>
        <v/>
      </c>
    </row>
    <row r="241" spans="8:19" x14ac:dyDescent="0.25">
      <c r="H241" t="str">
        <f t="shared" si="54"/>
        <v/>
      </c>
      <c r="I241" t="str">
        <f t="shared" si="55"/>
        <v/>
      </c>
      <c r="J241" t="str">
        <f t="shared" si="56"/>
        <v/>
      </c>
      <c r="K241" t="str">
        <f t="shared" si="57"/>
        <v/>
      </c>
      <c r="L241" t="str">
        <f t="shared" si="58"/>
        <v/>
      </c>
      <c r="M241" s="27" t="str">
        <f>IF(R241="","",_xlfn.XLOOKUP(R241,[2]Sheet4!B:B,[2]Sheet4!H:H))</f>
        <v/>
      </c>
      <c r="S241" s="25" t="str">
        <f>IF(Sheet2!O241="","",--LEFT(Sheet2!O241,FIND("""",Sheet2!O241)-1))</f>
        <v/>
      </c>
    </row>
    <row r="242" spans="8:19" x14ac:dyDescent="0.25">
      <c r="H242" t="str">
        <f t="shared" si="54"/>
        <v/>
      </c>
      <c r="I242" t="str">
        <f t="shared" si="55"/>
        <v/>
      </c>
      <c r="J242" t="str">
        <f t="shared" si="56"/>
        <v/>
      </c>
      <c r="K242" t="str">
        <f t="shared" si="57"/>
        <v/>
      </c>
      <c r="L242" t="str">
        <f t="shared" si="58"/>
        <v/>
      </c>
      <c r="M242" s="27" t="str">
        <f>IF(R242="","",_xlfn.XLOOKUP(R242,[2]Sheet4!B:B,[2]Sheet4!H:H))</f>
        <v/>
      </c>
      <c r="S242" s="25" t="str">
        <f>IF(Sheet2!O242="","",--LEFT(Sheet2!O242,FIND("""",Sheet2!O242)-1))</f>
        <v/>
      </c>
    </row>
    <row r="243" spans="8:19" x14ac:dyDescent="0.25">
      <c r="H243" t="str">
        <f t="shared" si="54"/>
        <v/>
      </c>
      <c r="I243" t="str">
        <f t="shared" si="55"/>
        <v/>
      </c>
      <c r="J243" t="str">
        <f t="shared" si="56"/>
        <v/>
      </c>
      <c r="K243" t="str">
        <f t="shared" si="57"/>
        <v/>
      </c>
      <c r="L243" t="str">
        <f t="shared" si="58"/>
        <v/>
      </c>
      <c r="M243" s="27" t="str">
        <f>IF(R243="","",_xlfn.XLOOKUP(R243,[2]Sheet4!B:B,[2]Sheet4!H:H))</f>
        <v/>
      </c>
      <c r="S243" s="25" t="str">
        <f>IF(Sheet2!O243="","",--LEFT(Sheet2!O243,FIND("""",Sheet2!O243)-1))</f>
        <v/>
      </c>
    </row>
    <row r="244" spans="8:19" x14ac:dyDescent="0.25">
      <c r="H244" t="str">
        <f t="shared" si="54"/>
        <v/>
      </c>
      <c r="I244" t="str">
        <f t="shared" si="55"/>
        <v/>
      </c>
      <c r="J244" t="str">
        <f t="shared" si="56"/>
        <v/>
      </c>
      <c r="K244" t="str">
        <f t="shared" si="57"/>
        <v/>
      </c>
      <c r="L244" t="str">
        <f t="shared" si="58"/>
        <v/>
      </c>
      <c r="M244" s="27" t="str">
        <f>IF(R244="","",_xlfn.XLOOKUP(R244,[2]Sheet4!B:B,[2]Sheet4!H:H))</f>
        <v/>
      </c>
      <c r="S244" s="25" t="str">
        <f>IF(Sheet2!O244="","",--LEFT(Sheet2!O244,FIND("""",Sheet2!O244)-1))</f>
        <v/>
      </c>
    </row>
    <row r="245" spans="8:19" x14ac:dyDescent="0.25">
      <c r="H245" t="str">
        <f t="shared" si="54"/>
        <v/>
      </c>
      <c r="I245" t="str">
        <f t="shared" si="55"/>
        <v/>
      </c>
      <c r="J245" t="str">
        <f t="shared" si="56"/>
        <v/>
      </c>
      <c r="K245" t="str">
        <f t="shared" si="57"/>
        <v/>
      </c>
      <c r="L245" t="str">
        <f t="shared" si="58"/>
        <v/>
      </c>
      <c r="M245" s="27" t="str">
        <f>IF(R245="","",_xlfn.XLOOKUP(R245,[2]Sheet4!B:B,[2]Sheet4!H:H))</f>
        <v/>
      </c>
      <c r="S245" s="25" t="str">
        <f>IF(Sheet2!O245="","",--LEFT(Sheet2!O245,FIND("""",Sheet2!O245)-1))</f>
        <v/>
      </c>
    </row>
    <row r="246" spans="8:19" x14ac:dyDescent="0.25">
      <c r="H246" t="str">
        <f t="shared" si="54"/>
        <v/>
      </c>
      <c r="I246" t="str">
        <f t="shared" si="55"/>
        <v/>
      </c>
      <c r="J246" t="str">
        <f t="shared" si="56"/>
        <v/>
      </c>
      <c r="K246" t="str">
        <f t="shared" si="57"/>
        <v/>
      </c>
      <c r="L246" t="str">
        <f t="shared" si="58"/>
        <v/>
      </c>
      <c r="M246" s="27" t="str">
        <f>IF(R246="","",_xlfn.XLOOKUP(R246,[2]Sheet4!B:B,[2]Sheet4!H:H))</f>
        <v/>
      </c>
      <c r="S246" s="25" t="str">
        <f>IF(Sheet2!O246="","",--LEFT(Sheet2!O246,FIND("""",Sheet2!O246)-1))</f>
        <v/>
      </c>
    </row>
    <row r="247" spans="8:19" x14ac:dyDescent="0.25">
      <c r="H247" t="str">
        <f t="shared" si="54"/>
        <v/>
      </c>
      <c r="I247" t="str">
        <f t="shared" si="55"/>
        <v/>
      </c>
      <c r="J247" t="str">
        <f t="shared" si="56"/>
        <v/>
      </c>
      <c r="K247" t="str">
        <f t="shared" si="57"/>
        <v/>
      </c>
      <c r="L247" t="str">
        <f t="shared" si="58"/>
        <v/>
      </c>
      <c r="M247" s="27" t="str">
        <f>IF(R247="","",_xlfn.XLOOKUP(R247,[2]Sheet4!B:B,[2]Sheet4!H:H))</f>
        <v/>
      </c>
      <c r="S247" s="25" t="str">
        <f>IF(Sheet2!O247="","",--LEFT(Sheet2!O247,FIND("""",Sheet2!O247)-1))</f>
        <v/>
      </c>
    </row>
    <row r="248" spans="8:19" x14ac:dyDescent="0.25">
      <c r="H248" t="str">
        <f t="shared" si="54"/>
        <v/>
      </c>
      <c r="I248" t="str">
        <f t="shared" si="55"/>
        <v/>
      </c>
      <c r="J248" t="str">
        <f t="shared" si="56"/>
        <v/>
      </c>
      <c r="K248" t="str">
        <f t="shared" si="57"/>
        <v/>
      </c>
      <c r="L248" t="str">
        <f t="shared" si="58"/>
        <v/>
      </c>
      <c r="M248" s="27" t="str">
        <f>IF(R248="","",_xlfn.XLOOKUP(R248,[2]Sheet4!B:B,[2]Sheet4!H:H))</f>
        <v/>
      </c>
      <c r="S248" s="25" t="str">
        <f>IF(Sheet2!O248="","",--LEFT(Sheet2!O248,FIND("""",Sheet2!O248)-1))</f>
        <v/>
      </c>
    </row>
    <row r="249" spans="8:19" x14ac:dyDescent="0.25">
      <c r="H249" t="str">
        <f t="shared" si="54"/>
        <v/>
      </c>
      <c r="I249" t="str">
        <f t="shared" si="55"/>
        <v/>
      </c>
      <c r="J249" t="str">
        <f t="shared" si="56"/>
        <v/>
      </c>
      <c r="K249" t="str">
        <f t="shared" si="57"/>
        <v/>
      </c>
      <c r="L249" t="str">
        <f t="shared" si="58"/>
        <v/>
      </c>
      <c r="M249" s="27" t="str">
        <f>IF(R249="","",_xlfn.XLOOKUP(R249,[2]Sheet4!B:B,[2]Sheet4!H:H))</f>
        <v/>
      </c>
      <c r="S249" s="25" t="str">
        <f>IF(Sheet2!O249="","",--LEFT(Sheet2!O249,FIND("""",Sheet2!O249)-1))</f>
        <v/>
      </c>
    </row>
    <row r="250" spans="8:19" x14ac:dyDescent="0.25">
      <c r="H250" t="str">
        <f t="shared" si="54"/>
        <v/>
      </c>
      <c r="I250" t="str">
        <f t="shared" si="55"/>
        <v/>
      </c>
      <c r="J250" t="str">
        <f t="shared" si="56"/>
        <v/>
      </c>
      <c r="K250" t="str">
        <f t="shared" si="57"/>
        <v/>
      </c>
      <c r="L250" t="str">
        <f t="shared" si="58"/>
        <v/>
      </c>
      <c r="M250" s="27" t="str">
        <f>IF(R250="","",_xlfn.XLOOKUP(R250,[2]Sheet4!B:B,[2]Sheet4!H:H))</f>
        <v/>
      </c>
      <c r="S250" s="25" t="str">
        <f>IF(Sheet2!O250="","",--LEFT(Sheet2!O250,FIND("""",Sheet2!O250)-1))</f>
        <v/>
      </c>
    </row>
    <row r="251" spans="8:19" x14ac:dyDescent="0.25">
      <c r="H251" t="str">
        <f t="shared" si="54"/>
        <v/>
      </c>
      <c r="I251" t="str">
        <f t="shared" si="55"/>
        <v/>
      </c>
      <c r="J251" t="str">
        <f t="shared" si="56"/>
        <v/>
      </c>
      <c r="K251" t="str">
        <f t="shared" si="57"/>
        <v/>
      </c>
      <c r="L251" t="str">
        <f t="shared" si="58"/>
        <v/>
      </c>
      <c r="M251" s="27" t="str">
        <f>IF(R251="","",_xlfn.XLOOKUP(R251,[2]Sheet4!B:B,[2]Sheet4!H:H))</f>
        <v/>
      </c>
      <c r="S251" s="25" t="str">
        <f>IF(Sheet2!O251="","",--LEFT(Sheet2!O251,FIND("""",Sheet2!O251)-1))</f>
        <v/>
      </c>
    </row>
    <row r="252" spans="8:19" x14ac:dyDescent="0.25">
      <c r="H252" t="str">
        <f t="shared" si="54"/>
        <v/>
      </c>
      <c r="I252" t="str">
        <f t="shared" si="55"/>
        <v/>
      </c>
      <c r="J252" t="str">
        <f t="shared" si="56"/>
        <v/>
      </c>
      <c r="K252" t="str">
        <f t="shared" si="57"/>
        <v/>
      </c>
      <c r="L252" t="str">
        <f t="shared" si="58"/>
        <v/>
      </c>
      <c r="M252" s="27" t="str">
        <f>IF(R252="","",_xlfn.XLOOKUP(R252,[2]Sheet4!B:B,[2]Sheet4!H:H))</f>
        <v/>
      </c>
      <c r="S252" s="25" t="str">
        <f>IF(Sheet2!O252="","",--LEFT(Sheet2!O252,FIND("""",Sheet2!O252)-1))</f>
        <v/>
      </c>
    </row>
    <row r="253" spans="8:19" x14ac:dyDescent="0.25">
      <c r="H253" t="str">
        <f t="shared" si="54"/>
        <v/>
      </c>
      <c r="I253" t="str">
        <f t="shared" si="55"/>
        <v/>
      </c>
      <c r="J253" t="str">
        <f t="shared" si="56"/>
        <v/>
      </c>
      <c r="K253" t="str">
        <f t="shared" si="57"/>
        <v/>
      </c>
      <c r="L253" t="str">
        <f t="shared" si="58"/>
        <v/>
      </c>
      <c r="M253" s="27" t="str">
        <f>IF(R253="","",_xlfn.XLOOKUP(R253,[2]Sheet4!B:B,[2]Sheet4!H:H))</f>
        <v/>
      </c>
      <c r="S253" s="25" t="str">
        <f>IF(Sheet2!O253="","",--LEFT(Sheet2!O253,FIND("""",Sheet2!O253)-1))</f>
        <v/>
      </c>
    </row>
    <row r="254" spans="8:19" x14ac:dyDescent="0.25">
      <c r="H254" t="str">
        <f t="shared" si="54"/>
        <v/>
      </c>
      <c r="I254" t="str">
        <f t="shared" si="55"/>
        <v/>
      </c>
      <c r="J254" t="str">
        <f t="shared" si="56"/>
        <v/>
      </c>
      <c r="K254" t="str">
        <f t="shared" si="57"/>
        <v/>
      </c>
      <c r="L254" t="str">
        <f t="shared" si="58"/>
        <v/>
      </c>
      <c r="M254" s="27" t="str">
        <f>IF(R254="","",_xlfn.XLOOKUP(R254,[2]Sheet4!B:B,[2]Sheet4!H:H))</f>
        <v/>
      </c>
      <c r="S254" s="25" t="str">
        <f>IF(Sheet2!O254="","",--LEFT(Sheet2!O254,FIND("""",Sheet2!O254)-1))</f>
        <v/>
      </c>
    </row>
    <row r="255" spans="8:19" x14ac:dyDescent="0.25">
      <c r="H255" t="str">
        <f t="shared" si="54"/>
        <v/>
      </c>
      <c r="I255" t="str">
        <f t="shared" si="55"/>
        <v/>
      </c>
      <c r="J255" t="str">
        <f t="shared" si="56"/>
        <v/>
      </c>
      <c r="K255" t="str">
        <f t="shared" si="57"/>
        <v/>
      </c>
      <c r="L255" t="str">
        <f t="shared" si="58"/>
        <v/>
      </c>
      <c r="M255" s="27" t="str">
        <f>IF(R255="","",_xlfn.XLOOKUP(R255,[2]Sheet4!B:B,[2]Sheet4!H:H))</f>
        <v/>
      </c>
      <c r="S255" s="25" t="str">
        <f>IF(Sheet2!O255="","",--LEFT(Sheet2!O255,FIND("""",Sheet2!O255)-1))</f>
        <v/>
      </c>
    </row>
    <row r="256" spans="8:19" x14ac:dyDescent="0.25">
      <c r="H256" t="str">
        <f t="shared" si="54"/>
        <v/>
      </c>
      <c r="I256" t="str">
        <f t="shared" si="55"/>
        <v/>
      </c>
      <c r="J256" t="str">
        <f t="shared" si="56"/>
        <v/>
      </c>
      <c r="K256" t="str">
        <f t="shared" si="57"/>
        <v/>
      </c>
      <c r="L256" t="str">
        <f t="shared" si="58"/>
        <v/>
      </c>
      <c r="M256" s="27" t="str">
        <f>IF(R256="","",_xlfn.XLOOKUP(R256,[2]Sheet4!B:B,[2]Sheet4!H:H))</f>
        <v/>
      </c>
      <c r="S256" s="25" t="str">
        <f>IF(Sheet2!O256="","",--LEFT(Sheet2!O256,FIND("""",Sheet2!O256)-1))</f>
        <v/>
      </c>
    </row>
    <row r="257" spans="8:19" x14ac:dyDescent="0.25">
      <c r="H257" t="str">
        <f t="shared" si="54"/>
        <v/>
      </c>
      <c r="I257" t="str">
        <f t="shared" si="55"/>
        <v/>
      </c>
      <c r="J257" t="str">
        <f t="shared" si="56"/>
        <v/>
      </c>
      <c r="K257" t="str">
        <f t="shared" si="57"/>
        <v/>
      </c>
      <c r="L257" t="str">
        <f t="shared" si="58"/>
        <v/>
      </c>
      <c r="M257" s="27" t="str">
        <f>IF(R257="","",_xlfn.XLOOKUP(R257,[2]Sheet4!B:B,[2]Sheet4!H:H))</f>
        <v/>
      </c>
      <c r="S257" s="25" t="str">
        <f>IF(Sheet2!O257="","",--LEFT(Sheet2!O257,FIND("""",Sheet2!O257)-1))</f>
        <v/>
      </c>
    </row>
    <row r="258" spans="8:19" x14ac:dyDescent="0.25">
      <c r="H258" t="str">
        <f t="shared" si="54"/>
        <v/>
      </c>
      <c r="I258" t="str">
        <f t="shared" si="55"/>
        <v/>
      </c>
      <c r="J258" t="str">
        <f t="shared" si="56"/>
        <v/>
      </c>
      <c r="K258" t="str">
        <f t="shared" si="57"/>
        <v/>
      </c>
      <c r="L258" t="str">
        <f t="shared" si="58"/>
        <v/>
      </c>
      <c r="M258" s="27" t="str">
        <f>IF(R258="","",_xlfn.XLOOKUP(R258,[2]Sheet4!B:B,[2]Sheet4!H:H))</f>
        <v/>
      </c>
      <c r="S258" s="25" t="str">
        <f>IF(Sheet2!O258="","",--LEFT(Sheet2!O258,FIND("""",Sheet2!O258)-1))</f>
        <v/>
      </c>
    </row>
    <row r="259" spans="8:19" x14ac:dyDescent="0.25">
      <c r="H259" t="str">
        <f t="shared" ref="H259:H322" si="59">IF(C259="","",B259-C259)</f>
        <v/>
      </c>
      <c r="I259" t="str">
        <f t="shared" ref="I259:I322" si="60">IF(H259="","",H259+0.5)</f>
        <v/>
      </c>
      <c r="J259" t="str">
        <f t="shared" ref="J259:J322" si="61">IF(H259="","",H259+0.67)</f>
        <v/>
      </c>
      <c r="K259" t="str">
        <f t="shared" ref="K259:K322" si="62">IF(H259="","",H259+0.83)</f>
        <v/>
      </c>
      <c r="L259" t="str">
        <f t="shared" ref="L259:L322" si="63">IF(H259="","",H259+1.17)</f>
        <v/>
      </c>
      <c r="M259" s="27" t="str">
        <f>IF(R259="","",_xlfn.XLOOKUP(R259,[2]Sheet4!B:B,[2]Sheet4!H:H))</f>
        <v/>
      </c>
      <c r="S259" s="25" t="str">
        <f>IF(Sheet2!O259="","",--LEFT(Sheet2!O259,FIND("""",Sheet2!O259)-1))</f>
        <v/>
      </c>
    </row>
    <row r="260" spans="8:19" x14ac:dyDescent="0.25">
      <c r="H260" t="str">
        <f t="shared" si="59"/>
        <v/>
      </c>
      <c r="I260" t="str">
        <f t="shared" si="60"/>
        <v/>
      </c>
      <c r="J260" t="str">
        <f t="shared" si="61"/>
        <v/>
      </c>
      <c r="K260" t="str">
        <f t="shared" si="62"/>
        <v/>
      </c>
      <c r="L260" t="str">
        <f t="shared" si="63"/>
        <v/>
      </c>
      <c r="M260" s="27" t="str">
        <f>IF(R260="","",_xlfn.XLOOKUP(R260,[2]Sheet4!B:B,[2]Sheet4!H:H))</f>
        <v/>
      </c>
      <c r="S260" s="25" t="str">
        <f>IF(Sheet2!O260="","",--LEFT(Sheet2!O260,FIND("""",Sheet2!O260)-1))</f>
        <v/>
      </c>
    </row>
    <row r="261" spans="8:19" x14ac:dyDescent="0.25">
      <c r="H261" t="str">
        <f t="shared" si="59"/>
        <v/>
      </c>
      <c r="I261" t="str">
        <f t="shared" si="60"/>
        <v/>
      </c>
      <c r="J261" t="str">
        <f t="shared" si="61"/>
        <v/>
      </c>
      <c r="K261" t="str">
        <f t="shared" si="62"/>
        <v/>
      </c>
      <c r="L261" t="str">
        <f t="shared" si="63"/>
        <v/>
      </c>
      <c r="M261" s="27" t="str">
        <f>IF(R261="","",_xlfn.XLOOKUP(R261,[2]Sheet4!B:B,[2]Sheet4!H:H))</f>
        <v/>
      </c>
      <c r="S261" s="25" t="str">
        <f>IF(Sheet2!O261="","",--LEFT(Sheet2!O261,FIND("""",Sheet2!O261)-1))</f>
        <v/>
      </c>
    </row>
    <row r="262" spans="8:19" x14ac:dyDescent="0.25">
      <c r="H262" t="str">
        <f t="shared" si="59"/>
        <v/>
      </c>
      <c r="I262" t="str">
        <f t="shared" si="60"/>
        <v/>
      </c>
      <c r="J262" t="str">
        <f t="shared" si="61"/>
        <v/>
      </c>
      <c r="K262" t="str">
        <f t="shared" si="62"/>
        <v/>
      </c>
      <c r="L262" t="str">
        <f t="shared" si="63"/>
        <v/>
      </c>
      <c r="M262" s="27" t="str">
        <f>IF(R262="","",_xlfn.XLOOKUP(R262,[2]Sheet4!B:B,[2]Sheet4!H:H))</f>
        <v/>
      </c>
      <c r="S262" s="25" t="str">
        <f>IF(Sheet2!O262="","",--LEFT(Sheet2!O262,FIND("""",Sheet2!O262)-1))</f>
        <v/>
      </c>
    </row>
    <row r="263" spans="8:19" x14ac:dyDescent="0.25">
      <c r="H263" t="str">
        <f t="shared" si="59"/>
        <v/>
      </c>
      <c r="I263" t="str">
        <f t="shared" si="60"/>
        <v/>
      </c>
      <c r="J263" t="str">
        <f t="shared" si="61"/>
        <v/>
      </c>
      <c r="K263" t="str">
        <f t="shared" si="62"/>
        <v/>
      </c>
      <c r="L263" t="str">
        <f t="shared" si="63"/>
        <v/>
      </c>
      <c r="M263" s="27" t="str">
        <f>IF(R263="","",_xlfn.XLOOKUP(R263,[2]Sheet4!B:B,[2]Sheet4!H:H))</f>
        <v/>
      </c>
      <c r="S263" s="25" t="str">
        <f>IF(Sheet2!O263="","",--LEFT(Sheet2!O263,FIND("""",Sheet2!O263)-1))</f>
        <v/>
      </c>
    </row>
    <row r="264" spans="8:19" x14ac:dyDescent="0.25">
      <c r="H264" t="str">
        <f t="shared" si="59"/>
        <v/>
      </c>
      <c r="I264" t="str">
        <f t="shared" si="60"/>
        <v/>
      </c>
      <c r="J264" t="str">
        <f t="shared" si="61"/>
        <v/>
      </c>
      <c r="K264" t="str">
        <f t="shared" si="62"/>
        <v/>
      </c>
      <c r="L264" t="str">
        <f t="shared" si="63"/>
        <v/>
      </c>
      <c r="M264" s="27" t="str">
        <f>IF(R264="","",_xlfn.XLOOKUP(R264,[2]Sheet4!B:B,[2]Sheet4!H:H))</f>
        <v/>
      </c>
      <c r="S264" s="25" t="str">
        <f>IF(Sheet2!O264="","",--LEFT(Sheet2!O264,FIND("""",Sheet2!O264)-1))</f>
        <v/>
      </c>
    </row>
    <row r="265" spans="8:19" x14ac:dyDescent="0.25">
      <c r="H265" t="str">
        <f t="shared" si="59"/>
        <v/>
      </c>
      <c r="I265" t="str">
        <f t="shared" si="60"/>
        <v/>
      </c>
      <c r="J265" t="str">
        <f t="shared" si="61"/>
        <v/>
      </c>
      <c r="K265" t="str">
        <f t="shared" si="62"/>
        <v/>
      </c>
      <c r="L265" t="str">
        <f t="shared" si="63"/>
        <v/>
      </c>
      <c r="M265" s="27" t="str">
        <f>IF(R265="","",_xlfn.XLOOKUP(R265,[2]Sheet4!B:B,[2]Sheet4!H:H))</f>
        <v/>
      </c>
      <c r="S265" s="25" t="str">
        <f>IF(Sheet2!O265="","",--LEFT(Sheet2!O265,FIND("""",Sheet2!O265)-1))</f>
        <v/>
      </c>
    </row>
    <row r="266" spans="8:19" x14ac:dyDescent="0.25">
      <c r="H266" t="str">
        <f t="shared" si="59"/>
        <v/>
      </c>
      <c r="I266" t="str">
        <f t="shared" si="60"/>
        <v/>
      </c>
      <c r="J266" t="str">
        <f t="shared" si="61"/>
        <v/>
      </c>
      <c r="K266" t="str">
        <f t="shared" si="62"/>
        <v/>
      </c>
      <c r="L266" t="str">
        <f t="shared" si="63"/>
        <v/>
      </c>
      <c r="M266" s="27" t="str">
        <f>IF(R266="","",_xlfn.XLOOKUP(R266,[2]Sheet4!B:B,[2]Sheet4!H:H))</f>
        <v/>
      </c>
      <c r="S266" s="25" t="str">
        <f>IF(Sheet2!O266="","",--LEFT(Sheet2!O266,FIND("""",Sheet2!O266)-1))</f>
        <v/>
      </c>
    </row>
    <row r="267" spans="8:19" x14ac:dyDescent="0.25">
      <c r="H267" t="str">
        <f t="shared" si="59"/>
        <v/>
      </c>
      <c r="I267" t="str">
        <f t="shared" si="60"/>
        <v/>
      </c>
      <c r="J267" t="str">
        <f t="shared" si="61"/>
        <v/>
      </c>
      <c r="K267" t="str">
        <f t="shared" si="62"/>
        <v/>
      </c>
      <c r="L267" t="str">
        <f t="shared" si="63"/>
        <v/>
      </c>
      <c r="M267" s="27" t="str">
        <f>IF(R267="","",_xlfn.XLOOKUP(R267,[2]Sheet4!B:B,[2]Sheet4!H:H))</f>
        <v/>
      </c>
      <c r="S267" s="25" t="str">
        <f>IF(Sheet2!O267="","",--LEFT(Sheet2!O267,FIND("""",Sheet2!O267)-1))</f>
        <v/>
      </c>
    </row>
    <row r="268" spans="8:19" x14ac:dyDescent="0.25">
      <c r="H268" t="str">
        <f t="shared" si="59"/>
        <v/>
      </c>
      <c r="I268" t="str">
        <f t="shared" si="60"/>
        <v/>
      </c>
      <c r="J268" t="str">
        <f t="shared" si="61"/>
        <v/>
      </c>
      <c r="K268" t="str">
        <f t="shared" si="62"/>
        <v/>
      </c>
      <c r="L268" t="str">
        <f t="shared" si="63"/>
        <v/>
      </c>
      <c r="M268" s="27" t="str">
        <f>IF(R268="","",_xlfn.XLOOKUP(R268,[2]Sheet4!B:B,[2]Sheet4!H:H))</f>
        <v/>
      </c>
      <c r="S268" s="25" t="str">
        <f>IF(Sheet2!O268="","",--LEFT(Sheet2!O268,FIND("""",Sheet2!O268)-1))</f>
        <v/>
      </c>
    </row>
    <row r="269" spans="8:19" x14ac:dyDescent="0.25">
      <c r="H269" t="str">
        <f t="shared" si="59"/>
        <v/>
      </c>
      <c r="I269" t="str">
        <f t="shared" si="60"/>
        <v/>
      </c>
      <c r="J269" t="str">
        <f t="shared" si="61"/>
        <v/>
      </c>
      <c r="K269" t="str">
        <f t="shared" si="62"/>
        <v/>
      </c>
      <c r="L269" t="str">
        <f t="shared" si="63"/>
        <v/>
      </c>
      <c r="M269" s="27" t="str">
        <f>IF(R269="","",_xlfn.XLOOKUP(R269,[2]Sheet4!B:B,[2]Sheet4!H:H))</f>
        <v/>
      </c>
      <c r="S269" s="25" t="str">
        <f>IF(Sheet2!O269="","",--LEFT(Sheet2!O269,FIND("""",Sheet2!O269)-1))</f>
        <v/>
      </c>
    </row>
    <row r="270" spans="8:19" x14ac:dyDescent="0.25">
      <c r="H270" t="str">
        <f t="shared" si="59"/>
        <v/>
      </c>
      <c r="I270" t="str">
        <f t="shared" si="60"/>
        <v/>
      </c>
      <c r="J270" t="str">
        <f t="shared" si="61"/>
        <v/>
      </c>
      <c r="K270" t="str">
        <f t="shared" si="62"/>
        <v/>
      </c>
      <c r="L270" t="str">
        <f t="shared" si="63"/>
        <v/>
      </c>
      <c r="M270" s="27" t="str">
        <f>IF(R270="","",_xlfn.XLOOKUP(R270,[2]Sheet4!B:B,[2]Sheet4!H:H))</f>
        <v/>
      </c>
      <c r="S270" s="25" t="str">
        <f>IF(Sheet2!O270="","",--LEFT(Sheet2!O270,FIND("""",Sheet2!O270)-1))</f>
        <v/>
      </c>
    </row>
    <row r="271" spans="8:19" x14ac:dyDescent="0.25">
      <c r="H271" t="str">
        <f t="shared" si="59"/>
        <v/>
      </c>
      <c r="I271" t="str">
        <f t="shared" si="60"/>
        <v/>
      </c>
      <c r="J271" t="str">
        <f t="shared" si="61"/>
        <v/>
      </c>
      <c r="K271" t="str">
        <f t="shared" si="62"/>
        <v/>
      </c>
      <c r="L271" t="str">
        <f t="shared" si="63"/>
        <v/>
      </c>
      <c r="M271" s="27" t="str">
        <f>IF(R271="","",_xlfn.XLOOKUP(R271,[2]Sheet4!B:B,[2]Sheet4!H:H))</f>
        <v/>
      </c>
      <c r="S271" s="25" t="str">
        <f>IF(Sheet2!O271="","",--LEFT(Sheet2!O271,FIND("""",Sheet2!O271)-1))</f>
        <v/>
      </c>
    </row>
    <row r="272" spans="8:19" x14ac:dyDescent="0.25">
      <c r="H272" t="str">
        <f t="shared" si="59"/>
        <v/>
      </c>
      <c r="I272" t="str">
        <f t="shared" si="60"/>
        <v/>
      </c>
      <c r="J272" t="str">
        <f t="shared" si="61"/>
        <v/>
      </c>
      <c r="K272" t="str">
        <f t="shared" si="62"/>
        <v/>
      </c>
      <c r="L272" t="str">
        <f t="shared" si="63"/>
        <v/>
      </c>
      <c r="M272" s="27" t="str">
        <f>IF(R272="","",_xlfn.XLOOKUP(R272,[2]Sheet4!B:B,[2]Sheet4!H:H))</f>
        <v/>
      </c>
      <c r="S272" s="25" t="str">
        <f>IF(Sheet2!O272="","",--LEFT(Sheet2!O272,FIND("""",Sheet2!O272)-1))</f>
        <v/>
      </c>
    </row>
    <row r="273" spans="8:19" x14ac:dyDescent="0.25">
      <c r="H273" t="str">
        <f t="shared" si="59"/>
        <v/>
      </c>
      <c r="I273" t="str">
        <f t="shared" si="60"/>
        <v/>
      </c>
      <c r="J273" t="str">
        <f t="shared" si="61"/>
        <v/>
      </c>
      <c r="K273" t="str">
        <f t="shared" si="62"/>
        <v/>
      </c>
      <c r="L273" t="str">
        <f t="shared" si="63"/>
        <v/>
      </c>
      <c r="M273" s="27" t="str">
        <f>IF(R273="","",_xlfn.XLOOKUP(R273,[2]Sheet4!B:B,[2]Sheet4!H:H))</f>
        <v/>
      </c>
      <c r="S273" s="25" t="str">
        <f>IF(Sheet2!O273="","",--LEFT(Sheet2!O273,FIND("""",Sheet2!O273)-1))</f>
        <v/>
      </c>
    </row>
    <row r="274" spans="8:19" x14ac:dyDescent="0.25">
      <c r="H274" t="str">
        <f t="shared" si="59"/>
        <v/>
      </c>
      <c r="I274" t="str">
        <f t="shared" si="60"/>
        <v/>
      </c>
      <c r="J274" t="str">
        <f t="shared" si="61"/>
        <v/>
      </c>
      <c r="K274" t="str">
        <f t="shared" si="62"/>
        <v/>
      </c>
      <c r="L274" t="str">
        <f t="shared" si="63"/>
        <v/>
      </c>
      <c r="M274" s="27" t="str">
        <f>IF(R274="","",_xlfn.XLOOKUP(R274,[2]Sheet4!B:B,[2]Sheet4!H:H))</f>
        <v/>
      </c>
      <c r="S274" s="25" t="str">
        <f>IF(Sheet2!O274="","",--LEFT(Sheet2!O274,FIND("""",Sheet2!O274)-1))</f>
        <v/>
      </c>
    </row>
    <row r="275" spans="8:19" x14ac:dyDescent="0.25">
      <c r="H275" t="str">
        <f t="shared" si="59"/>
        <v/>
      </c>
      <c r="I275" t="str">
        <f t="shared" si="60"/>
        <v/>
      </c>
      <c r="J275" t="str">
        <f t="shared" si="61"/>
        <v/>
      </c>
      <c r="K275" t="str">
        <f t="shared" si="62"/>
        <v/>
      </c>
      <c r="L275" t="str">
        <f t="shared" si="63"/>
        <v/>
      </c>
      <c r="M275" s="27" t="str">
        <f>IF(R275="","",_xlfn.XLOOKUP(R275,[2]Sheet4!B:B,[2]Sheet4!H:H))</f>
        <v/>
      </c>
      <c r="S275" s="25" t="str">
        <f>IF(Sheet2!O275="","",--LEFT(Sheet2!O275,FIND("""",Sheet2!O275)-1))</f>
        <v/>
      </c>
    </row>
    <row r="276" spans="8:19" x14ac:dyDescent="0.25">
      <c r="H276" t="str">
        <f t="shared" si="59"/>
        <v/>
      </c>
      <c r="I276" t="str">
        <f t="shared" si="60"/>
        <v/>
      </c>
      <c r="J276" t="str">
        <f t="shared" si="61"/>
        <v/>
      </c>
      <c r="K276" t="str">
        <f t="shared" si="62"/>
        <v/>
      </c>
      <c r="L276" t="str">
        <f t="shared" si="63"/>
        <v/>
      </c>
      <c r="M276" s="27" t="str">
        <f>IF(R276="","",_xlfn.XLOOKUP(R276,[2]Sheet4!B:B,[2]Sheet4!H:H))</f>
        <v/>
      </c>
      <c r="S276" s="25" t="str">
        <f>IF(Sheet2!O276="","",--LEFT(Sheet2!O276,FIND("""",Sheet2!O276)-1))</f>
        <v/>
      </c>
    </row>
    <row r="277" spans="8:19" x14ac:dyDescent="0.25">
      <c r="H277" t="str">
        <f t="shared" si="59"/>
        <v/>
      </c>
      <c r="I277" t="str">
        <f t="shared" si="60"/>
        <v/>
      </c>
      <c r="J277" t="str">
        <f t="shared" si="61"/>
        <v/>
      </c>
      <c r="K277" t="str">
        <f t="shared" si="62"/>
        <v/>
      </c>
      <c r="L277" t="str">
        <f t="shared" si="63"/>
        <v/>
      </c>
      <c r="M277" s="27" t="str">
        <f>IF(R277="","",_xlfn.XLOOKUP(R277,[2]Sheet4!B:B,[2]Sheet4!H:H))</f>
        <v/>
      </c>
      <c r="S277" s="25" t="str">
        <f>IF(Sheet2!O277="","",--LEFT(Sheet2!O277,FIND("""",Sheet2!O277)-1))</f>
        <v/>
      </c>
    </row>
    <row r="278" spans="8:19" x14ac:dyDescent="0.25">
      <c r="H278" t="str">
        <f t="shared" si="59"/>
        <v/>
      </c>
      <c r="I278" t="str">
        <f t="shared" si="60"/>
        <v/>
      </c>
      <c r="J278" t="str">
        <f t="shared" si="61"/>
        <v/>
      </c>
      <c r="K278" t="str">
        <f t="shared" si="62"/>
        <v/>
      </c>
      <c r="L278" t="str">
        <f t="shared" si="63"/>
        <v/>
      </c>
      <c r="M278" s="27" t="str">
        <f>IF(R278="","",_xlfn.XLOOKUP(R278,[2]Sheet4!B:B,[2]Sheet4!H:H))</f>
        <v/>
      </c>
      <c r="S278" s="25" t="str">
        <f>IF(Sheet2!O278="","",--LEFT(Sheet2!O278,FIND("""",Sheet2!O278)-1))</f>
        <v/>
      </c>
    </row>
    <row r="279" spans="8:19" x14ac:dyDescent="0.25">
      <c r="H279" t="str">
        <f t="shared" si="59"/>
        <v/>
      </c>
      <c r="I279" t="str">
        <f t="shared" si="60"/>
        <v/>
      </c>
      <c r="J279" t="str">
        <f t="shared" si="61"/>
        <v/>
      </c>
      <c r="K279" t="str">
        <f t="shared" si="62"/>
        <v/>
      </c>
      <c r="L279" t="str">
        <f t="shared" si="63"/>
        <v/>
      </c>
      <c r="M279" s="27" t="str">
        <f>IF(R279="","",_xlfn.XLOOKUP(R279,[2]Sheet4!B:B,[2]Sheet4!H:H))</f>
        <v/>
      </c>
      <c r="S279" s="25" t="str">
        <f>IF(Sheet2!O279="","",--LEFT(Sheet2!O279,FIND("""",Sheet2!O279)-1))</f>
        <v/>
      </c>
    </row>
    <row r="280" spans="8:19" x14ac:dyDescent="0.25">
      <c r="H280" t="str">
        <f t="shared" si="59"/>
        <v/>
      </c>
      <c r="I280" t="str">
        <f t="shared" si="60"/>
        <v/>
      </c>
      <c r="J280" t="str">
        <f t="shared" si="61"/>
        <v/>
      </c>
      <c r="K280" t="str">
        <f t="shared" si="62"/>
        <v/>
      </c>
      <c r="L280" t="str">
        <f t="shared" si="63"/>
        <v/>
      </c>
      <c r="M280" s="27" t="str">
        <f>IF(R280="","",_xlfn.XLOOKUP(R280,[2]Sheet4!B:B,[2]Sheet4!H:H))</f>
        <v/>
      </c>
      <c r="S280" s="25" t="str">
        <f>IF(Sheet2!O280="","",--LEFT(Sheet2!O280,FIND("""",Sheet2!O280)-1))</f>
        <v/>
      </c>
    </row>
    <row r="281" spans="8:19" x14ac:dyDescent="0.25">
      <c r="H281" t="str">
        <f t="shared" si="59"/>
        <v/>
      </c>
      <c r="I281" t="str">
        <f t="shared" si="60"/>
        <v/>
      </c>
      <c r="J281" t="str">
        <f t="shared" si="61"/>
        <v/>
      </c>
      <c r="K281" t="str">
        <f t="shared" si="62"/>
        <v/>
      </c>
      <c r="L281" t="str">
        <f t="shared" si="63"/>
        <v/>
      </c>
      <c r="M281" s="27" t="str">
        <f>IF(R281="","",_xlfn.XLOOKUP(R281,[2]Sheet4!B:B,[2]Sheet4!H:H))</f>
        <v/>
      </c>
      <c r="S281" s="25" t="str">
        <f>IF(Sheet2!O281="","",--LEFT(Sheet2!O281,FIND("""",Sheet2!O281)-1))</f>
        <v/>
      </c>
    </row>
    <row r="282" spans="8:19" x14ac:dyDescent="0.25">
      <c r="H282" t="str">
        <f t="shared" si="59"/>
        <v/>
      </c>
      <c r="I282" t="str">
        <f t="shared" si="60"/>
        <v/>
      </c>
      <c r="J282" t="str">
        <f t="shared" si="61"/>
        <v/>
      </c>
      <c r="K282" t="str">
        <f t="shared" si="62"/>
        <v/>
      </c>
      <c r="L282" t="str">
        <f t="shared" si="63"/>
        <v/>
      </c>
      <c r="M282" s="27" t="str">
        <f>IF(R282="","",_xlfn.XLOOKUP(R282,[2]Sheet4!B:B,[2]Sheet4!H:H))</f>
        <v/>
      </c>
      <c r="S282" s="25" t="str">
        <f>IF(Sheet2!O282="","",--LEFT(Sheet2!O282,FIND("""",Sheet2!O282)-1))</f>
        <v/>
      </c>
    </row>
    <row r="283" spans="8:19" x14ac:dyDescent="0.25">
      <c r="H283" t="str">
        <f t="shared" si="59"/>
        <v/>
      </c>
      <c r="I283" t="str">
        <f t="shared" si="60"/>
        <v/>
      </c>
      <c r="J283" t="str">
        <f t="shared" si="61"/>
        <v/>
      </c>
      <c r="K283" t="str">
        <f t="shared" si="62"/>
        <v/>
      </c>
      <c r="L283" t="str">
        <f t="shared" si="63"/>
        <v/>
      </c>
      <c r="M283" s="27" t="str">
        <f>IF(R283="","",_xlfn.XLOOKUP(R283,[2]Sheet4!B:B,[2]Sheet4!H:H))</f>
        <v/>
      </c>
      <c r="S283" s="25" t="str">
        <f>IF(Sheet2!O283="","",--LEFT(Sheet2!O283,FIND("""",Sheet2!O283)-1))</f>
        <v/>
      </c>
    </row>
    <row r="284" spans="8:19" x14ac:dyDescent="0.25">
      <c r="H284" t="str">
        <f t="shared" si="59"/>
        <v/>
      </c>
      <c r="I284" t="str">
        <f t="shared" si="60"/>
        <v/>
      </c>
      <c r="J284" t="str">
        <f t="shared" si="61"/>
        <v/>
      </c>
      <c r="K284" t="str">
        <f t="shared" si="62"/>
        <v/>
      </c>
      <c r="L284" t="str">
        <f t="shared" si="63"/>
        <v/>
      </c>
      <c r="M284" s="27" t="str">
        <f>IF(R284="","",_xlfn.XLOOKUP(R284,[2]Sheet4!B:B,[2]Sheet4!H:H))</f>
        <v/>
      </c>
      <c r="S284" s="25" t="str">
        <f>IF(Sheet2!O284="","",--LEFT(Sheet2!O284,FIND("""",Sheet2!O284)-1))</f>
        <v/>
      </c>
    </row>
    <row r="285" spans="8:19" x14ac:dyDescent="0.25">
      <c r="H285" t="str">
        <f t="shared" si="59"/>
        <v/>
      </c>
      <c r="I285" t="str">
        <f t="shared" si="60"/>
        <v/>
      </c>
      <c r="J285" t="str">
        <f t="shared" si="61"/>
        <v/>
      </c>
      <c r="K285" t="str">
        <f t="shared" si="62"/>
        <v/>
      </c>
      <c r="L285" t="str">
        <f t="shared" si="63"/>
        <v/>
      </c>
      <c r="M285" s="27" t="str">
        <f>IF(R285="","",_xlfn.XLOOKUP(R285,[2]Sheet4!B:B,[2]Sheet4!H:H))</f>
        <v/>
      </c>
      <c r="S285" s="25" t="str">
        <f>IF(Sheet2!O285="","",--LEFT(Sheet2!O285,FIND("""",Sheet2!O285)-1))</f>
        <v/>
      </c>
    </row>
    <row r="286" spans="8:19" x14ac:dyDescent="0.25">
      <c r="H286" t="str">
        <f t="shared" si="59"/>
        <v/>
      </c>
      <c r="I286" t="str">
        <f t="shared" si="60"/>
        <v/>
      </c>
      <c r="J286" t="str">
        <f t="shared" si="61"/>
        <v/>
      </c>
      <c r="K286" t="str">
        <f t="shared" si="62"/>
        <v/>
      </c>
      <c r="L286" t="str">
        <f t="shared" si="63"/>
        <v/>
      </c>
      <c r="M286" s="27" t="str">
        <f>IF(R286="","",_xlfn.XLOOKUP(R286,[2]Sheet4!B:B,[2]Sheet4!H:H))</f>
        <v/>
      </c>
      <c r="S286" s="25" t="str">
        <f>IF(Sheet2!O286="","",--LEFT(Sheet2!O286,FIND("""",Sheet2!O286)-1))</f>
        <v/>
      </c>
    </row>
    <row r="287" spans="8:19" x14ac:dyDescent="0.25">
      <c r="H287" t="str">
        <f t="shared" si="59"/>
        <v/>
      </c>
      <c r="I287" t="str">
        <f t="shared" si="60"/>
        <v/>
      </c>
      <c r="J287" t="str">
        <f t="shared" si="61"/>
        <v/>
      </c>
      <c r="K287" t="str">
        <f t="shared" si="62"/>
        <v/>
      </c>
      <c r="L287" t="str">
        <f t="shared" si="63"/>
        <v/>
      </c>
      <c r="M287" s="27" t="str">
        <f>IF(R287="","",_xlfn.XLOOKUP(R287,[2]Sheet4!B:B,[2]Sheet4!H:H))</f>
        <v/>
      </c>
      <c r="S287" s="25" t="str">
        <f>IF(Sheet2!O287="","",--LEFT(Sheet2!O287,FIND("""",Sheet2!O287)-1))</f>
        <v/>
      </c>
    </row>
    <row r="288" spans="8:19" x14ac:dyDescent="0.25">
      <c r="H288" t="str">
        <f t="shared" si="59"/>
        <v/>
      </c>
      <c r="I288" t="str">
        <f t="shared" si="60"/>
        <v/>
      </c>
      <c r="J288" t="str">
        <f t="shared" si="61"/>
        <v/>
      </c>
      <c r="K288" t="str">
        <f t="shared" si="62"/>
        <v/>
      </c>
      <c r="L288" t="str">
        <f t="shared" si="63"/>
        <v/>
      </c>
      <c r="M288" s="27" t="str">
        <f>IF(R288="","",_xlfn.XLOOKUP(R288,[2]Sheet4!B:B,[2]Sheet4!H:H))</f>
        <v/>
      </c>
      <c r="S288" s="25" t="str">
        <f>IF(Sheet2!O288="","",--LEFT(Sheet2!O288,FIND("""",Sheet2!O288)-1))</f>
        <v/>
      </c>
    </row>
    <row r="289" spans="8:19" x14ac:dyDescent="0.25">
      <c r="H289" t="str">
        <f t="shared" si="59"/>
        <v/>
      </c>
      <c r="I289" t="str">
        <f t="shared" si="60"/>
        <v/>
      </c>
      <c r="J289" t="str">
        <f t="shared" si="61"/>
        <v/>
      </c>
      <c r="K289" t="str">
        <f t="shared" si="62"/>
        <v/>
      </c>
      <c r="L289" t="str">
        <f t="shared" si="63"/>
        <v/>
      </c>
      <c r="M289" s="27" t="str">
        <f>IF(R289="","",_xlfn.XLOOKUP(R289,[2]Sheet4!B:B,[2]Sheet4!H:H))</f>
        <v/>
      </c>
      <c r="S289" s="25" t="str">
        <f>IF(Sheet2!O289="","",--LEFT(Sheet2!O289,FIND("""",Sheet2!O289)-1))</f>
        <v/>
      </c>
    </row>
    <row r="290" spans="8:19" x14ac:dyDescent="0.25">
      <c r="H290" t="str">
        <f t="shared" si="59"/>
        <v/>
      </c>
      <c r="I290" t="str">
        <f t="shared" si="60"/>
        <v/>
      </c>
      <c r="J290" t="str">
        <f t="shared" si="61"/>
        <v/>
      </c>
      <c r="K290" t="str">
        <f t="shared" si="62"/>
        <v/>
      </c>
      <c r="L290" t="str">
        <f t="shared" si="63"/>
        <v/>
      </c>
      <c r="M290" s="27" t="str">
        <f>IF(R290="","",_xlfn.XLOOKUP(R290,[2]Sheet4!B:B,[2]Sheet4!H:H))</f>
        <v/>
      </c>
      <c r="S290" s="25" t="str">
        <f>IF(Sheet2!O290="","",--LEFT(Sheet2!O290,FIND("""",Sheet2!O290)-1))</f>
        <v/>
      </c>
    </row>
    <row r="291" spans="8:19" x14ac:dyDescent="0.25">
      <c r="H291" t="str">
        <f t="shared" si="59"/>
        <v/>
      </c>
      <c r="I291" t="str">
        <f t="shared" si="60"/>
        <v/>
      </c>
      <c r="J291" t="str">
        <f t="shared" si="61"/>
        <v/>
      </c>
      <c r="K291" t="str">
        <f t="shared" si="62"/>
        <v/>
      </c>
      <c r="L291" t="str">
        <f t="shared" si="63"/>
        <v/>
      </c>
      <c r="M291" s="27" t="str">
        <f>IF(R291="","",_xlfn.XLOOKUP(R291,[2]Sheet4!B:B,[2]Sheet4!H:H))</f>
        <v/>
      </c>
      <c r="S291" s="25" t="str">
        <f>IF(Sheet2!O291="","",--LEFT(Sheet2!O291,FIND("""",Sheet2!O291)-1))</f>
        <v/>
      </c>
    </row>
    <row r="292" spans="8:19" x14ac:dyDescent="0.25">
      <c r="H292" t="str">
        <f t="shared" si="59"/>
        <v/>
      </c>
      <c r="I292" t="str">
        <f t="shared" si="60"/>
        <v/>
      </c>
      <c r="J292" t="str">
        <f t="shared" si="61"/>
        <v/>
      </c>
      <c r="K292" t="str">
        <f t="shared" si="62"/>
        <v/>
      </c>
      <c r="L292" t="str">
        <f t="shared" si="63"/>
        <v/>
      </c>
      <c r="M292" s="27" t="str">
        <f>IF(R292="","",_xlfn.XLOOKUP(R292,[2]Sheet4!B:B,[2]Sheet4!H:H))</f>
        <v/>
      </c>
      <c r="S292" s="25" t="str">
        <f>IF(Sheet2!O292="","",--LEFT(Sheet2!O292,FIND("""",Sheet2!O292)-1))</f>
        <v/>
      </c>
    </row>
    <row r="293" spans="8:19" x14ac:dyDescent="0.25">
      <c r="H293" t="str">
        <f t="shared" si="59"/>
        <v/>
      </c>
      <c r="I293" t="str">
        <f t="shared" si="60"/>
        <v/>
      </c>
      <c r="J293" t="str">
        <f t="shared" si="61"/>
        <v/>
      </c>
      <c r="K293" t="str">
        <f t="shared" si="62"/>
        <v/>
      </c>
      <c r="L293" t="str">
        <f t="shared" si="63"/>
        <v/>
      </c>
      <c r="M293" s="27" t="str">
        <f>IF(R293="","",_xlfn.XLOOKUP(R293,[2]Sheet4!B:B,[2]Sheet4!H:H))</f>
        <v/>
      </c>
      <c r="S293" s="25" t="str">
        <f>IF(Sheet2!O293="","",--LEFT(Sheet2!O293,FIND("""",Sheet2!O293)-1))</f>
        <v/>
      </c>
    </row>
    <row r="294" spans="8:19" x14ac:dyDescent="0.25">
      <c r="H294" t="str">
        <f t="shared" si="59"/>
        <v/>
      </c>
      <c r="I294" t="str">
        <f t="shared" si="60"/>
        <v/>
      </c>
      <c r="J294" t="str">
        <f t="shared" si="61"/>
        <v/>
      </c>
      <c r="K294" t="str">
        <f t="shared" si="62"/>
        <v/>
      </c>
      <c r="L294" t="str">
        <f t="shared" si="63"/>
        <v/>
      </c>
      <c r="M294" s="27" t="str">
        <f>IF(R294="","",_xlfn.XLOOKUP(R294,[2]Sheet4!B:B,[2]Sheet4!H:H))</f>
        <v/>
      </c>
      <c r="S294" s="25" t="str">
        <f>IF(Sheet2!O294="","",--LEFT(Sheet2!O294,FIND("""",Sheet2!O294)-1))</f>
        <v/>
      </c>
    </row>
    <row r="295" spans="8:19" x14ac:dyDescent="0.25">
      <c r="H295" t="str">
        <f t="shared" si="59"/>
        <v/>
      </c>
      <c r="I295" t="str">
        <f t="shared" si="60"/>
        <v/>
      </c>
      <c r="J295" t="str">
        <f t="shared" si="61"/>
        <v/>
      </c>
      <c r="K295" t="str">
        <f t="shared" si="62"/>
        <v/>
      </c>
      <c r="L295" t="str">
        <f t="shared" si="63"/>
        <v/>
      </c>
      <c r="M295" s="27" t="str">
        <f>IF(R295="","",_xlfn.XLOOKUP(R295,[2]Sheet4!B:B,[2]Sheet4!H:H))</f>
        <v/>
      </c>
      <c r="S295" s="25" t="str">
        <f>IF(Sheet2!O295="","",--LEFT(Sheet2!O295,FIND("""",Sheet2!O295)-1))</f>
        <v/>
      </c>
    </row>
    <row r="296" spans="8:19" x14ac:dyDescent="0.25">
      <c r="H296" t="str">
        <f t="shared" si="59"/>
        <v/>
      </c>
      <c r="I296" t="str">
        <f t="shared" si="60"/>
        <v/>
      </c>
      <c r="J296" t="str">
        <f t="shared" si="61"/>
        <v/>
      </c>
      <c r="K296" t="str">
        <f t="shared" si="62"/>
        <v/>
      </c>
      <c r="L296" t="str">
        <f t="shared" si="63"/>
        <v/>
      </c>
      <c r="M296" s="27" t="str">
        <f>IF(R296="","",_xlfn.XLOOKUP(R296,[2]Sheet4!B:B,[2]Sheet4!H:H))</f>
        <v/>
      </c>
      <c r="S296" s="25" t="str">
        <f>IF(Sheet2!O296="","",--LEFT(Sheet2!O296,FIND("""",Sheet2!O296)-1))</f>
        <v/>
      </c>
    </row>
    <row r="297" spans="8:19" x14ac:dyDescent="0.25">
      <c r="H297" t="str">
        <f t="shared" si="59"/>
        <v/>
      </c>
      <c r="I297" t="str">
        <f t="shared" si="60"/>
        <v/>
      </c>
      <c r="J297" t="str">
        <f t="shared" si="61"/>
        <v/>
      </c>
      <c r="K297" t="str">
        <f t="shared" si="62"/>
        <v/>
      </c>
      <c r="L297" t="str">
        <f t="shared" si="63"/>
        <v/>
      </c>
      <c r="M297" s="27" t="str">
        <f>IF(R297="","",_xlfn.XLOOKUP(R297,[2]Sheet4!B:B,[2]Sheet4!H:H))</f>
        <v/>
      </c>
      <c r="S297" s="25" t="str">
        <f>IF(Sheet2!O297="","",--LEFT(Sheet2!O297,FIND("""",Sheet2!O297)-1))</f>
        <v/>
      </c>
    </row>
    <row r="298" spans="8:19" x14ac:dyDescent="0.25">
      <c r="H298" t="str">
        <f t="shared" si="59"/>
        <v/>
      </c>
      <c r="I298" t="str">
        <f t="shared" si="60"/>
        <v/>
      </c>
      <c r="J298" t="str">
        <f t="shared" si="61"/>
        <v/>
      </c>
      <c r="K298" t="str">
        <f t="shared" si="62"/>
        <v/>
      </c>
      <c r="L298" t="str">
        <f t="shared" si="63"/>
        <v/>
      </c>
      <c r="M298" s="27" t="str">
        <f>IF(R298="","",_xlfn.XLOOKUP(R298,[2]Sheet4!B:B,[2]Sheet4!H:H))</f>
        <v/>
      </c>
      <c r="S298" s="25" t="str">
        <f>IF(Sheet2!O298="","",--LEFT(Sheet2!O298,FIND("""",Sheet2!O298)-1))</f>
        <v/>
      </c>
    </row>
    <row r="299" spans="8:19" x14ac:dyDescent="0.25">
      <c r="H299" t="str">
        <f t="shared" si="59"/>
        <v/>
      </c>
      <c r="I299" t="str">
        <f t="shared" si="60"/>
        <v/>
      </c>
      <c r="J299" t="str">
        <f t="shared" si="61"/>
        <v/>
      </c>
      <c r="K299" t="str">
        <f t="shared" si="62"/>
        <v/>
      </c>
      <c r="L299" t="str">
        <f t="shared" si="63"/>
        <v/>
      </c>
      <c r="M299" s="27" t="str">
        <f>IF(R299="","",_xlfn.XLOOKUP(R299,[2]Sheet4!B:B,[2]Sheet4!H:H))</f>
        <v/>
      </c>
      <c r="S299" s="25" t="str">
        <f>IF(Sheet2!O299="","",--LEFT(Sheet2!O299,FIND("""",Sheet2!O299)-1))</f>
        <v/>
      </c>
    </row>
    <row r="300" spans="8:19" x14ac:dyDescent="0.25">
      <c r="H300" t="str">
        <f t="shared" si="59"/>
        <v/>
      </c>
      <c r="I300" t="str">
        <f t="shared" si="60"/>
        <v/>
      </c>
      <c r="J300" t="str">
        <f t="shared" si="61"/>
        <v/>
      </c>
      <c r="K300" t="str">
        <f t="shared" si="62"/>
        <v/>
      </c>
      <c r="L300" t="str">
        <f t="shared" si="63"/>
        <v/>
      </c>
      <c r="M300" s="27" t="str">
        <f>IF(R300="","",_xlfn.XLOOKUP(R300,[2]Sheet4!B:B,[2]Sheet4!H:H))</f>
        <v/>
      </c>
      <c r="S300" s="25" t="str">
        <f>IF(Sheet2!O300="","",--LEFT(Sheet2!O300,FIND("""",Sheet2!O300)-1))</f>
        <v/>
      </c>
    </row>
    <row r="301" spans="8:19" x14ac:dyDescent="0.25">
      <c r="H301" t="str">
        <f t="shared" si="59"/>
        <v/>
      </c>
      <c r="I301" t="str">
        <f t="shared" si="60"/>
        <v/>
      </c>
      <c r="J301" t="str">
        <f t="shared" si="61"/>
        <v/>
      </c>
      <c r="K301" t="str">
        <f t="shared" si="62"/>
        <v/>
      </c>
      <c r="L301" t="str">
        <f t="shared" si="63"/>
        <v/>
      </c>
      <c r="M301" s="27" t="str">
        <f>IF(R301="","",_xlfn.XLOOKUP(R301,[2]Sheet4!B:B,[2]Sheet4!H:H))</f>
        <v/>
      </c>
      <c r="S301" s="25" t="str">
        <f>IF(Sheet2!O301="","",--LEFT(Sheet2!O301,FIND("""",Sheet2!O301)-1))</f>
        <v/>
      </c>
    </row>
    <row r="302" spans="8:19" x14ac:dyDescent="0.25">
      <c r="H302" t="str">
        <f t="shared" si="59"/>
        <v/>
      </c>
      <c r="I302" t="str">
        <f t="shared" si="60"/>
        <v/>
      </c>
      <c r="J302" t="str">
        <f t="shared" si="61"/>
        <v/>
      </c>
      <c r="K302" t="str">
        <f t="shared" si="62"/>
        <v/>
      </c>
      <c r="L302" t="str">
        <f t="shared" si="63"/>
        <v/>
      </c>
      <c r="M302" s="27" t="str">
        <f>IF(R302="","",_xlfn.XLOOKUP(R302,[2]Sheet4!B:B,[2]Sheet4!H:H))</f>
        <v/>
      </c>
      <c r="S302" s="25" t="str">
        <f>IF(Sheet2!O302="","",--LEFT(Sheet2!O302,FIND("""",Sheet2!O302)-1))</f>
        <v/>
      </c>
    </row>
    <row r="303" spans="8:19" x14ac:dyDescent="0.25">
      <c r="H303" t="str">
        <f t="shared" si="59"/>
        <v/>
      </c>
      <c r="I303" t="str">
        <f t="shared" si="60"/>
        <v/>
      </c>
      <c r="J303" t="str">
        <f t="shared" si="61"/>
        <v/>
      </c>
      <c r="K303" t="str">
        <f t="shared" si="62"/>
        <v/>
      </c>
      <c r="L303" t="str">
        <f t="shared" si="63"/>
        <v/>
      </c>
      <c r="M303" s="27" t="str">
        <f>IF(R303="","",_xlfn.XLOOKUP(R303,[2]Sheet4!B:B,[2]Sheet4!H:H))</f>
        <v/>
      </c>
      <c r="S303" s="25" t="str">
        <f>IF(Sheet2!O303="","",--LEFT(Sheet2!O303,FIND("""",Sheet2!O303)-1))</f>
        <v/>
      </c>
    </row>
    <row r="304" spans="8:19" x14ac:dyDescent="0.25">
      <c r="H304" t="str">
        <f t="shared" si="59"/>
        <v/>
      </c>
      <c r="I304" t="str">
        <f t="shared" si="60"/>
        <v/>
      </c>
      <c r="J304" t="str">
        <f t="shared" si="61"/>
        <v/>
      </c>
      <c r="K304" t="str">
        <f t="shared" si="62"/>
        <v/>
      </c>
      <c r="L304" t="str">
        <f t="shared" si="63"/>
        <v/>
      </c>
      <c r="M304" s="27" t="str">
        <f>IF(R304="","",_xlfn.XLOOKUP(R304,[2]Sheet4!B:B,[2]Sheet4!H:H))</f>
        <v/>
      </c>
      <c r="S304" s="25" t="str">
        <f>IF(Sheet2!O304="","",--LEFT(Sheet2!O304,FIND("""",Sheet2!O304)-1))</f>
        <v/>
      </c>
    </row>
    <row r="305" spans="8:19" x14ac:dyDescent="0.25">
      <c r="H305" t="str">
        <f t="shared" si="59"/>
        <v/>
      </c>
      <c r="I305" t="str">
        <f t="shared" si="60"/>
        <v/>
      </c>
      <c r="J305" t="str">
        <f t="shared" si="61"/>
        <v/>
      </c>
      <c r="K305" t="str">
        <f t="shared" si="62"/>
        <v/>
      </c>
      <c r="L305" t="str">
        <f t="shared" si="63"/>
        <v/>
      </c>
      <c r="M305" s="27" t="str">
        <f>IF(R305="","",_xlfn.XLOOKUP(R305,[2]Sheet4!B:B,[2]Sheet4!H:H))</f>
        <v/>
      </c>
      <c r="S305" s="25" t="str">
        <f>IF(Sheet2!O305="","",--LEFT(Sheet2!O305,FIND("""",Sheet2!O305)-1))</f>
        <v/>
      </c>
    </row>
    <row r="306" spans="8:19" x14ac:dyDescent="0.25">
      <c r="H306" t="str">
        <f t="shared" si="59"/>
        <v/>
      </c>
      <c r="I306" t="str">
        <f t="shared" si="60"/>
        <v/>
      </c>
      <c r="J306" t="str">
        <f t="shared" si="61"/>
        <v/>
      </c>
      <c r="K306" t="str">
        <f t="shared" si="62"/>
        <v/>
      </c>
      <c r="L306" t="str">
        <f t="shared" si="63"/>
        <v/>
      </c>
      <c r="M306" s="27" t="str">
        <f>IF(R306="","",_xlfn.XLOOKUP(R306,[2]Sheet4!B:B,[2]Sheet4!H:H))</f>
        <v/>
      </c>
      <c r="S306" s="25" t="str">
        <f>IF(Sheet2!O306="","",--LEFT(Sheet2!O306,FIND("""",Sheet2!O306)-1))</f>
        <v/>
      </c>
    </row>
    <row r="307" spans="8:19" x14ac:dyDescent="0.25">
      <c r="H307" t="str">
        <f t="shared" si="59"/>
        <v/>
      </c>
      <c r="I307" t="str">
        <f t="shared" si="60"/>
        <v/>
      </c>
      <c r="J307" t="str">
        <f t="shared" si="61"/>
        <v/>
      </c>
      <c r="K307" t="str">
        <f t="shared" si="62"/>
        <v/>
      </c>
      <c r="L307" t="str">
        <f t="shared" si="63"/>
        <v/>
      </c>
      <c r="M307" s="27" t="str">
        <f>IF(R307="","",_xlfn.XLOOKUP(R307,[2]Sheet4!B:B,[2]Sheet4!H:H))</f>
        <v/>
      </c>
      <c r="S307" s="25" t="str">
        <f>IF(Sheet2!O307="","",--LEFT(Sheet2!O307,FIND("""",Sheet2!O307)-1))</f>
        <v/>
      </c>
    </row>
    <row r="308" spans="8:19" x14ac:dyDescent="0.25">
      <c r="H308" t="str">
        <f t="shared" si="59"/>
        <v/>
      </c>
      <c r="I308" t="str">
        <f t="shared" si="60"/>
        <v/>
      </c>
      <c r="J308" t="str">
        <f t="shared" si="61"/>
        <v/>
      </c>
      <c r="K308" t="str">
        <f t="shared" si="62"/>
        <v/>
      </c>
      <c r="L308" t="str">
        <f t="shared" si="63"/>
        <v/>
      </c>
      <c r="M308" s="27" t="str">
        <f>IF(R308="","",_xlfn.XLOOKUP(R308,[2]Sheet4!B:B,[2]Sheet4!H:H))</f>
        <v/>
      </c>
      <c r="S308" s="25" t="str">
        <f>IF(Sheet2!O308="","",--LEFT(Sheet2!O308,FIND("""",Sheet2!O308)-1))</f>
        <v/>
      </c>
    </row>
    <row r="309" spans="8:19" x14ac:dyDescent="0.25">
      <c r="H309" t="str">
        <f t="shared" si="59"/>
        <v/>
      </c>
      <c r="I309" t="str">
        <f t="shared" si="60"/>
        <v/>
      </c>
      <c r="J309" t="str">
        <f t="shared" si="61"/>
        <v/>
      </c>
      <c r="K309" t="str">
        <f t="shared" si="62"/>
        <v/>
      </c>
      <c r="L309" t="str">
        <f t="shared" si="63"/>
        <v/>
      </c>
      <c r="M309" s="27" t="str">
        <f>IF(R309="","",_xlfn.XLOOKUP(R309,[2]Sheet4!B:B,[2]Sheet4!H:H))</f>
        <v/>
      </c>
      <c r="S309" s="25" t="str">
        <f>IF(Sheet2!O309="","",--LEFT(Sheet2!O309,FIND("""",Sheet2!O309)-1))</f>
        <v/>
      </c>
    </row>
    <row r="310" spans="8:19" x14ac:dyDescent="0.25">
      <c r="H310" t="str">
        <f t="shared" si="59"/>
        <v/>
      </c>
      <c r="I310" t="str">
        <f t="shared" si="60"/>
        <v/>
      </c>
      <c r="J310" t="str">
        <f t="shared" si="61"/>
        <v/>
      </c>
      <c r="K310" t="str">
        <f t="shared" si="62"/>
        <v/>
      </c>
      <c r="L310" t="str">
        <f t="shared" si="63"/>
        <v/>
      </c>
      <c r="M310" s="27" t="str">
        <f>IF(R310="","",_xlfn.XLOOKUP(R310,[2]Sheet4!B:B,[2]Sheet4!H:H))</f>
        <v/>
      </c>
      <c r="S310" s="25" t="str">
        <f>IF(Sheet2!O310="","",--LEFT(Sheet2!O310,FIND("""",Sheet2!O310)-1))</f>
        <v/>
      </c>
    </row>
    <row r="311" spans="8:19" x14ac:dyDescent="0.25">
      <c r="H311" t="str">
        <f t="shared" si="59"/>
        <v/>
      </c>
      <c r="I311" t="str">
        <f t="shared" si="60"/>
        <v/>
      </c>
      <c r="J311" t="str">
        <f t="shared" si="61"/>
        <v/>
      </c>
      <c r="K311" t="str">
        <f t="shared" si="62"/>
        <v/>
      </c>
      <c r="L311" t="str">
        <f t="shared" si="63"/>
        <v/>
      </c>
      <c r="M311" s="27" t="str">
        <f>IF(R311="","",_xlfn.XLOOKUP(R311,[2]Sheet4!B:B,[2]Sheet4!H:H))</f>
        <v/>
      </c>
      <c r="S311" s="25" t="str">
        <f>IF(Sheet2!O311="","",--LEFT(Sheet2!O311,FIND("""",Sheet2!O311)-1))</f>
        <v/>
      </c>
    </row>
    <row r="312" spans="8:19" x14ac:dyDescent="0.25">
      <c r="H312" t="str">
        <f t="shared" si="59"/>
        <v/>
      </c>
      <c r="I312" t="str">
        <f t="shared" si="60"/>
        <v/>
      </c>
      <c r="J312" t="str">
        <f t="shared" si="61"/>
        <v/>
      </c>
      <c r="K312" t="str">
        <f t="shared" si="62"/>
        <v/>
      </c>
      <c r="L312" t="str">
        <f t="shared" si="63"/>
        <v/>
      </c>
      <c r="M312" s="27" t="str">
        <f>IF(R312="","",_xlfn.XLOOKUP(R312,[2]Sheet4!B:B,[2]Sheet4!H:H))</f>
        <v/>
      </c>
      <c r="S312" s="25" t="str">
        <f>IF(Sheet2!O312="","",--LEFT(Sheet2!O312,FIND("""",Sheet2!O312)-1))</f>
        <v/>
      </c>
    </row>
    <row r="313" spans="8:19" x14ac:dyDescent="0.25">
      <c r="H313" t="str">
        <f t="shared" si="59"/>
        <v/>
      </c>
      <c r="I313" t="str">
        <f t="shared" si="60"/>
        <v/>
      </c>
      <c r="J313" t="str">
        <f t="shared" si="61"/>
        <v/>
      </c>
      <c r="K313" t="str">
        <f t="shared" si="62"/>
        <v/>
      </c>
      <c r="L313" t="str">
        <f t="shared" si="63"/>
        <v/>
      </c>
      <c r="M313" s="27" t="str">
        <f>IF(R313="","",_xlfn.XLOOKUP(R313,[2]Sheet4!B:B,[2]Sheet4!H:H))</f>
        <v/>
      </c>
      <c r="S313" s="25" t="str">
        <f>IF(Sheet2!O313="","",--LEFT(Sheet2!O313,FIND("""",Sheet2!O313)-1))</f>
        <v/>
      </c>
    </row>
    <row r="314" spans="8:19" x14ac:dyDescent="0.25">
      <c r="H314" t="str">
        <f t="shared" si="59"/>
        <v/>
      </c>
      <c r="I314" t="str">
        <f t="shared" si="60"/>
        <v/>
      </c>
      <c r="J314" t="str">
        <f t="shared" si="61"/>
        <v/>
      </c>
      <c r="K314" t="str">
        <f t="shared" si="62"/>
        <v/>
      </c>
      <c r="L314" t="str">
        <f t="shared" si="63"/>
        <v/>
      </c>
      <c r="M314" s="27" t="str">
        <f>IF(R314="","",_xlfn.XLOOKUP(R314,[2]Sheet4!B:B,[2]Sheet4!H:H))</f>
        <v/>
      </c>
      <c r="S314" s="25" t="str">
        <f>IF(Sheet2!O314="","",--LEFT(Sheet2!O314,FIND("""",Sheet2!O314)-1))</f>
        <v/>
      </c>
    </row>
    <row r="315" spans="8:19" x14ac:dyDescent="0.25">
      <c r="H315" t="str">
        <f t="shared" si="59"/>
        <v/>
      </c>
      <c r="I315" t="str">
        <f t="shared" si="60"/>
        <v/>
      </c>
      <c r="J315" t="str">
        <f t="shared" si="61"/>
        <v/>
      </c>
      <c r="K315" t="str">
        <f t="shared" si="62"/>
        <v/>
      </c>
      <c r="L315" t="str">
        <f t="shared" si="63"/>
        <v/>
      </c>
      <c r="M315" s="27" t="str">
        <f>IF(R315="","",_xlfn.XLOOKUP(R315,[2]Sheet4!B:B,[2]Sheet4!H:H))</f>
        <v/>
      </c>
      <c r="S315" s="25" t="str">
        <f>IF(Sheet2!O315="","",--LEFT(Sheet2!O315,FIND("""",Sheet2!O315)-1))</f>
        <v/>
      </c>
    </row>
    <row r="316" spans="8:19" x14ac:dyDescent="0.25">
      <c r="H316" t="str">
        <f t="shared" si="59"/>
        <v/>
      </c>
      <c r="I316" t="str">
        <f t="shared" si="60"/>
        <v/>
      </c>
      <c r="J316" t="str">
        <f t="shared" si="61"/>
        <v/>
      </c>
      <c r="K316" t="str">
        <f t="shared" si="62"/>
        <v/>
      </c>
      <c r="L316" t="str">
        <f t="shared" si="63"/>
        <v/>
      </c>
      <c r="M316" s="27" t="str">
        <f>IF(R316="","",_xlfn.XLOOKUP(R316,[2]Sheet4!B:B,[2]Sheet4!H:H))</f>
        <v/>
      </c>
      <c r="S316" s="25" t="str">
        <f>IF(Sheet2!O316="","",--LEFT(Sheet2!O316,FIND("""",Sheet2!O316)-1))</f>
        <v/>
      </c>
    </row>
    <row r="317" spans="8:19" x14ac:dyDescent="0.25">
      <c r="H317" t="str">
        <f t="shared" si="59"/>
        <v/>
      </c>
      <c r="I317" t="str">
        <f t="shared" si="60"/>
        <v/>
      </c>
      <c r="J317" t="str">
        <f t="shared" si="61"/>
        <v/>
      </c>
      <c r="K317" t="str">
        <f t="shared" si="62"/>
        <v/>
      </c>
      <c r="L317" t="str">
        <f t="shared" si="63"/>
        <v/>
      </c>
      <c r="M317" s="27" t="str">
        <f>IF(R317="","",_xlfn.XLOOKUP(R317,[2]Sheet4!B:B,[2]Sheet4!H:H))</f>
        <v/>
      </c>
      <c r="S317" s="25" t="str">
        <f>IF(Sheet2!O317="","",--LEFT(Sheet2!O317,FIND("""",Sheet2!O317)-1))</f>
        <v/>
      </c>
    </row>
    <row r="318" spans="8:19" x14ac:dyDescent="0.25">
      <c r="H318" t="str">
        <f t="shared" si="59"/>
        <v/>
      </c>
      <c r="I318" t="str">
        <f t="shared" si="60"/>
        <v/>
      </c>
      <c r="J318" t="str">
        <f t="shared" si="61"/>
        <v/>
      </c>
      <c r="K318" t="str">
        <f t="shared" si="62"/>
        <v/>
      </c>
      <c r="L318" t="str">
        <f t="shared" si="63"/>
        <v/>
      </c>
      <c r="M318" s="27" t="str">
        <f>IF(R318="","",_xlfn.XLOOKUP(R318,[2]Sheet4!B:B,[2]Sheet4!H:H))</f>
        <v/>
      </c>
      <c r="S318" s="25" t="str">
        <f>IF(Sheet2!O318="","",--LEFT(Sheet2!O318,FIND("""",Sheet2!O318)-1))</f>
        <v/>
      </c>
    </row>
    <row r="319" spans="8:19" x14ac:dyDescent="0.25">
      <c r="H319" t="str">
        <f t="shared" si="59"/>
        <v/>
      </c>
      <c r="I319" t="str">
        <f t="shared" si="60"/>
        <v/>
      </c>
      <c r="J319" t="str">
        <f t="shared" si="61"/>
        <v/>
      </c>
      <c r="K319" t="str">
        <f t="shared" si="62"/>
        <v/>
      </c>
      <c r="L319" t="str">
        <f t="shared" si="63"/>
        <v/>
      </c>
      <c r="M319" s="27" t="str">
        <f>IF(R319="","",_xlfn.XLOOKUP(R319,[2]Sheet4!B:B,[2]Sheet4!H:H))</f>
        <v/>
      </c>
      <c r="S319" s="25" t="str">
        <f>IF(Sheet2!O319="","",--LEFT(Sheet2!O319,FIND("""",Sheet2!O319)-1))</f>
        <v/>
      </c>
    </row>
    <row r="320" spans="8:19" x14ac:dyDescent="0.25">
      <c r="H320" t="str">
        <f t="shared" si="59"/>
        <v/>
      </c>
      <c r="I320" t="str">
        <f t="shared" si="60"/>
        <v/>
      </c>
      <c r="J320" t="str">
        <f t="shared" si="61"/>
        <v/>
      </c>
      <c r="K320" t="str">
        <f t="shared" si="62"/>
        <v/>
      </c>
      <c r="L320" t="str">
        <f t="shared" si="63"/>
        <v/>
      </c>
      <c r="M320" s="27" t="str">
        <f>IF(R320="","",_xlfn.XLOOKUP(R320,[2]Sheet4!B:B,[2]Sheet4!H:H))</f>
        <v/>
      </c>
      <c r="S320" s="25" t="str">
        <f>IF(Sheet2!O320="","",--LEFT(Sheet2!O320,FIND("""",Sheet2!O320)-1))</f>
        <v/>
      </c>
    </row>
    <row r="321" spans="8:19" x14ac:dyDescent="0.25">
      <c r="H321" t="str">
        <f t="shared" si="59"/>
        <v/>
      </c>
      <c r="I321" t="str">
        <f t="shared" si="60"/>
        <v/>
      </c>
      <c r="J321" t="str">
        <f t="shared" si="61"/>
        <v/>
      </c>
      <c r="K321" t="str">
        <f t="shared" si="62"/>
        <v/>
      </c>
      <c r="L321" t="str">
        <f t="shared" si="63"/>
        <v/>
      </c>
      <c r="M321" s="27" t="str">
        <f>IF(R321="","",_xlfn.XLOOKUP(R321,[2]Sheet4!B:B,[2]Sheet4!H:H))</f>
        <v/>
      </c>
      <c r="S321" s="25" t="str">
        <f>IF(Sheet2!O321="","",--LEFT(Sheet2!O321,FIND("""",Sheet2!O321)-1))</f>
        <v/>
      </c>
    </row>
    <row r="322" spans="8:19" x14ac:dyDescent="0.25">
      <c r="H322" t="str">
        <f t="shared" si="59"/>
        <v/>
      </c>
      <c r="I322" t="str">
        <f t="shared" si="60"/>
        <v/>
      </c>
      <c r="J322" t="str">
        <f t="shared" si="61"/>
        <v/>
      </c>
      <c r="K322" t="str">
        <f t="shared" si="62"/>
        <v/>
      </c>
      <c r="L322" t="str">
        <f t="shared" si="63"/>
        <v/>
      </c>
      <c r="M322" s="27" t="str">
        <f>IF(R322="","",_xlfn.XLOOKUP(R322,[2]Sheet4!B:B,[2]Sheet4!H:H))</f>
        <v/>
      </c>
      <c r="S322" s="25" t="str">
        <f>IF(Sheet2!O322="","",--LEFT(Sheet2!O322,FIND("""",Sheet2!O322)-1))</f>
        <v/>
      </c>
    </row>
    <row r="323" spans="8:19" x14ac:dyDescent="0.25">
      <c r="H323" t="str">
        <f t="shared" ref="H323:H386" si="64">IF(C323="","",B323-C323)</f>
        <v/>
      </c>
      <c r="I323" t="str">
        <f t="shared" ref="I323:I386" si="65">IF(H323="","",H323+0.5)</f>
        <v/>
      </c>
      <c r="J323" t="str">
        <f t="shared" ref="J323:J386" si="66">IF(H323="","",H323+0.67)</f>
        <v/>
      </c>
      <c r="K323" t="str">
        <f t="shared" ref="K323:K386" si="67">IF(H323="","",H323+0.83)</f>
        <v/>
      </c>
      <c r="L323" t="str">
        <f t="shared" ref="L323:L386" si="68">IF(H323="","",H323+1.17)</f>
        <v/>
      </c>
      <c r="M323" s="27" t="str">
        <f>IF(R323="","",_xlfn.XLOOKUP(R323,[2]Sheet4!B:B,[2]Sheet4!H:H))</f>
        <v/>
      </c>
      <c r="S323" s="25" t="str">
        <f>IF(Sheet2!O323="","",--LEFT(Sheet2!O323,FIND("""",Sheet2!O323)-1))</f>
        <v/>
      </c>
    </row>
    <row r="324" spans="8:19" x14ac:dyDescent="0.25">
      <c r="H324" t="str">
        <f t="shared" si="64"/>
        <v/>
      </c>
      <c r="I324" t="str">
        <f t="shared" si="65"/>
        <v/>
      </c>
      <c r="J324" t="str">
        <f t="shared" si="66"/>
        <v/>
      </c>
      <c r="K324" t="str">
        <f t="shared" si="67"/>
        <v/>
      </c>
      <c r="L324" t="str">
        <f t="shared" si="68"/>
        <v/>
      </c>
      <c r="M324" s="27" t="str">
        <f>IF(R324="","",_xlfn.XLOOKUP(R324,[2]Sheet4!B:B,[2]Sheet4!H:H))</f>
        <v/>
      </c>
      <c r="S324" s="25" t="str">
        <f>IF(Sheet2!O324="","",--LEFT(Sheet2!O324,FIND("""",Sheet2!O324)-1))</f>
        <v/>
      </c>
    </row>
    <row r="325" spans="8:19" x14ac:dyDescent="0.25">
      <c r="H325" t="str">
        <f t="shared" si="64"/>
        <v/>
      </c>
      <c r="I325" t="str">
        <f t="shared" si="65"/>
        <v/>
      </c>
      <c r="J325" t="str">
        <f t="shared" si="66"/>
        <v/>
      </c>
      <c r="K325" t="str">
        <f t="shared" si="67"/>
        <v/>
      </c>
      <c r="L325" t="str">
        <f t="shared" si="68"/>
        <v/>
      </c>
      <c r="M325" s="27" t="str">
        <f>IF(R325="","",_xlfn.XLOOKUP(R325,[2]Sheet4!B:B,[2]Sheet4!H:H))</f>
        <v/>
      </c>
      <c r="S325" s="25" t="str">
        <f>IF(Sheet2!O325="","",--LEFT(Sheet2!O325,FIND("""",Sheet2!O325)-1))</f>
        <v/>
      </c>
    </row>
    <row r="326" spans="8:19" x14ac:dyDescent="0.25">
      <c r="H326" t="str">
        <f t="shared" si="64"/>
        <v/>
      </c>
      <c r="I326" t="str">
        <f t="shared" si="65"/>
        <v/>
      </c>
      <c r="J326" t="str">
        <f t="shared" si="66"/>
        <v/>
      </c>
      <c r="K326" t="str">
        <f t="shared" si="67"/>
        <v/>
      </c>
      <c r="L326" t="str">
        <f t="shared" si="68"/>
        <v/>
      </c>
      <c r="M326" s="27" t="str">
        <f>IF(R326="","",_xlfn.XLOOKUP(R326,[2]Sheet4!B:B,[2]Sheet4!H:H))</f>
        <v/>
      </c>
      <c r="S326" s="25" t="str">
        <f>IF(Sheet2!O326="","",--LEFT(Sheet2!O326,FIND("""",Sheet2!O326)-1))</f>
        <v/>
      </c>
    </row>
    <row r="327" spans="8:19" x14ac:dyDescent="0.25">
      <c r="H327" t="str">
        <f t="shared" si="64"/>
        <v/>
      </c>
      <c r="I327" t="str">
        <f t="shared" si="65"/>
        <v/>
      </c>
      <c r="J327" t="str">
        <f t="shared" si="66"/>
        <v/>
      </c>
      <c r="K327" t="str">
        <f t="shared" si="67"/>
        <v/>
      </c>
      <c r="L327" t="str">
        <f t="shared" si="68"/>
        <v/>
      </c>
      <c r="M327" s="27" t="str">
        <f>IF(R327="","",_xlfn.XLOOKUP(R327,[2]Sheet4!B:B,[2]Sheet4!H:H))</f>
        <v/>
      </c>
      <c r="S327" s="25" t="str">
        <f>IF(Sheet2!O327="","",--LEFT(Sheet2!O327,FIND("""",Sheet2!O327)-1))</f>
        <v/>
      </c>
    </row>
    <row r="328" spans="8:19" x14ac:dyDescent="0.25">
      <c r="H328" t="str">
        <f t="shared" si="64"/>
        <v/>
      </c>
      <c r="I328" t="str">
        <f t="shared" si="65"/>
        <v/>
      </c>
      <c r="J328" t="str">
        <f t="shared" si="66"/>
        <v/>
      </c>
      <c r="K328" t="str">
        <f t="shared" si="67"/>
        <v/>
      </c>
      <c r="L328" t="str">
        <f t="shared" si="68"/>
        <v/>
      </c>
      <c r="M328" s="27" t="str">
        <f>IF(R328="","",_xlfn.XLOOKUP(R328,[2]Sheet4!B:B,[2]Sheet4!H:H))</f>
        <v/>
      </c>
      <c r="S328" s="25" t="str">
        <f>IF(Sheet2!O328="","",--LEFT(Sheet2!O328,FIND("""",Sheet2!O328)-1))</f>
        <v/>
      </c>
    </row>
    <row r="329" spans="8:19" x14ac:dyDescent="0.25">
      <c r="H329" t="str">
        <f t="shared" si="64"/>
        <v/>
      </c>
      <c r="I329" t="str">
        <f t="shared" si="65"/>
        <v/>
      </c>
      <c r="J329" t="str">
        <f t="shared" si="66"/>
        <v/>
      </c>
      <c r="K329" t="str">
        <f t="shared" si="67"/>
        <v/>
      </c>
      <c r="L329" t="str">
        <f t="shared" si="68"/>
        <v/>
      </c>
      <c r="M329" s="27" t="str">
        <f>IF(R329="","",_xlfn.XLOOKUP(R329,[2]Sheet4!B:B,[2]Sheet4!H:H))</f>
        <v/>
      </c>
      <c r="S329" s="25" t="str">
        <f>IF(Sheet2!O329="","",--LEFT(Sheet2!O329,FIND("""",Sheet2!O329)-1))</f>
        <v/>
      </c>
    </row>
    <row r="330" spans="8:19" x14ac:dyDescent="0.25">
      <c r="H330" t="str">
        <f t="shared" si="64"/>
        <v/>
      </c>
      <c r="I330" t="str">
        <f t="shared" si="65"/>
        <v/>
      </c>
      <c r="J330" t="str">
        <f t="shared" si="66"/>
        <v/>
      </c>
      <c r="K330" t="str">
        <f t="shared" si="67"/>
        <v/>
      </c>
      <c r="L330" t="str">
        <f t="shared" si="68"/>
        <v/>
      </c>
      <c r="M330" s="27" t="str">
        <f>IF(R330="","",_xlfn.XLOOKUP(R330,[2]Sheet4!B:B,[2]Sheet4!H:H))</f>
        <v/>
      </c>
      <c r="S330" s="25" t="str">
        <f>IF(Sheet2!O330="","",--LEFT(Sheet2!O330,FIND("""",Sheet2!O330)-1))</f>
        <v/>
      </c>
    </row>
    <row r="331" spans="8:19" x14ac:dyDescent="0.25">
      <c r="H331" t="str">
        <f t="shared" si="64"/>
        <v/>
      </c>
      <c r="I331" t="str">
        <f t="shared" si="65"/>
        <v/>
      </c>
      <c r="J331" t="str">
        <f t="shared" si="66"/>
        <v/>
      </c>
      <c r="K331" t="str">
        <f t="shared" si="67"/>
        <v/>
      </c>
      <c r="L331" t="str">
        <f t="shared" si="68"/>
        <v/>
      </c>
      <c r="M331" s="27" t="str">
        <f>IF(R331="","",_xlfn.XLOOKUP(R331,[2]Sheet4!B:B,[2]Sheet4!H:H))</f>
        <v/>
      </c>
      <c r="S331" s="25" t="str">
        <f>IF(Sheet2!O331="","",--LEFT(Sheet2!O331,FIND("""",Sheet2!O331)-1))</f>
        <v/>
      </c>
    </row>
    <row r="332" spans="8:19" x14ac:dyDescent="0.25">
      <c r="H332" t="str">
        <f t="shared" si="64"/>
        <v/>
      </c>
      <c r="I332" t="str">
        <f t="shared" si="65"/>
        <v/>
      </c>
      <c r="J332" t="str">
        <f t="shared" si="66"/>
        <v/>
      </c>
      <c r="K332" t="str">
        <f t="shared" si="67"/>
        <v/>
      </c>
      <c r="L332" t="str">
        <f t="shared" si="68"/>
        <v/>
      </c>
      <c r="M332" s="27" t="str">
        <f>IF(R332="","",_xlfn.XLOOKUP(R332,[2]Sheet4!B:B,[2]Sheet4!H:H))</f>
        <v/>
      </c>
      <c r="S332" s="25" t="str">
        <f>IF(Sheet2!O332="","",--LEFT(Sheet2!O332,FIND("""",Sheet2!O332)-1))</f>
        <v/>
      </c>
    </row>
    <row r="333" spans="8:19" x14ac:dyDescent="0.25">
      <c r="H333" t="str">
        <f t="shared" si="64"/>
        <v/>
      </c>
      <c r="I333" t="str">
        <f t="shared" si="65"/>
        <v/>
      </c>
      <c r="J333" t="str">
        <f t="shared" si="66"/>
        <v/>
      </c>
      <c r="K333" t="str">
        <f t="shared" si="67"/>
        <v/>
      </c>
      <c r="L333" t="str">
        <f t="shared" si="68"/>
        <v/>
      </c>
      <c r="M333" s="27" t="str">
        <f>IF(R333="","",_xlfn.XLOOKUP(R333,[2]Sheet4!B:B,[2]Sheet4!H:H))</f>
        <v/>
      </c>
      <c r="S333" s="25" t="str">
        <f>IF(Sheet2!O333="","",--LEFT(Sheet2!O333,FIND("""",Sheet2!O333)-1))</f>
        <v/>
      </c>
    </row>
    <row r="334" spans="8:19" x14ac:dyDescent="0.25">
      <c r="H334" t="str">
        <f t="shared" si="64"/>
        <v/>
      </c>
      <c r="I334" t="str">
        <f t="shared" si="65"/>
        <v/>
      </c>
      <c r="J334" t="str">
        <f t="shared" si="66"/>
        <v/>
      </c>
      <c r="K334" t="str">
        <f t="shared" si="67"/>
        <v/>
      </c>
      <c r="L334" t="str">
        <f t="shared" si="68"/>
        <v/>
      </c>
      <c r="M334" s="27" t="str">
        <f>IF(R334="","",_xlfn.XLOOKUP(R334,[2]Sheet4!B:B,[2]Sheet4!H:H))</f>
        <v/>
      </c>
      <c r="S334" s="25" t="str">
        <f>IF(Sheet2!O334="","",--LEFT(Sheet2!O334,FIND("""",Sheet2!O334)-1))</f>
        <v/>
      </c>
    </row>
    <row r="335" spans="8:19" x14ac:dyDescent="0.25">
      <c r="H335" t="str">
        <f t="shared" si="64"/>
        <v/>
      </c>
      <c r="I335" t="str">
        <f t="shared" si="65"/>
        <v/>
      </c>
      <c r="J335" t="str">
        <f t="shared" si="66"/>
        <v/>
      </c>
      <c r="K335" t="str">
        <f t="shared" si="67"/>
        <v/>
      </c>
      <c r="L335" t="str">
        <f t="shared" si="68"/>
        <v/>
      </c>
      <c r="M335" s="27" t="str">
        <f>IF(R335="","",_xlfn.XLOOKUP(R335,[2]Sheet4!B:B,[2]Sheet4!H:H))</f>
        <v/>
      </c>
      <c r="S335" s="25" t="str">
        <f>IF(Sheet2!O335="","",--LEFT(Sheet2!O335,FIND("""",Sheet2!O335)-1))</f>
        <v/>
      </c>
    </row>
    <row r="336" spans="8:19" x14ac:dyDescent="0.25">
      <c r="H336" t="str">
        <f t="shared" si="64"/>
        <v/>
      </c>
      <c r="I336" t="str">
        <f t="shared" si="65"/>
        <v/>
      </c>
      <c r="J336" t="str">
        <f t="shared" si="66"/>
        <v/>
      </c>
      <c r="K336" t="str">
        <f t="shared" si="67"/>
        <v/>
      </c>
      <c r="L336" t="str">
        <f t="shared" si="68"/>
        <v/>
      </c>
      <c r="M336" s="27" t="str">
        <f>IF(R336="","",_xlfn.XLOOKUP(R336,[2]Sheet4!B:B,[2]Sheet4!H:H))</f>
        <v/>
      </c>
      <c r="S336" s="25" t="str">
        <f>IF(Sheet2!O336="","",--LEFT(Sheet2!O336,FIND("""",Sheet2!O336)-1))</f>
        <v/>
      </c>
    </row>
    <row r="337" spans="8:19" x14ac:dyDescent="0.25">
      <c r="H337" t="str">
        <f t="shared" si="64"/>
        <v/>
      </c>
      <c r="I337" t="str">
        <f t="shared" si="65"/>
        <v/>
      </c>
      <c r="J337" t="str">
        <f t="shared" si="66"/>
        <v/>
      </c>
      <c r="K337" t="str">
        <f t="shared" si="67"/>
        <v/>
      </c>
      <c r="L337" t="str">
        <f t="shared" si="68"/>
        <v/>
      </c>
      <c r="M337" s="27" t="str">
        <f>IF(R337="","",_xlfn.XLOOKUP(R337,[2]Sheet4!B:B,[2]Sheet4!H:H))</f>
        <v/>
      </c>
      <c r="S337" s="25" t="str">
        <f>IF(Sheet2!O337="","",--LEFT(Sheet2!O337,FIND("""",Sheet2!O337)-1))</f>
        <v/>
      </c>
    </row>
    <row r="338" spans="8:19" x14ac:dyDescent="0.25">
      <c r="H338" t="str">
        <f t="shared" si="64"/>
        <v/>
      </c>
      <c r="I338" t="str">
        <f t="shared" si="65"/>
        <v/>
      </c>
      <c r="J338" t="str">
        <f t="shared" si="66"/>
        <v/>
      </c>
      <c r="K338" t="str">
        <f t="shared" si="67"/>
        <v/>
      </c>
      <c r="L338" t="str">
        <f t="shared" si="68"/>
        <v/>
      </c>
      <c r="M338" s="27" t="str">
        <f>IF(R338="","",_xlfn.XLOOKUP(R338,[2]Sheet4!B:B,[2]Sheet4!H:H))</f>
        <v/>
      </c>
      <c r="S338" s="25" t="str">
        <f>IF(Sheet2!O338="","",--LEFT(Sheet2!O338,FIND("""",Sheet2!O338)-1))</f>
        <v/>
      </c>
    </row>
    <row r="339" spans="8:19" x14ac:dyDescent="0.25">
      <c r="H339" t="str">
        <f t="shared" si="64"/>
        <v/>
      </c>
      <c r="I339" t="str">
        <f t="shared" si="65"/>
        <v/>
      </c>
      <c r="J339" t="str">
        <f t="shared" si="66"/>
        <v/>
      </c>
      <c r="K339" t="str">
        <f t="shared" si="67"/>
        <v/>
      </c>
      <c r="L339" t="str">
        <f t="shared" si="68"/>
        <v/>
      </c>
      <c r="M339" s="27" t="str">
        <f>IF(R339="","",_xlfn.XLOOKUP(R339,[2]Sheet4!B:B,[2]Sheet4!H:H))</f>
        <v/>
      </c>
      <c r="S339" s="25" t="str">
        <f>IF(Sheet2!O339="","",--LEFT(Sheet2!O339,FIND("""",Sheet2!O339)-1))</f>
        <v/>
      </c>
    </row>
    <row r="340" spans="8:19" x14ac:dyDescent="0.25">
      <c r="H340" t="str">
        <f t="shared" si="64"/>
        <v/>
      </c>
      <c r="I340" t="str">
        <f t="shared" si="65"/>
        <v/>
      </c>
      <c r="J340" t="str">
        <f t="shared" si="66"/>
        <v/>
      </c>
      <c r="K340" t="str">
        <f t="shared" si="67"/>
        <v/>
      </c>
      <c r="L340" t="str">
        <f t="shared" si="68"/>
        <v/>
      </c>
      <c r="M340" s="27" t="str">
        <f>IF(R340="","",_xlfn.XLOOKUP(R340,[2]Sheet4!B:B,[2]Sheet4!H:H))</f>
        <v/>
      </c>
      <c r="S340" s="25" t="str">
        <f>IF(Sheet2!O340="","",--LEFT(Sheet2!O340,FIND("""",Sheet2!O340)-1))</f>
        <v/>
      </c>
    </row>
    <row r="341" spans="8:19" x14ac:dyDescent="0.25">
      <c r="H341" t="str">
        <f t="shared" si="64"/>
        <v/>
      </c>
      <c r="I341" t="str">
        <f t="shared" si="65"/>
        <v/>
      </c>
      <c r="J341" t="str">
        <f t="shared" si="66"/>
        <v/>
      </c>
      <c r="K341" t="str">
        <f t="shared" si="67"/>
        <v/>
      </c>
      <c r="L341" t="str">
        <f t="shared" si="68"/>
        <v/>
      </c>
      <c r="M341" s="27" t="str">
        <f>IF(R341="","",_xlfn.XLOOKUP(R341,[2]Sheet4!B:B,[2]Sheet4!H:H))</f>
        <v/>
      </c>
      <c r="S341" s="25" t="str">
        <f>IF(Sheet2!O341="","",--LEFT(Sheet2!O341,FIND("""",Sheet2!O341)-1))</f>
        <v/>
      </c>
    </row>
    <row r="342" spans="8:19" x14ac:dyDescent="0.25">
      <c r="H342" t="str">
        <f t="shared" si="64"/>
        <v/>
      </c>
      <c r="I342" t="str">
        <f t="shared" si="65"/>
        <v/>
      </c>
      <c r="J342" t="str">
        <f t="shared" si="66"/>
        <v/>
      </c>
      <c r="K342" t="str">
        <f t="shared" si="67"/>
        <v/>
      </c>
      <c r="L342" t="str">
        <f t="shared" si="68"/>
        <v/>
      </c>
      <c r="M342" s="27" t="str">
        <f>IF(R342="","",_xlfn.XLOOKUP(R342,[2]Sheet4!B:B,[2]Sheet4!H:H))</f>
        <v/>
      </c>
      <c r="S342" s="25" t="str">
        <f>IF(Sheet2!O342="","",--LEFT(Sheet2!O342,FIND("""",Sheet2!O342)-1))</f>
        <v/>
      </c>
    </row>
    <row r="343" spans="8:19" x14ac:dyDescent="0.25">
      <c r="H343" t="str">
        <f t="shared" si="64"/>
        <v/>
      </c>
      <c r="I343" t="str">
        <f t="shared" si="65"/>
        <v/>
      </c>
      <c r="J343" t="str">
        <f t="shared" si="66"/>
        <v/>
      </c>
      <c r="K343" t="str">
        <f t="shared" si="67"/>
        <v/>
      </c>
      <c r="L343" t="str">
        <f t="shared" si="68"/>
        <v/>
      </c>
      <c r="M343" s="27" t="str">
        <f>IF(R343="","",_xlfn.XLOOKUP(R343,[2]Sheet4!B:B,[2]Sheet4!H:H))</f>
        <v/>
      </c>
      <c r="S343" s="25" t="str">
        <f>IF(Sheet2!O343="","",--LEFT(Sheet2!O343,FIND("""",Sheet2!O343)-1))</f>
        <v/>
      </c>
    </row>
    <row r="344" spans="8:19" x14ac:dyDescent="0.25">
      <c r="H344" t="str">
        <f t="shared" si="64"/>
        <v/>
      </c>
      <c r="I344" t="str">
        <f t="shared" si="65"/>
        <v/>
      </c>
      <c r="J344" t="str">
        <f t="shared" si="66"/>
        <v/>
      </c>
      <c r="K344" t="str">
        <f t="shared" si="67"/>
        <v/>
      </c>
      <c r="L344" t="str">
        <f t="shared" si="68"/>
        <v/>
      </c>
      <c r="M344" s="27" t="str">
        <f>IF(R344="","",_xlfn.XLOOKUP(R344,[2]Sheet4!B:B,[2]Sheet4!H:H))</f>
        <v/>
      </c>
      <c r="S344" s="25" t="str">
        <f>IF(Sheet2!O344="","",--LEFT(Sheet2!O344,FIND("""",Sheet2!O344)-1))</f>
        <v/>
      </c>
    </row>
    <row r="345" spans="8:19" x14ac:dyDescent="0.25">
      <c r="H345" t="str">
        <f t="shared" si="64"/>
        <v/>
      </c>
      <c r="I345" t="str">
        <f t="shared" si="65"/>
        <v/>
      </c>
      <c r="J345" t="str">
        <f t="shared" si="66"/>
        <v/>
      </c>
      <c r="K345" t="str">
        <f t="shared" si="67"/>
        <v/>
      </c>
      <c r="L345" t="str">
        <f t="shared" si="68"/>
        <v/>
      </c>
      <c r="M345" s="27" t="str">
        <f>IF(R345="","",_xlfn.XLOOKUP(R345,[2]Sheet4!B:B,[2]Sheet4!H:H))</f>
        <v/>
      </c>
      <c r="S345" s="25" t="str">
        <f>IF(Sheet2!O345="","",--LEFT(Sheet2!O345,FIND("""",Sheet2!O345)-1))</f>
        <v/>
      </c>
    </row>
    <row r="346" spans="8:19" x14ac:dyDescent="0.25">
      <c r="H346" t="str">
        <f t="shared" si="64"/>
        <v/>
      </c>
      <c r="I346" t="str">
        <f t="shared" si="65"/>
        <v/>
      </c>
      <c r="J346" t="str">
        <f t="shared" si="66"/>
        <v/>
      </c>
      <c r="K346" t="str">
        <f t="shared" si="67"/>
        <v/>
      </c>
      <c r="L346" t="str">
        <f t="shared" si="68"/>
        <v/>
      </c>
      <c r="M346" s="27" t="str">
        <f>IF(R346="","",_xlfn.XLOOKUP(R346,[2]Sheet4!B:B,[2]Sheet4!H:H))</f>
        <v/>
      </c>
      <c r="S346" s="25" t="str">
        <f>IF(Sheet2!O346="","",--LEFT(Sheet2!O346,FIND("""",Sheet2!O346)-1))</f>
        <v/>
      </c>
    </row>
    <row r="347" spans="8:19" x14ac:dyDescent="0.25">
      <c r="H347" t="str">
        <f t="shared" si="64"/>
        <v/>
      </c>
      <c r="I347" t="str">
        <f t="shared" si="65"/>
        <v/>
      </c>
      <c r="J347" t="str">
        <f t="shared" si="66"/>
        <v/>
      </c>
      <c r="K347" t="str">
        <f t="shared" si="67"/>
        <v/>
      </c>
      <c r="L347" t="str">
        <f t="shared" si="68"/>
        <v/>
      </c>
      <c r="M347" s="27" t="str">
        <f>IF(R347="","",_xlfn.XLOOKUP(R347,[2]Sheet4!B:B,[2]Sheet4!H:H))</f>
        <v/>
      </c>
      <c r="S347" s="25" t="str">
        <f>IF(Sheet2!O347="","",--LEFT(Sheet2!O347,FIND("""",Sheet2!O347)-1))</f>
        <v/>
      </c>
    </row>
    <row r="348" spans="8:19" x14ac:dyDescent="0.25">
      <c r="H348" t="str">
        <f t="shared" si="64"/>
        <v/>
      </c>
      <c r="I348" t="str">
        <f t="shared" si="65"/>
        <v/>
      </c>
      <c r="J348" t="str">
        <f t="shared" si="66"/>
        <v/>
      </c>
      <c r="K348" t="str">
        <f t="shared" si="67"/>
        <v/>
      </c>
      <c r="L348" t="str">
        <f t="shared" si="68"/>
        <v/>
      </c>
      <c r="M348" s="27" t="str">
        <f>IF(R348="","",_xlfn.XLOOKUP(R348,[2]Sheet4!B:B,[2]Sheet4!H:H))</f>
        <v/>
      </c>
      <c r="S348" s="25" t="str">
        <f>IF(Sheet2!O348="","",--LEFT(Sheet2!O348,FIND("""",Sheet2!O348)-1))</f>
        <v/>
      </c>
    </row>
    <row r="349" spans="8:19" x14ac:dyDescent="0.25">
      <c r="H349" t="str">
        <f t="shared" si="64"/>
        <v/>
      </c>
      <c r="I349" t="str">
        <f t="shared" si="65"/>
        <v/>
      </c>
      <c r="J349" t="str">
        <f t="shared" si="66"/>
        <v/>
      </c>
      <c r="K349" t="str">
        <f t="shared" si="67"/>
        <v/>
      </c>
      <c r="L349" t="str">
        <f t="shared" si="68"/>
        <v/>
      </c>
      <c r="M349" s="27" t="str">
        <f>IF(R349="","",_xlfn.XLOOKUP(R349,[2]Sheet4!B:B,[2]Sheet4!H:H))</f>
        <v/>
      </c>
      <c r="S349" s="25" t="str">
        <f>IF(Sheet2!O349="","",--LEFT(Sheet2!O349,FIND("""",Sheet2!O349)-1))</f>
        <v/>
      </c>
    </row>
    <row r="350" spans="8:19" x14ac:dyDescent="0.25">
      <c r="H350" t="str">
        <f t="shared" si="64"/>
        <v/>
      </c>
      <c r="I350" t="str">
        <f t="shared" si="65"/>
        <v/>
      </c>
      <c r="J350" t="str">
        <f t="shared" si="66"/>
        <v/>
      </c>
      <c r="K350" t="str">
        <f t="shared" si="67"/>
        <v/>
      </c>
      <c r="L350" t="str">
        <f t="shared" si="68"/>
        <v/>
      </c>
      <c r="M350" s="27" t="str">
        <f>IF(R350="","",_xlfn.XLOOKUP(R350,[2]Sheet4!B:B,[2]Sheet4!H:H))</f>
        <v/>
      </c>
      <c r="S350" s="25" t="str">
        <f>IF(Sheet2!O350="","",--LEFT(Sheet2!O350,FIND("""",Sheet2!O350)-1))</f>
        <v/>
      </c>
    </row>
    <row r="351" spans="8:19" x14ac:dyDescent="0.25">
      <c r="H351" t="str">
        <f t="shared" si="64"/>
        <v/>
      </c>
      <c r="I351" t="str">
        <f t="shared" si="65"/>
        <v/>
      </c>
      <c r="J351" t="str">
        <f t="shared" si="66"/>
        <v/>
      </c>
      <c r="K351" t="str">
        <f t="shared" si="67"/>
        <v/>
      </c>
      <c r="L351" t="str">
        <f t="shared" si="68"/>
        <v/>
      </c>
      <c r="M351" s="27" t="str">
        <f>IF(R351="","",_xlfn.XLOOKUP(R351,[2]Sheet4!B:B,[2]Sheet4!H:H))</f>
        <v/>
      </c>
      <c r="S351" s="25" t="str">
        <f>IF(Sheet2!O351="","",--LEFT(Sheet2!O351,FIND("""",Sheet2!O351)-1))</f>
        <v/>
      </c>
    </row>
    <row r="352" spans="8:19" x14ac:dyDescent="0.25">
      <c r="H352" t="str">
        <f t="shared" si="64"/>
        <v/>
      </c>
      <c r="I352" t="str">
        <f t="shared" si="65"/>
        <v/>
      </c>
      <c r="J352" t="str">
        <f t="shared" si="66"/>
        <v/>
      </c>
      <c r="K352" t="str">
        <f t="shared" si="67"/>
        <v/>
      </c>
      <c r="L352" t="str">
        <f t="shared" si="68"/>
        <v/>
      </c>
      <c r="M352" s="27" t="str">
        <f>IF(R352="","",_xlfn.XLOOKUP(R352,[2]Sheet4!B:B,[2]Sheet4!H:H))</f>
        <v/>
      </c>
      <c r="S352" s="25" t="str">
        <f>IF(Sheet2!O352="","",--LEFT(Sheet2!O352,FIND("""",Sheet2!O352)-1))</f>
        <v/>
      </c>
    </row>
    <row r="353" spans="8:19" x14ac:dyDescent="0.25">
      <c r="H353" t="str">
        <f t="shared" si="64"/>
        <v/>
      </c>
      <c r="I353" t="str">
        <f t="shared" si="65"/>
        <v/>
      </c>
      <c r="J353" t="str">
        <f t="shared" si="66"/>
        <v/>
      </c>
      <c r="K353" t="str">
        <f t="shared" si="67"/>
        <v/>
      </c>
      <c r="L353" t="str">
        <f t="shared" si="68"/>
        <v/>
      </c>
      <c r="M353" s="27" t="str">
        <f>IF(R353="","",_xlfn.XLOOKUP(R353,[2]Sheet4!B:B,[2]Sheet4!H:H))</f>
        <v/>
      </c>
      <c r="S353" s="25" t="str">
        <f>IF(Sheet2!O353="","",--LEFT(Sheet2!O353,FIND("""",Sheet2!O353)-1))</f>
        <v/>
      </c>
    </row>
    <row r="354" spans="8:19" x14ac:dyDescent="0.25">
      <c r="H354" t="str">
        <f t="shared" si="64"/>
        <v/>
      </c>
      <c r="I354" t="str">
        <f t="shared" si="65"/>
        <v/>
      </c>
      <c r="J354" t="str">
        <f t="shared" si="66"/>
        <v/>
      </c>
      <c r="K354" t="str">
        <f t="shared" si="67"/>
        <v/>
      </c>
      <c r="L354" t="str">
        <f t="shared" si="68"/>
        <v/>
      </c>
      <c r="M354" s="27" t="str">
        <f>IF(R354="","",_xlfn.XLOOKUP(R354,[2]Sheet4!B:B,[2]Sheet4!H:H))</f>
        <v/>
      </c>
      <c r="S354" s="25" t="str">
        <f>IF(Sheet2!O354="","",--LEFT(Sheet2!O354,FIND("""",Sheet2!O354)-1))</f>
        <v/>
      </c>
    </row>
    <row r="355" spans="8:19" x14ac:dyDescent="0.25">
      <c r="H355" t="str">
        <f t="shared" si="64"/>
        <v/>
      </c>
      <c r="I355" t="str">
        <f t="shared" si="65"/>
        <v/>
      </c>
      <c r="J355" t="str">
        <f t="shared" si="66"/>
        <v/>
      </c>
      <c r="K355" t="str">
        <f t="shared" si="67"/>
        <v/>
      </c>
      <c r="L355" t="str">
        <f t="shared" si="68"/>
        <v/>
      </c>
      <c r="M355" s="27" t="str">
        <f>IF(R355="","",_xlfn.XLOOKUP(R355,[2]Sheet4!B:B,[2]Sheet4!H:H))</f>
        <v/>
      </c>
      <c r="S355" s="25" t="str">
        <f>IF(Sheet2!O355="","",--LEFT(Sheet2!O355,FIND("""",Sheet2!O355)-1))</f>
        <v/>
      </c>
    </row>
    <row r="356" spans="8:19" x14ac:dyDescent="0.25">
      <c r="H356" t="str">
        <f t="shared" si="64"/>
        <v/>
      </c>
      <c r="I356" t="str">
        <f t="shared" si="65"/>
        <v/>
      </c>
      <c r="J356" t="str">
        <f t="shared" si="66"/>
        <v/>
      </c>
      <c r="K356" t="str">
        <f t="shared" si="67"/>
        <v/>
      </c>
      <c r="L356" t="str">
        <f t="shared" si="68"/>
        <v/>
      </c>
      <c r="M356" s="27" t="str">
        <f>IF(R356="","",_xlfn.XLOOKUP(R356,[2]Sheet4!B:B,[2]Sheet4!H:H))</f>
        <v/>
      </c>
      <c r="S356" s="25" t="str">
        <f>IF(Sheet2!O356="","",--LEFT(Sheet2!O356,FIND("""",Sheet2!O356)-1))</f>
        <v/>
      </c>
    </row>
    <row r="357" spans="8:19" x14ac:dyDescent="0.25">
      <c r="H357" t="str">
        <f t="shared" si="64"/>
        <v/>
      </c>
      <c r="I357" t="str">
        <f t="shared" si="65"/>
        <v/>
      </c>
      <c r="J357" t="str">
        <f t="shared" si="66"/>
        <v/>
      </c>
      <c r="K357" t="str">
        <f t="shared" si="67"/>
        <v/>
      </c>
      <c r="L357" t="str">
        <f t="shared" si="68"/>
        <v/>
      </c>
      <c r="M357" s="27" t="str">
        <f>IF(R357="","",_xlfn.XLOOKUP(R357,[2]Sheet4!B:B,[2]Sheet4!H:H))</f>
        <v/>
      </c>
      <c r="S357" s="25" t="str">
        <f>IF(Sheet2!O357="","",--LEFT(Sheet2!O357,FIND("""",Sheet2!O357)-1))</f>
        <v/>
      </c>
    </row>
    <row r="358" spans="8:19" x14ac:dyDescent="0.25">
      <c r="H358" t="str">
        <f t="shared" si="64"/>
        <v/>
      </c>
      <c r="I358" t="str">
        <f t="shared" si="65"/>
        <v/>
      </c>
      <c r="J358" t="str">
        <f t="shared" si="66"/>
        <v/>
      </c>
      <c r="K358" t="str">
        <f t="shared" si="67"/>
        <v/>
      </c>
      <c r="L358" t="str">
        <f t="shared" si="68"/>
        <v/>
      </c>
      <c r="M358" s="27" t="str">
        <f>IF(R358="","",_xlfn.XLOOKUP(R358,[2]Sheet4!B:B,[2]Sheet4!H:H))</f>
        <v/>
      </c>
      <c r="S358" s="25" t="str">
        <f>IF(Sheet2!O358="","",--LEFT(Sheet2!O358,FIND("""",Sheet2!O358)-1))</f>
        <v/>
      </c>
    </row>
    <row r="359" spans="8:19" x14ac:dyDescent="0.25">
      <c r="H359" t="str">
        <f t="shared" si="64"/>
        <v/>
      </c>
      <c r="I359" t="str">
        <f t="shared" si="65"/>
        <v/>
      </c>
      <c r="J359" t="str">
        <f t="shared" si="66"/>
        <v/>
      </c>
      <c r="K359" t="str">
        <f t="shared" si="67"/>
        <v/>
      </c>
      <c r="L359" t="str">
        <f t="shared" si="68"/>
        <v/>
      </c>
      <c r="M359" s="27" t="str">
        <f>IF(R359="","",_xlfn.XLOOKUP(R359,[2]Sheet4!B:B,[2]Sheet4!H:H))</f>
        <v/>
      </c>
      <c r="S359" s="25" t="str">
        <f>IF(Sheet2!O359="","",--LEFT(Sheet2!O359,FIND("""",Sheet2!O359)-1))</f>
        <v/>
      </c>
    </row>
    <row r="360" spans="8:19" x14ac:dyDescent="0.25">
      <c r="H360" t="str">
        <f t="shared" si="64"/>
        <v/>
      </c>
      <c r="I360" t="str">
        <f t="shared" si="65"/>
        <v/>
      </c>
      <c r="J360" t="str">
        <f t="shared" si="66"/>
        <v/>
      </c>
      <c r="K360" t="str">
        <f t="shared" si="67"/>
        <v/>
      </c>
      <c r="L360" t="str">
        <f t="shared" si="68"/>
        <v/>
      </c>
      <c r="M360" s="27" t="str">
        <f>IF(R360="","",_xlfn.XLOOKUP(R360,[2]Sheet4!B:B,[2]Sheet4!H:H))</f>
        <v/>
      </c>
      <c r="S360" s="25" t="str">
        <f>IF(Sheet2!O360="","",--LEFT(Sheet2!O360,FIND("""",Sheet2!O360)-1))</f>
        <v/>
      </c>
    </row>
    <row r="361" spans="8:19" x14ac:dyDescent="0.25">
      <c r="H361" t="str">
        <f t="shared" si="64"/>
        <v/>
      </c>
      <c r="I361" t="str">
        <f t="shared" si="65"/>
        <v/>
      </c>
      <c r="J361" t="str">
        <f t="shared" si="66"/>
        <v/>
      </c>
      <c r="K361" t="str">
        <f t="shared" si="67"/>
        <v/>
      </c>
      <c r="L361" t="str">
        <f t="shared" si="68"/>
        <v/>
      </c>
      <c r="M361" s="27" t="str">
        <f>IF(R361="","",_xlfn.XLOOKUP(R361,[2]Sheet4!B:B,[2]Sheet4!H:H))</f>
        <v/>
      </c>
      <c r="S361" s="25" t="str">
        <f>IF(Sheet2!O361="","",--LEFT(Sheet2!O361,FIND("""",Sheet2!O361)-1))</f>
        <v/>
      </c>
    </row>
    <row r="362" spans="8:19" x14ac:dyDescent="0.25">
      <c r="H362" t="str">
        <f t="shared" si="64"/>
        <v/>
      </c>
      <c r="I362" t="str">
        <f t="shared" si="65"/>
        <v/>
      </c>
      <c r="J362" t="str">
        <f t="shared" si="66"/>
        <v/>
      </c>
      <c r="K362" t="str">
        <f t="shared" si="67"/>
        <v/>
      </c>
      <c r="L362" t="str">
        <f t="shared" si="68"/>
        <v/>
      </c>
      <c r="M362" s="27" t="str">
        <f>IF(R362="","",_xlfn.XLOOKUP(R362,[2]Sheet4!B:B,[2]Sheet4!H:H))</f>
        <v/>
      </c>
      <c r="S362" s="25" t="str">
        <f>IF(Sheet2!O362="","",--LEFT(Sheet2!O362,FIND("""",Sheet2!O362)-1))</f>
        <v/>
      </c>
    </row>
    <row r="363" spans="8:19" x14ac:dyDescent="0.25">
      <c r="H363" t="str">
        <f t="shared" si="64"/>
        <v/>
      </c>
      <c r="I363" t="str">
        <f t="shared" si="65"/>
        <v/>
      </c>
      <c r="J363" t="str">
        <f t="shared" si="66"/>
        <v/>
      </c>
      <c r="K363" t="str">
        <f t="shared" si="67"/>
        <v/>
      </c>
      <c r="L363" t="str">
        <f t="shared" si="68"/>
        <v/>
      </c>
      <c r="M363" s="27" t="str">
        <f>IF(R363="","",_xlfn.XLOOKUP(R363,[2]Sheet4!B:B,[2]Sheet4!H:H))</f>
        <v/>
      </c>
      <c r="S363" s="25" t="str">
        <f>IF(Sheet2!O363="","",--LEFT(Sheet2!O363,FIND("""",Sheet2!O363)-1))</f>
        <v/>
      </c>
    </row>
    <row r="364" spans="8:19" x14ac:dyDescent="0.25">
      <c r="H364" t="str">
        <f t="shared" si="64"/>
        <v/>
      </c>
      <c r="I364" t="str">
        <f t="shared" si="65"/>
        <v/>
      </c>
      <c r="J364" t="str">
        <f t="shared" si="66"/>
        <v/>
      </c>
      <c r="K364" t="str">
        <f t="shared" si="67"/>
        <v/>
      </c>
      <c r="L364" t="str">
        <f t="shared" si="68"/>
        <v/>
      </c>
      <c r="M364" s="27" t="str">
        <f>IF(R364="","",_xlfn.XLOOKUP(R364,[2]Sheet4!B:B,[2]Sheet4!H:H))</f>
        <v/>
      </c>
      <c r="S364" s="25" t="str">
        <f>IF(Sheet2!O364="","",--LEFT(Sheet2!O364,FIND("""",Sheet2!O364)-1))</f>
        <v/>
      </c>
    </row>
    <row r="365" spans="8:19" x14ac:dyDescent="0.25">
      <c r="H365" t="str">
        <f t="shared" si="64"/>
        <v/>
      </c>
      <c r="I365" t="str">
        <f t="shared" si="65"/>
        <v/>
      </c>
      <c r="J365" t="str">
        <f t="shared" si="66"/>
        <v/>
      </c>
      <c r="K365" t="str">
        <f t="shared" si="67"/>
        <v/>
      </c>
      <c r="L365" t="str">
        <f t="shared" si="68"/>
        <v/>
      </c>
      <c r="M365" s="27" t="str">
        <f>IF(R365="","",_xlfn.XLOOKUP(R365,[2]Sheet4!B:B,[2]Sheet4!H:H))</f>
        <v/>
      </c>
      <c r="S365" s="25" t="str">
        <f>IF(Sheet2!O365="","",--LEFT(Sheet2!O365,FIND("""",Sheet2!O365)-1))</f>
        <v/>
      </c>
    </row>
    <row r="366" spans="8:19" x14ac:dyDescent="0.25">
      <c r="H366" t="str">
        <f t="shared" si="64"/>
        <v/>
      </c>
      <c r="I366" t="str">
        <f t="shared" si="65"/>
        <v/>
      </c>
      <c r="J366" t="str">
        <f t="shared" si="66"/>
        <v/>
      </c>
      <c r="K366" t="str">
        <f t="shared" si="67"/>
        <v/>
      </c>
      <c r="L366" t="str">
        <f t="shared" si="68"/>
        <v/>
      </c>
      <c r="M366" s="27" t="str">
        <f>IF(R366="","",_xlfn.XLOOKUP(R366,[2]Sheet4!B:B,[2]Sheet4!H:H))</f>
        <v/>
      </c>
      <c r="S366" s="25" t="str">
        <f>IF(Sheet2!O366="","",--LEFT(Sheet2!O366,FIND("""",Sheet2!O366)-1))</f>
        <v/>
      </c>
    </row>
    <row r="367" spans="8:19" x14ac:dyDescent="0.25">
      <c r="H367" t="str">
        <f t="shared" si="64"/>
        <v/>
      </c>
      <c r="I367" t="str">
        <f t="shared" si="65"/>
        <v/>
      </c>
      <c r="J367" t="str">
        <f t="shared" si="66"/>
        <v/>
      </c>
      <c r="K367" t="str">
        <f t="shared" si="67"/>
        <v/>
      </c>
      <c r="L367" t="str">
        <f t="shared" si="68"/>
        <v/>
      </c>
      <c r="M367" s="27" t="str">
        <f>IF(R367="","",_xlfn.XLOOKUP(R367,[2]Sheet4!B:B,[2]Sheet4!H:H))</f>
        <v/>
      </c>
      <c r="S367" s="25" t="str">
        <f>IF(Sheet2!O367="","",--LEFT(Sheet2!O367,FIND("""",Sheet2!O367)-1))</f>
        <v/>
      </c>
    </row>
    <row r="368" spans="8:19" x14ac:dyDescent="0.25">
      <c r="H368" t="str">
        <f t="shared" si="64"/>
        <v/>
      </c>
      <c r="I368" t="str">
        <f t="shared" si="65"/>
        <v/>
      </c>
      <c r="J368" t="str">
        <f t="shared" si="66"/>
        <v/>
      </c>
      <c r="K368" t="str">
        <f t="shared" si="67"/>
        <v/>
      </c>
      <c r="L368" t="str">
        <f t="shared" si="68"/>
        <v/>
      </c>
      <c r="M368" s="27" t="str">
        <f>IF(R368="","",_xlfn.XLOOKUP(R368,[2]Sheet4!B:B,[2]Sheet4!H:H))</f>
        <v/>
      </c>
      <c r="S368" s="25" t="str">
        <f>IF(Sheet2!O368="","",--LEFT(Sheet2!O368,FIND("""",Sheet2!O368)-1))</f>
        <v/>
      </c>
    </row>
    <row r="369" spans="8:19" x14ac:dyDescent="0.25">
      <c r="H369" t="str">
        <f t="shared" si="64"/>
        <v/>
      </c>
      <c r="I369" t="str">
        <f t="shared" si="65"/>
        <v/>
      </c>
      <c r="J369" t="str">
        <f t="shared" si="66"/>
        <v/>
      </c>
      <c r="K369" t="str">
        <f t="shared" si="67"/>
        <v/>
      </c>
      <c r="L369" t="str">
        <f t="shared" si="68"/>
        <v/>
      </c>
      <c r="M369" s="27" t="str">
        <f>IF(R369="","",_xlfn.XLOOKUP(R369,[2]Sheet4!B:B,[2]Sheet4!H:H))</f>
        <v/>
      </c>
      <c r="S369" s="25" t="str">
        <f>IF(Sheet2!O369="","",--LEFT(Sheet2!O369,FIND("""",Sheet2!O369)-1))</f>
        <v/>
      </c>
    </row>
    <row r="370" spans="8:19" x14ac:dyDescent="0.25">
      <c r="H370" t="str">
        <f t="shared" si="64"/>
        <v/>
      </c>
      <c r="I370" t="str">
        <f t="shared" si="65"/>
        <v/>
      </c>
      <c r="J370" t="str">
        <f t="shared" si="66"/>
        <v/>
      </c>
      <c r="K370" t="str">
        <f t="shared" si="67"/>
        <v/>
      </c>
      <c r="L370" t="str">
        <f t="shared" si="68"/>
        <v/>
      </c>
      <c r="M370" s="27" t="str">
        <f>IF(R370="","",_xlfn.XLOOKUP(R370,[2]Sheet4!B:B,[2]Sheet4!H:H))</f>
        <v/>
      </c>
      <c r="S370" s="25" t="str">
        <f>IF(Sheet2!O370="","",--LEFT(Sheet2!O370,FIND("""",Sheet2!O370)-1))</f>
        <v/>
      </c>
    </row>
    <row r="371" spans="8:19" x14ac:dyDescent="0.25">
      <c r="H371" t="str">
        <f t="shared" si="64"/>
        <v/>
      </c>
      <c r="I371" t="str">
        <f t="shared" si="65"/>
        <v/>
      </c>
      <c r="J371" t="str">
        <f t="shared" si="66"/>
        <v/>
      </c>
      <c r="K371" t="str">
        <f t="shared" si="67"/>
        <v/>
      </c>
      <c r="L371" t="str">
        <f t="shared" si="68"/>
        <v/>
      </c>
      <c r="M371" s="27" t="str">
        <f>IF(R371="","",_xlfn.XLOOKUP(R371,[2]Sheet4!B:B,[2]Sheet4!H:H))</f>
        <v/>
      </c>
      <c r="S371" s="25" t="str">
        <f>IF(Sheet2!O371="","",--LEFT(Sheet2!O371,FIND("""",Sheet2!O371)-1))</f>
        <v/>
      </c>
    </row>
    <row r="372" spans="8:19" x14ac:dyDescent="0.25">
      <c r="H372" t="str">
        <f t="shared" si="64"/>
        <v/>
      </c>
      <c r="I372" t="str">
        <f t="shared" si="65"/>
        <v/>
      </c>
      <c r="J372" t="str">
        <f t="shared" si="66"/>
        <v/>
      </c>
      <c r="K372" t="str">
        <f t="shared" si="67"/>
        <v/>
      </c>
      <c r="L372" t="str">
        <f t="shared" si="68"/>
        <v/>
      </c>
      <c r="M372" s="27" t="str">
        <f>IF(R372="","",_xlfn.XLOOKUP(R372,[2]Sheet4!B:B,[2]Sheet4!H:H))</f>
        <v/>
      </c>
      <c r="S372" s="25" t="str">
        <f>IF(Sheet2!O372="","",--LEFT(Sheet2!O372,FIND("""",Sheet2!O372)-1))</f>
        <v/>
      </c>
    </row>
    <row r="373" spans="8:19" x14ac:dyDescent="0.25">
      <c r="H373" t="str">
        <f t="shared" si="64"/>
        <v/>
      </c>
      <c r="I373" t="str">
        <f t="shared" si="65"/>
        <v/>
      </c>
      <c r="J373" t="str">
        <f t="shared" si="66"/>
        <v/>
      </c>
      <c r="K373" t="str">
        <f t="shared" si="67"/>
        <v/>
      </c>
      <c r="L373" t="str">
        <f t="shared" si="68"/>
        <v/>
      </c>
      <c r="M373" s="27" t="str">
        <f>IF(R373="","",_xlfn.XLOOKUP(R373,[2]Sheet4!B:B,[2]Sheet4!H:H))</f>
        <v/>
      </c>
      <c r="S373" s="25" t="str">
        <f>IF(Sheet2!O373="","",--LEFT(Sheet2!O373,FIND("""",Sheet2!O373)-1))</f>
        <v/>
      </c>
    </row>
    <row r="374" spans="8:19" x14ac:dyDescent="0.25">
      <c r="H374" t="str">
        <f t="shared" si="64"/>
        <v/>
      </c>
      <c r="I374" t="str">
        <f t="shared" si="65"/>
        <v/>
      </c>
      <c r="J374" t="str">
        <f t="shared" si="66"/>
        <v/>
      </c>
      <c r="K374" t="str">
        <f t="shared" si="67"/>
        <v/>
      </c>
      <c r="L374" t="str">
        <f t="shared" si="68"/>
        <v/>
      </c>
      <c r="M374" s="27" t="str">
        <f>IF(R374="","",_xlfn.XLOOKUP(R374,[2]Sheet4!B:B,[2]Sheet4!H:H))</f>
        <v/>
      </c>
      <c r="S374" s="25" t="str">
        <f>IF(Sheet2!O374="","",--LEFT(Sheet2!O374,FIND("""",Sheet2!O374)-1))</f>
        <v/>
      </c>
    </row>
    <row r="375" spans="8:19" x14ac:dyDescent="0.25">
      <c r="H375" t="str">
        <f t="shared" si="64"/>
        <v/>
      </c>
      <c r="I375" t="str">
        <f t="shared" si="65"/>
        <v/>
      </c>
      <c r="J375" t="str">
        <f t="shared" si="66"/>
        <v/>
      </c>
      <c r="K375" t="str">
        <f t="shared" si="67"/>
        <v/>
      </c>
      <c r="L375" t="str">
        <f t="shared" si="68"/>
        <v/>
      </c>
      <c r="M375" s="27" t="str">
        <f>IF(R375="","",_xlfn.XLOOKUP(R375,[2]Sheet4!B:B,[2]Sheet4!H:H))</f>
        <v/>
      </c>
      <c r="S375" s="25" t="str">
        <f>IF(Sheet2!O375="","",--LEFT(Sheet2!O375,FIND("""",Sheet2!O375)-1))</f>
        <v/>
      </c>
    </row>
    <row r="376" spans="8:19" x14ac:dyDescent="0.25">
      <c r="H376" t="str">
        <f t="shared" si="64"/>
        <v/>
      </c>
      <c r="I376" t="str">
        <f t="shared" si="65"/>
        <v/>
      </c>
      <c r="J376" t="str">
        <f t="shared" si="66"/>
        <v/>
      </c>
      <c r="K376" t="str">
        <f t="shared" si="67"/>
        <v/>
      </c>
      <c r="L376" t="str">
        <f t="shared" si="68"/>
        <v/>
      </c>
      <c r="M376" s="27" t="str">
        <f>IF(R376="","",_xlfn.XLOOKUP(R376,[2]Sheet4!B:B,[2]Sheet4!H:H))</f>
        <v/>
      </c>
      <c r="S376" s="25" t="str">
        <f>IF(Sheet2!O376="","",--LEFT(Sheet2!O376,FIND("""",Sheet2!O376)-1))</f>
        <v/>
      </c>
    </row>
    <row r="377" spans="8:19" x14ac:dyDescent="0.25">
      <c r="H377" t="str">
        <f t="shared" si="64"/>
        <v/>
      </c>
      <c r="I377" t="str">
        <f t="shared" si="65"/>
        <v/>
      </c>
      <c r="J377" t="str">
        <f t="shared" si="66"/>
        <v/>
      </c>
      <c r="K377" t="str">
        <f t="shared" si="67"/>
        <v/>
      </c>
      <c r="L377" t="str">
        <f t="shared" si="68"/>
        <v/>
      </c>
      <c r="M377" s="27" t="str">
        <f>IF(R377="","",_xlfn.XLOOKUP(R377,[2]Sheet4!B:B,[2]Sheet4!H:H))</f>
        <v/>
      </c>
      <c r="S377" s="25" t="str">
        <f>IF(Sheet2!O377="","",--LEFT(Sheet2!O377,FIND("""",Sheet2!O377)-1))</f>
        <v/>
      </c>
    </row>
    <row r="378" spans="8:19" x14ac:dyDescent="0.25">
      <c r="H378" t="str">
        <f t="shared" si="64"/>
        <v/>
      </c>
      <c r="I378" t="str">
        <f t="shared" si="65"/>
        <v/>
      </c>
      <c r="J378" t="str">
        <f t="shared" si="66"/>
        <v/>
      </c>
      <c r="K378" t="str">
        <f t="shared" si="67"/>
        <v/>
      </c>
      <c r="L378" t="str">
        <f t="shared" si="68"/>
        <v/>
      </c>
      <c r="M378" s="27" t="str">
        <f>IF(R378="","",_xlfn.XLOOKUP(R378,[2]Sheet4!B:B,[2]Sheet4!H:H))</f>
        <v/>
      </c>
      <c r="S378" s="25" t="str">
        <f>IF(Sheet2!O378="","",--LEFT(Sheet2!O378,FIND("""",Sheet2!O378)-1))</f>
        <v/>
      </c>
    </row>
    <row r="379" spans="8:19" x14ac:dyDescent="0.25">
      <c r="H379" t="str">
        <f t="shared" si="64"/>
        <v/>
      </c>
      <c r="I379" t="str">
        <f t="shared" si="65"/>
        <v/>
      </c>
      <c r="J379" t="str">
        <f t="shared" si="66"/>
        <v/>
      </c>
      <c r="K379" t="str">
        <f t="shared" si="67"/>
        <v/>
      </c>
      <c r="L379" t="str">
        <f t="shared" si="68"/>
        <v/>
      </c>
      <c r="M379" s="27" t="str">
        <f>IF(R379="","",_xlfn.XLOOKUP(R379,[2]Sheet4!B:B,[2]Sheet4!H:H))</f>
        <v/>
      </c>
      <c r="S379" s="25" t="str">
        <f>IF(Sheet2!O379="","",--LEFT(Sheet2!O379,FIND("""",Sheet2!O379)-1))</f>
        <v/>
      </c>
    </row>
    <row r="380" spans="8:19" x14ac:dyDescent="0.25">
      <c r="H380" t="str">
        <f t="shared" si="64"/>
        <v/>
      </c>
      <c r="I380" t="str">
        <f t="shared" si="65"/>
        <v/>
      </c>
      <c r="J380" t="str">
        <f t="shared" si="66"/>
        <v/>
      </c>
      <c r="K380" t="str">
        <f t="shared" si="67"/>
        <v/>
      </c>
      <c r="L380" t="str">
        <f t="shared" si="68"/>
        <v/>
      </c>
      <c r="M380" s="27" t="str">
        <f>IF(R380="","",_xlfn.XLOOKUP(R380,[2]Sheet4!B:B,[2]Sheet4!H:H))</f>
        <v/>
      </c>
      <c r="S380" s="25" t="str">
        <f>IF(Sheet2!O380="","",--LEFT(Sheet2!O380,FIND("""",Sheet2!O380)-1))</f>
        <v/>
      </c>
    </row>
    <row r="381" spans="8:19" x14ac:dyDescent="0.25">
      <c r="H381" t="str">
        <f t="shared" si="64"/>
        <v/>
      </c>
      <c r="I381" t="str">
        <f t="shared" si="65"/>
        <v/>
      </c>
      <c r="J381" t="str">
        <f t="shared" si="66"/>
        <v/>
      </c>
      <c r="K381" t="str">
        <f t="shared" si="67"/>
        <v/>
      </c>
      <c r="L381" t="str">
        <f t="shared" si="68"/>
        <v/>
      </c>
      <c r="M381" s="27" t="str">
        <f>IF(R381="","",_xlfn.XLOOKUP(R381,[2]Sheet4!B:B,[2]Sheet4!H:H))</f>
        <v/>
      </c>
      <c r="S381" s="25" t="str">
        <f>IF(Sheet2!O381="","",--LEFT(Sheet2!O381,FIND("""",Sheet2!O381)-1))</f>
        <v/>
      </c>
    </row>
    <row r="382" spans="8:19" x14ac:dyDescent="0.25">
      <c r="H382" t="str">
        <f t="shared" si="64"/>
        <v/>
      </c>
      <c r="I382" t="str">
        <f t="shared" si="65"/>
        <v/>
      </c>
      <c r="J382" t="str">
        <f t="shared" si="66"/>
        <v/>
      </c>
      <c r="K382" t="str">
        <f t="shared" si="67"/>
        <v/>
      </c>
      <c r="L382" t="str">
        <f t="shared" si="68"/>
        <v/>
      </c>
      <c r="M382" s="27" t="str">
        <f>IF(R382="","",_xlfn.XLOOKUP(R382,[2]Sheet4!B:B,[2]Sheet4!H:H))</f>
        <v/>
      </c>
      <c r="S382" s="25" t="str">
        <f>IF(Sheet2!O382="","",--LEFT(Sheet2!O382,FIND("""",Sheet2!O382)-1))</f>
        <v/>
      </c>
    </row>
    <row r="383" spans="8:19" x14ac:dyDescent="0.25">
      <c r="H383" t="str">
        <f t="shared" si="64"/>
        <v/>
      </c>
      <c r="I383" t="str">
        <f t="shared" si="65"/>
        <v/>
      </c>
      <c r="J383" t="str">
        <f t="shared" si="66"/>
        <v/>
      </c>
      <c r="K383" t="str">
        <f t="shared" si="67"/>
        <v/>
      </c>
      <c r="L383" t="str">
        <f t="shared" si="68"/>
        <v/>
      </c>
      <c r="M383" s="27" t="str">
        <f>IF(R383="","",_xlfn.XLOOKUP(R383,[2]Sheet4!B:B,[2]Sheet4!H:H))</f>
        <v/>
      </c>
      <c r="S383" s="25" t="str">
        <f>IF(Sheet2!O383="","",--LEFT(Sheet2!O383,FIND("""",Sheet2!O383)-1))</f>
        <v/>
      </c>
    </row>
    <row r="384" spans="8:19" x14ac:dyDescent="0.25">
      <c r="H384" t="str">
        <f t="shared" si="64"/>
        <v/>
      </c>
      <c r="I384" t="str">
        <f t="shared" si="65"/>
        <v/>
      </c>
      <c r="J384" t="str">
        <f t="shared" si="66"/>
        <v/>
      </c>
      <c r="K384" t="str">
        <f t="shared" si="67"/>
        <v/>
      </c>
      <c r="L384" t="str">
        <f t="shared" si="68"/>
        <v/>
      </c>
      <c r="M384" s="27" t="str">
        <f>IF(R384="","",_xlfn.XLOOKUP(R384,[2]Sheet4!B:B,[2]Sheet4!H:H))</f>
        <v/>
      </c>
      <c r="S384" s="25" t="str">
        <f>IF(Sheet2!O384="","",--LEFT(Sheet2!O384,FIND("""",Sheet2!O384)-1))</f>
        <v/>
      </c>
    </row>
    <row r="385" spans="8:19" x14ac:dyDescent="0.25">
      <c r="H385" t="str">
        <f t="shared" si="64"/>
        <v/>
      </c>
      <c r="I385" t="str">
        <f t="shared" si="65"/>
        <v/>
      </c>
      <c r="J385" t="str">
        <f t="shared" si="66"/>
        <v/>
      </c>
      <c r="K385" t="str">
        <f t="shared" si="67"/>
        <v/>
      </c>
      <c r="L385" t="str">
        <f t="shared" si="68"/>
        <v/>
      </c>
      <c r="M385" s="27" t="str">
        <f>IF(R385="","",_xlfn.XLOOKUP(R385,[2]Sheet4!B:B,[2]Sheet4!H:H))</f>
        <v/>
      </c>
      <c r="S385" s="25" t="str">
        <f>IF(Sheet2!O385="","",--LEFT(Sheet2!O385,FIND("""",Sheet2!O385)-1))</f>
        <v/>
      </c>
    </row>
    <row r="386" spans="8:19" x14ac:dyDescent="0.25">
      <c r="H386" t="str">
        <f t="shared" si="64"/>
        <v/>
      </c>
      <c r="I386" t="str">
        <f t="shared" si="65"/>
        <v/>
      </c>
      <c r="J386" t="str">
        <f t="shared" si="66"/>
        <v/>
      </c>
      <c r="K386" t="str">
        <f t="shared" si="67"/>
        <v/>
      </c>
      <c r="L386" t="str">
        <f t="shared" si="68"/>
        <v/>
      </c>
      <c r="M386" s="27" t="str">
        <f>IF(R386="","",_xlfn.XLOOKUP(R386,[2]Sheet4!B:B,[2]Sheet4!H:H))</f>
        <v/>
      </c>
      <c r="S386" s="25" t="str">
        <f>IF(Sheet2!O386="","",--LEFT(Sheet2!O386,FIND("""",Sheet2!O386)-1))</f>
        <v/>
      </c>
    </row>
    <row r="387" spans="8:19" x14ac:dyDescent="0.25">
      <c r="H387" t="str">
        <f t="shared" ref="H387:H395" si="69">IF(C387="","",B387-C387)</f>
        <v/>
      </c>
      <c r="I387" t="str">
        <f t="shared" ref="I387:I395" si="70">IF(H387="","",H387+0.5)</f>
        <v/>
      </c>
      <c r="J387" t="str">
        <f t="shared" ref="J387:J395" si="71">IF(H387="","",H387+0.67)</f>
        <v/>
      </c>
      <c r="K387" t="str">
        <f t="shared" ref="K387:K395" si="72">IF(H387="","",H387+0.83)</f>
        <v/>
      </c>
      <c r="L387" t="str">
        <f t="shared" ref="L387:L395" si="73">IF(H387="","",H387+1.17)</f>
        <v/>
      </c>
      <c r="M387" s="27" t="str">
        <f>IF(R387="","",_xlfn.XLOOKUP(R387,[2]Sheet4!B:B,[2]Sheet4!H:H))</f>
        <v/>
      </c>
      <c r="S387" s="25" t="str">
        <f>IF(Sheet2!O387="","",--LEFT(Sheet2!O387,FIND("""",Sheet2!O387)-1))</f>
        <v/>
      </c>
    </row>
    <row r="388" spans="8:19" x14ac:dyDescent="0.25">
      <c r="H388" t="str">
        <f t="shared" si="69"/>
        <v/>
      </c>
      <c r="I388" t="str">
        <f t="shared" si="70"/>
        <v/>
      </c>
      <c r="J388" t="str">
        <f t="shared" si="71"/>
        <v/>
      </c>
      <c r="K388" t="str">
        <f t="shared" si="72"/>
        <v/>
      </c>
      <c r="L388" t="str">
        <f t="shared" si="73"/>
        <v/>
      </c>
      <c r="M388" s="27" t="str">
        <f>IF(R388="","",_xlfn.XLOOKUP(R388,[2]Sheet4!B:B,[2]Sheet4!H:H))</f>
        <v/>
      </c>
      <c r="S388" s="25" t="str">
        <f>IF(Sheet2!O388="","",--LEFT(Sheet2!O388,FIND("""",Sheet2!O388)-1))</f>
        <v/>
      </c>
    </row>
    <row r="389" spans="8:19" x14ac:dyDescent="0.25">
      <c r="H389" t="str">
        <f t="shared" si="69"/>
        <v/>
      </c>
      <c r="I389" t="str">
        <f t="shared" si="70"/>
        <v/>
      </c>
      <c r="J389" t="str">
        <f t="shared" si="71"/>
        <v/>
      </c>
      <c r="K389" t="str">
        <f t="shared" si="72"/>
        <v/>
      </c>
      <c r="L389" t="str">
        <f t="shared" si="73"/>
        <v/>
      </c>
      <c r="M389" s="27" t="str">
        <f>IF(R389="","",_xlfn.XLOOKUP(R389,[2]Sheet4!B:B,[2]Sheet4!H:H))</f>
        <v/>
      </c>
      <c r="S389" s="25" t="str">
        <f>IF(Sheet2!O389="","",--LEFT(Sheet2!O389,FIND("""",Sheet2!O389)-1))</f>
        <v/>
      </c>
    </row>
    <row r="390" spans="8:19" x14ac:dyDescent="0.25">
      <c r="H390" t="str">
        <f t="shared" si="69"/>
        <v/>
      </c>
      <c r="I390" t="str">
        <f t="shared" si="70"/>
        <v/>
      </c>
      <c r="J390" t="str">
        <f t="shared" si="71"/>
        <v/>
      </c>
      <c r="K390" t="str">
        <f t="shared" si="72"/>
        <v/>
      </c>
      <c r="L390" t="str">
        <f t="shared" si="73"/>
        <v/>
      </c>
      <c r="M390" s="27" t="str">
        <f>IF(R390="","",_xlfn.XLOOKUP(R390,[2]Sheet4!B:B,[2]Sheet4!H:H))</f>
        <v/>
      </c>
      <c r="S390" s="25" t="str">
        <f>IF(Sheet2!O390="","",--LEFT(Sheet2!O390,FIND("""",Sheet2!O390)-1))</f>
        <v/>
      </c>
    </row>
    <row r="391" spans="8:19" x14ac:dyDescent="0.25">
      <c r="H391" t="str">
        <f t="shared" si="69"/>
        <v/>
      </c>
      <c r="I391" t="str">
        <f t="shared" si="70"/>
        <v/>
      </c>
      <c r="J391" t="str">
        <f t="shared" si="71"/>
        <v/>
      </c>
      <c r="K391" t="str">
        <f t="shared" si="72"/>
        <v/>
      </c>
      <c r="L391" t="str">
        <f t="shared" si="73"/>
        <v/>
      </c>
      <c r="M391" s="27" t="str">
        <f>IF(R391="","",_xlfn.XLOOKUP(R391,[2]Sheet4!B:B,[2]Sheet4!H:H))</f>
        <v/>
      </c>
      <c r="S391" s="25" t="str">
        <f>IF(Sheet2!O391="","",--LEFT(Sheet2!O391,FIND("""",Sheet2!O391)-1))</f>
        <v/>
      </c>
    </row>
    <row r="392" spans="8:19" x14ac:dyDescent="0.25">
      <c r="H392" t="str">
        <f t="shared" si="69"/>
        <v/>
      </c>
      <c r="I392" t="str">
        <f t="shared" si="70"/>
        <v/>
      </c>
      <c r="J392" t="str">
        <f t="shared" si="71"/>
        <v/>
      </c>
      <c r="K392" t="str">
        <f t="shared" si="72"/>
        <v/>
      </c>
      <c r="L392" t="str">
        <f t="shared" si="73"/>
        <v/>
      </c>
      <c r="M392" s="27" t="str">
        <f>IF(R392="","",_xlfn.XLOOKUP(R392,[2]Sheet4!B:B,[2]Sheet4!H:H))</f>
        <v/>
      </c>
      <c r="S392" s="25" t="str">
        <f>IF(Sheet2!O392="","",--LEFT(Sheet2!O392,FIND("""",Sheet2!O392)-1))</f>
        <v/>
      </c>
    </row>
    <row r="393" spans="8:19" x14ac:dyDescent="0.25">
      <c r="H393" t="str">
        <f t="shared" si="69"/>
        <v/>
      </c>
      <c r="I393" t="str">
        <f t="shared" si="70"/>
        <v/>
      </c>
      <c r="J393" t="str">
        <f t="shared" si="71"/>
        <v/>
      </c>
      <c r="K393" t="str">
        <f t="shared" si="72"/>
        <v/>
      </c>
      <c r="L393" t="str">
        <f t="shared" si="73"/>
        <v/>
      </c>
      <c r="M393" s="27" t="str">
        <f>IF(R393="","",_xlfn.XLOOKUP(R393,[2]Sheet4!B:B,[2]Sheet4!H:H))</f>
        <v/>
      </c>
      <c r="S393" s="25" t="str">
        <f>IF(Sheet2!O393="","",--LEFT(Sheet2!O393,FIND("""",Sheet2!O393)-1))</f>
        <v/>
      </c>
    </row>
    <row r="394" spans="8:19" x14ac:dyDescent="0.25">
      <c r="H394" t="str">
        <f t="shared" si="69"/>
        <v/>
      </c>
      <c r="I394" t="str">
        <f t="shared" si="70"/>
        <v/>
      </c>
      <c r="J394" t="str">
        <f t="shared" si="71"/>
        <v/>
      </c>
      <c r="K394" t="str">
        <f t="shared" si="72"/>
        <v/>
      </c>
      <c r="L394" t="str">
        <f t="shared" si="73"/>
        <v/>
      </c>
      <c r="M394" s="27" t="str">
        <f>IF(R394="","",_xlfn.XLOOKUP(R394,[2]Sheet4!B:B,[2]Sheet4!H:H))</f>
        <v/>
      </c>
      <c r="S394" s="25" t="str">
        <f>IF(Sheet2!O394="","",--LEFT(Sheet2!O394,FIND("""",Sheet2!O394)-1))</f>
        <v/>
      </c>
    </row>
    <row r="395" spans="8:19" x14ac:dyDescent="0.25">
      <c r="H395" t="str">
        <f t="shared" si="69"/>
        <v/>
      </c>
      <c r="I395" t="str">
        <f t="shared" si="70"/>
        <v/>
      </c>
      <c r="J395" t="str">
        <f t="shared" si="71"/>
        <v/>
      </c>
      <c r="K395" t="str">
        <f t="shared" si="72"/>
        <v/>
      </c>
      <c r="L395" t="str">
        <f t="shared" si="73"/>
        <v/>
      </c>
      <c r="M395" s="27" t="str">
        <f>IF(R395="","",_xlfn.XLOOKUP(R395,[2]Sheet4!B:B,[2]Sheet4!H:H))</f>
        <v/>
      </c>
      <c r="S395" s="25" t="str">
        <f>IF(Sheet2!O395="","",--LEFT(Sheet2!O395,FIND("""",Sheet2!O395)-1))</f>
        <v/>
      </c>
    </row>
    <row r="396" spans="8:19" x14ac:dyDescent="0.25">
      <c r="S396" s="25" t="str">
        <f>IF(Sheet2!O396="","",--LEFT(Sheet2!O396,FIND("""",Sheet2!O396)-1))</f>
        <v/>
      </c>
    </row>
    <row r="397" spans="8:19" x14ac:dyDescent="0.25">
      <c r="S397" s="25" t="str">
        <f>IF(Sheet2!O397="","",--LEFT(Sheet2!O397,FIND("""",Sheet2!O397)-1))</f>
        <v/>
      </c>
    </row>
    <row r="398" spans="8:19" x14ac:dyDescent="0.25">
      <c r="S398" s="25" t="str">
        <f>IF(Sheet2!O398="","",--LEFT(Sheet2!O398,FIND("""",Sheet2!O398)-1))</f>
        <v/>
      </c>
    </row>
    <row r="399" spans="8:19" x14ac:dyDescent="0.25">
      <c r="S399" s="25" t="str">
        <f>IF(Sheet2!O399="","",--LEFT(Sheet2!O399,FIND("""",Sheet2!O399)-1))</f>
        <v/>
      </c>
    </row>
    <row r="400" spans="8:19" x14ac:dyDescent="0.25">
      <c r="S400" s="25" t="str">
        <f>IF(Sheet2!O400="","",--LEFT(Sheet2!O400,FIND("""",Sheet2!O400)-1))</f>
        <v/>
      </c>
    </row>
    <row r="401" spans="19:19" x14ac:dyDescent="0.25">
      <c r="S401" s="25" t="str">
        <f>IF(Sheet2!O401="","",--LEFT(Sheet2!O401,FIND("""",Sheet2!O401)-1))</f>
        <v/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05F8-05EF-4BA3-8A4F-08103D871DFC}">
  <dimension ref="A1:AA1240"/>
  <sheetViews>
    <sheetView topLeftCell="H1" zoomScaleNormal="100" workbookViewId="0">
      <pane ySplit="1" topLeftCell="A2" activePane="bottomLeft" state="frozen"/>
      <selection pane="bottomLeft" activeCell="A2" sqref="A2:AA400"/>
    </sheetView>
  </sheetViews>
  <sheetFormatPr defaultColWidth="8.7109375" defaultRowHeight="15" x14ac:dyDescent="0.25"/>
  <cols>
    <col min="1" max="2" width="9.28515625" style="11" bestFit="1" customWidth="1"/>
    <col min="3" max="3" width="8.5703125" style="11" bestFit="1" customWidth="1"/>
    <col min="4" max="6" width="8.5703125" style="11" customWidth="1"/>
    <col min="7" max="7" width="13.42578125" style="16" bestFit="1" customWidth="1"/>
    <col min="8" max="8" width="13.42578125" style="16" customWidth="1"/>
    <col min="9" max="9" width="18.42578125" style="16" customWidth="1"/>
    <col min="10" max="10" width="21.7109375" style="11" customWidth="1"/>
    <col min="11" max="11" width="13.42578125" style="11" customWidth="1"/>
    <col min="12" max="12" width="7.7109375" style="16" bestFit="1" customWidth="1"/>
    <col min="13" max="13" width="18.28515625" style="11" customWidth="1"/>
    <col min="14" max="14" width="9.28515625" style="11" bestFit="1" customWidth="1"/>
    <col min="15" max="15" width="13.85546875" style="16" bestFit="1" customWidth="1"/>
    <col min="16" max="16" width="7.7109375" style="16" bestFit="1" customWidth="1"/>
    <col min="17" max="17" width="19.140625" style="11" customWidth="1"/>
    <col min="18" max="18" width="9.28515625" style="11" bestFit="1" customWidth="1"/>
    <col min="19" max="19" width="17" style="11" bestFit="1" customWidth="1"/>
    <col min="20" max="20" width="7.7109375" style="16" bestFit="1" customWidth="1"/>
    <col min="21" max="21" width="14.28515625" style="11" bestFit="1" customWidth="1"/>
    <col min="22" max="22" width="9.28515625" style="11" bestFit="1" customWidth="1"/>
    <col min="23" max="23" width="13.42578125" style="11" bestFit="1" customWidth="1"/>
    <col min="24" max="24" width="7.7109375" style="16" bestFit="1" customWidth="1"/>
    <col min="25" max="25" width="13.85546875" style="11" bestFit="1" customWidth="1"/>
    <col min="26" max="26" width="9.28515625" style="11" bestFit="1" customWidth="1"/>
    <col min="27" max="27" width="13.42578125" style="11" bestFit="1" customWidth="1"/>
    <col min="28" max="16384" width="8.7109375" style="11"/>
  </cols>
  <sheetData>
    <row r="1" spans="1:27" x14ac:dyDescent="0.25">
      <c r="A1" s="8" t="s">
        <v>2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14" t="s">
        <v>0</v>
      </c>
      <c r="H1" s="14" t="s">
        <v>7</v>
      </c>
      <c r="I1" s="14" t="s">
        <v>8</v>
      </c>
      <c r="J1" s="9" t="s">
        <v>25</v>
      </c>
      <c r="K1" s="9" t="s">
        <v>26</v>
      </c>
      <c r="L1" s="14" t="s">
        <v>9</v>
      </c>
      <c r="M1" s="8" t="s">
        <v>10</v>
      </c>
      <c r="N1" s="8" t="s">
        <v>11</v>
      </c>
      <c r="O1" s="14" t="s">
        <v>12</v>
      </c>
      <c r="P1" s="14" t="s">
        <v>13</v>
      </c>
      <c r="Q1" s="10" t="s">
        <v>14</v>
      </c>
      <c r="R1" s="10" t="s">
        <v>15</v>
      </c>
      <c r="S1" s="10" t="s">
        <v>16</v>
      </c>
      <c r="T1" s="14" t="s">
        <v>17</v>
      </c>
      <c r="U1" s="10" t="s">
        <v>18</v>
      </c>
      <c r="V1" s="10" t="s">
        <v>19</v>
      </c>
      <c r="W1" s="10" t="s">
        <v>20</v>
      </c>
      <c r="X1" s="14" t="s">
        <v>21</v>
      </c>
      <c r="Y1" s="10" t="s">
        <v>22</v>
      </c>
      <c r="Z1" s="10" t="s">
        <v>23</v>
      </c>
      <c r="AA1" s="10" t="s">
        <v>24</v>
      </c>
    </row>
    <row r="2" spans="1:27" x14ac:dyDescent="0.25">
      <c r="G2" s="15" t="str">
        <f>IF(Sheet2!A2="","",Sheet2!A2)</f>
        <v>YD1</v>
      </c>
      <c r="H2" s="18" t="str">
        <f>IF(Sheet2!O2="","",LEFT(Sheet2!O2, FIND(" ", Sheet2!O2)-1))</f>
        <v>12"</v>
      </c>
      <c r="I2" s="15" t="str">
        <f>IF(Sheet2!S2&lt;19,ROUND(Sheet2!I2,2)&amp;"'",IF(Sheet2!S2&lt;25,ROUND(Sheet2!J2,2)&amp;"'",IF(Sheet2!S2&lt;31,ROUND(Sheet2!K2,2)&amp;"'",IF(Sheet2!S2&lt;37,ROUND(Sheet2!L2,2)&amp;"'",""))))</f>
        <v>3.17'</v>
      </c>
      <c r="J2" s="13"/>
      <c r="K2" s="12"/>
      <c r="L2" s="15" t="str">
        <f>IF(Sheet2!D2="","",Sheet2!D2&amp;"''")</f>
        <v>4''</v>
      </c>
      <c r="M2" s="12"/>
      <c r="N2" s="19"/>
      <c r="O2" s="16" t="str">
        <f>IF(Sheet2!H2="","",ROUND(Sheet2!H2,2)&amp;"'")</f>
        <v>2.67'</v>
      </c>
      <c r="P2" s="18" t="str">
        <f>IF(Sheet2!E2="","",Sheet2!E2&amp;"''")</f>
        <v/>
      </c>
      <c r="Q2" s="12"/>
      <c r="S2"/>
      <c r="T2" s="15" t="str">
        <f>IF(Sheet2!F2="","",Sheet2!F2&amp;"''")</f>
        <v/>
      </c>
      <c r="U2" s="12"/>
      <c r="X2" s="15" t="str">
        <f>IF(Sheet2!G2="","",Sheet2!G2&amp;"''")</f>
        <v/>
      </c>
      <c r="Y2" s="12"/>
      <c r="AA2" s="12"/>
    </row>
    <row r="3" spans="1:27" ht="23.45" customHeight="1" x14ac:dyDescent="0.25">
      <c r="G3" s="15" t="str">
        <f>IF(Sheet2!A3="","",Sheet2!A3)</f>
        <v>YD2</v>
      </c>
      <c r="H3" s="18" t="str">
        <f>IF(Sheet2!O3="","",LEFT(Sheet2!O3, FIND(" ", Sheet2!O3)-1))</f>
        <v>12"</v>
      </c>
      <c r="I3" s="15" t="str">
        <f>IF(Sheet2!S3&lt;19,ROUND(Sheet2!I3,2)&amp;"'",IF(Sheet2!S3&lt;25,ROUND(Sheet2!J3,2)&amp;"'",IF(Sheet2!S3&lt;31,ROUND(Sheet2!K3,2)&amp;"'",IF(Sheet2!S3&lt;37,ROUND(Sheet2!L3,2)&amp;"'",""))))</f>
        <v>3.52'</v>
      </c>
      <c r="J3" s="13"/>
      <c r="K3" s="12"/>
      <c r="L3" s="15" t="str">
        <f>IF(Sheet2!D3="","",Sheet2!D3&amp;"''")</f>
        <v>15''</v>
      </c>
      <c r="M3" s="12"/>
      <c r="N3" s="19"/>
      <c r="O3" s="16" t="str">
        <f>IF(Sheet2!H3="","",ROUND(Sheet2!H3,2)&amp;"'")</f>
        <v>3.02'</v>
      </c>
      <c r="P3" s="18" t="str">
        <f>IF(Sheet2!E3="","",Sheet2!E3&amp;"''")</f>
        <v>12''</v>
      </c>
      <c r="Q3" s="12"/>
      <c r="S3" s="12"/>
      <c r="T3" s="15" t="str">
        <f>IF(Sheet2!F3="","",Sheet2!F3&amp;"''")</f>
        <v/>
      </c>
      <c r="U3" s="12"/>
      <c r="X3" s="15" t="str">
        <f>IF(Sheet2!G3="","",Sheet2!G3&amp;"''")</f>
        <v/>
      </c>
      <c r="Y3" s="12"/>
      <c r="AA3" s="12"/>
    </row>
    <row r="4" spans="1:27" x14ac:dyDescent="0.25">
      <c r="G4" s="15" t="str">
        <f>IF(Sheet2!A4="","",Sheet2!A4)</f>
        <v>YD4</v>
      </c>
      <c r="H4" s="18" t="str">
        <f>IF(Sheet2!O4="","",LEFT(Sheet2!O4, FIND(" ", Sheet2!O4)-1))</f>
        <v>15"</v>
      </c>
      <c r="I4" s="15" t="str">
        <f>IF(Sheet2!S4&lt;19,ROUND(Sheet2!I4,2)&amp;"'",IF(Sheet2!S4&lt;25,ROUND(Sheet2!J4,2)&amp;"'",IF(Sheet2!S4&lt;31,ROUND(Sheet2!K4,2)&amp;"'",IF(Sheet2!S4&lt;37,ROUND(Sheet2!L4,2)&amp;"'",""))))</f>
        <v>3.72'</v>
      </c>
      <c r="J4" s="13"/>
      <c r="K4" s="12"/>
      <c r="L4" s="15" t="str">
        <f>IF(Sheet2!D4="","",Sheet2!D4&amp;"''")</f>
        <v>8''</v>
      </c>
      <c r="M4" s="12"/>
      <c r="N4" s="19"/>
      <c r="O4" s="16" t="str">
        <f>IF(Sheet2!H4="","",ROUND(Sheet2!H4,2)&amp;"'")</f>
        <v>3.22'</v>
      </c>
      <c r="P4" s="18" t="str">
        <f>IF(Sheet2!E4="","",Sheet2!E4&amp;"''")</f>
        <v>8''</v>
      </c>
      <c r="Q4" s="12"/>
      <c r="S4"/>
      <c r="T4" s="15" t="str">
        <f>IF(Sheet2!F4="","",Sheet2!F4&amp;"''")</f>
        <v>6''</v>
      </c>
      <c r="U4" s="12"/>
      <c r="X4" s="15" t="str">
        <f>IF(Sheet2!G4="","",Sheet2!G4&amp;"''")</f>
        <v/>
      </c>
      <c r="Y4" s="12"/>
      <c r="AA4" s="12"/>
    </row>
    <row r="5" spans="1:27" x14ac:dyDescent="0.25">
      <c r="G5" s="15" t="str">
        <f>IF(Sheet2!A5="","",Sheet2!A5)</f>
        <v>YD3</v>
      </c>
      <c r="H5" s="18" t="str">
        <f>IF(Sheet2!O5="","",LEFT(Sheet2!O5, FIND(" ", Sheet2!O5)-1))</f>
        <v>12"</v>
      </c>
      <c r="I5" s="15" t="str">
        <f>IF(Sheet2!S5&lt;19,ROUND(Sheet2!I5,2)&amp;"'",IF(Sheet2!S5&lt;25,ROUND(Sheet2!J5,2)&amp;"'",IF(Sheet2!S5&lt;31,ROUND(Sheet2!K5,2)&amp;"'",IF(Sheet2!S5&lt;37,ROUND(Sheet2!L5,2)&amp;"'",""))))</f>
        <v>5'</v>
      </c>
      <c r="J5" s="13"/>
      <c r="K5" s="12"/>
      <c r="L5" s="15" t="str">
        <f>IF(Sheet2!D5="","",Sheet2!D5&amp;"''")</f>
        <v>18''</v>
      </c>
      <c r="M5" s="12"/>
      <c r="N5" s="19"/>
      <c r="O5" s="16" t="str">
        <f>IF(Sheet2!H5="","",ROUND(Sheet2!H5,2)&amp;"'")</f>
        <v>4.5'</v>
      </c>
      <c r="P5" s="18" t="str">
        <f>IF(Sheet2!E5="","",Sheet2!E5&amp;"''")</f>
        <v/>
      </c>
      <c r="Q5" s="12"/>
      <c r="S5"/>
      <c r="T5" s="15" t="str">
        <f>IF(Sheet2!F5="","",Sheet2!F5&amp;"''")</f>
        <v/>
      </c>
      <c r="U5" s="12"/>
      <c r="X5" s="15" t="str">
        <f>IF(Sheet2!G5="","",Sheet2!G5&amp;"''")</f>
        <v/>
      </c>
      <c r="Y5" s="12"/>
      <c r="AA5" s="12"/>
    </row>
    <row r="6" spans="1:27" x14ac:dyDescent="0.25">
      <c r="G6" s="15" t="str">
        <f>IF(Sheet2!A6="","",Sheet2!A6)</f>
        <v>YD6</v>
      </c>
      <c r="H6" s="18" t="str">
        <f>IF(Sheet2!O6="","",LEFT(Sheet2!O6, FIND(" ", Sheet2!O6)-1))</f>
        <v>24"</v>
      </c>
      <c r="I6" s="15" t="str">
        <f>IF(Sheet2!S6&lt;19,ROUND(Sheet2!I6,2)&amp;"'",IF(Sheet2!S6&lt;25,ROUND(Sheet2!J6,2)&amp;"'",IF(Sheet2!S6&lt;31,ROUND(Sheet2!K6,2)&amp;"'",IF(Sheet2!S6&lt;37,ROUND(Sheet2!L6,2)&amp;"'",""))))</f>
        <v>4.28'</v>
      </c>
      <c r="J6" s="13"/>
      <c r="K6" s="12"/>
      <c r="L6" s="15" t="str">
        <f>IF(Sheet2!D6="","",Sheet2!D6&amp;"''")</f>
        <v>15''</v>
      </c>
      <c r="M6" s="12"/>
      <c r="N6" s="19"/>
      <c r="O6" s="16" t="str">
        <f>IF(Sheet2!H6="","",ROUND(Sheet2!H6,2)&amp;"'")</f>
        <v>3.61'</v>
      </c>
      <c r="P6" s="18" t="str">
        <f>IF(Sheet2!E6="","",Sheet2!E6&amp;"''")</f>
        <v>8''</v>
      </c>
      <c r="Q6" s="12"/>
      <c r="S6"/>
      <c r="T6" s="15" t="str">
        <f>IF(Sheet2!F6="","",Sheet2!F6&amp;"''")</f>
        <v/>
      </c>
      <c r="U6" s="12"/>
      <c r="X6" s="15" t="str">
        <f>IF(Sheet2!G6="","",Sheet2!G6&amp;"''")</f>
        <v/>
      </c>
      <c r="Y6" s="12"/>
      <c r="AA6" s="12"/>
    </row>
    <row r="7" spans="1:27" x14ac:dyDescent="0.25">
      <c r="G7" s="15" t="str">
        <f>IF(Sheet2!A7="","",Sheet2!A7)</f>
        <v>YD7</v>
      </c>
      <c r="H7" s="18" t="str">
        <f>IF(Sheet2!O7="","",LEFT(Sheet2!O7, FIND(" ", Sheet2!O7)-1))</f>
        <v>30"</v>
      </c>
      <c r="I7" s="15" t="str">
        <f>IF(Sheet2!S7&lt;19,ROUND(Sheet2!I7,2)&amp;"'",IF(Sheet2!S7&lt;25,ROUND(Sheet2!J7,2)&amp;"'",IF(Sheet2!S7&lt;31,ROUND(Sheet2!K7,2)&amp;"'",IF(Sheet2!S7&lt;37,ROUND(Sheet2!L7,2)&amp;"'",""))))</f>
        <v>5.12'</v>
      </c>
      <c r="J7" s="13"/>
      <c r="K7" s="12"/>
      <c r="L7" s="15" t="str">
        <f>IF(Sheet2!D7="","",Sheet2!D7&amp;"''")</f>
        <v>18''</v>
      </c>
      <c r="M7" s="12"/>
      <c r="N7" s="19"/>
      <c r="O7" s="16" t="str">
        <f>IF(Sheet2!H7="","",ROUND(Sheet2!H7,2)&amp;"'")</f>
        <v>4.29'</v>
      </c>
      <c r="P7" s="18" t="str">
        <f>IF(Sheet2!E7="","",Sheet2!E7&amp;"''")</f>
        <v/>
      </c>
      <c r="Q7" s="12"/>
      <c r="S7"/>
      <c r="T7" s="15" t="str">
        <f>IF(Sheet2!F7="","",Sheet2!F7&amp;"''")</f>
        <v/>
      </c>
      <c r="U7" s="12"/>
      <c r="X7" s="15" t="str">
        <f>IF(Sheet2!G7="","",Sheet2!G7&amp;"''")</f>
        <v/>
      </c>
      <c r="Y7" s="12"/>
      <c r="AA7" s="12"/>
    </row>
    <row r="8" spans="1:27" x14ac:dyDescent="0.25">
      <c r="G8" s="15" t="str">
        <f>IF(Sheet2!A8="","",Sheet2!A8)</f>
        <v/>
      </c>
      <c r="H8" s="18" t="str">
        <f>IF(Sheet2!O8="","",LEFT(Sheet2!O8, FIND(" ", Sheet2!O8)-1))</f>
        <v/>
      </c>
      <c r="I8" s="15" t="str">
        <f>IF(Sheet2!S8&lt;19,ROUND(Sheet2!I8,2)&amp;"'",IF(Sheet2!S8&lt;25,ROUND(Sheet2!J8,2)&amp;"'",IF(Sheet2!S8&lt;31,ROUND(Sheet2!K8,2)&amp;"'",IF(Sheet2!S8&lt;37,ROUND(Sheet2!L8,2)&amp;"'",""))))</f>
        <v/>
      </c>
      <c r="J8" s="13"/>
      <c r="K8" s="12"/>
      <c r="L8" s="15" t="str">
        <f>IF(Sheet2!D8="","",Sheet2!D8&amp;"''")</f>
        <v/>
      </c>
      <c r="M8" s="12"/>
      <c r="N8" s="19"/>
      <c r="O8" s="16" t="str">
        <f>IF(Sheet2!H8="","",ROUND(Sheet2!H8,2)&amp;"'")</f>
        <v/>
      </c>
      <c r="P8" s="18" t="str">
        <f>IF(Sheet2!E8="","",Sheet2!E8&amp;"''")</f>
        <v/>
      </c>
      <c r="Q8" s="12"/>
      <c r="S8"/>
      <c r="T8" s="15" t="str">
        <f>IF(Sheet2!F8="","",Sheet2!F8&amp;"''")</f>
        <v/>
      </c>
      <c r="U8" s="12"/>
      <c r="X8" s="15" t="str">
        <f>IF(Sheet2!G8="","",Sheet2!G8&amp;"''")</f>
        <v/>
      </c>
      <c r="AA8" s="12"/>
    </row>
    <row r="9" spans="1:27" x14ac:dyDescent="0.25">
      <c r="G9" s="15" t="str">
        <f>IF(Sheet2!A9="","",Sheet2!A9)</f>
        <v/>
      </c>
      <c r="H9" s="18" t="str">
        <f>IF(Sheet2!O9="","",LEFT(Sheet2!O9, FIND(" ", Sheet2!O9)-1))</f>
        <v/>
      </c>
      <c r="I9" s="15" t="str">
        <f>IF(Sheet2!S9&lt;19,ROUND(Sheet2!I9,2)&amp;"'",IF(Sheet2!S9&lt;25,ROUND(Sheet2!J9,2)&amp;"'",IF(Sheet2!S9&lt;31,ROUND(Sheet2!K9,2)&amp;"'",IF(Sheet2!S9&lt;37,ROUND(Sheet2!L9,2)&amp;"'",""))))</f>
        <v/>
      </c>
      <c r="J9" s="13"/>
      <c r="K9" s="12"/>
      <c r="L9" s="15" t="str">
        <f>IF(Sheet2!D9="","",Sheet2!D9&amp;"''")</f>
        <v/>
      </c>
      <c r="M9" s="12"/>
      <c r="N9" s="19"/>
      <c r="O9" s="16" t="str">
        <f>IF(Sheet2!H9="","",ROUND(Sheet2!H9,2)&amp;"'")</f>
        <v/>
      </c>
      <c r="P9" s="18" t="str">
        <f>IF(Sheet2!E9="","",Sheet2!E9&amp;"''")</f>
        <v/>
      </c>
      <c r="Q9" s="12"/>
      <c r="S9"/>
      <c r="T9" s="15" t="str">
        <f>IF(Sheet2!F9="","",Sheet2!F9&amp;"''")</f>
        <v/>
      </c>
      <c r="U9" s="12"/>
      <c r="X9" s="15" t="str">
        <f>IF(Sheet2!G9="","",Sheet2!G9&amp;"''")</f>
        <v/>
      </c>
      <c r="AA9" s="12"/>
    </row>
    <row r="10" spans="1:27" x14ac:dyDescent="0.25">
      <c r="G10" s="15" t="str">
        <f>IF(Sheet2!A10="","",Sheet2!A10)</f>
        <v/>
      </c>
      <c r="H10" s="18" t="str">
        <f>IF(Sheet2!O10="","",LEFT(Sheet2!O10, FIND(" ", Sheet2!O10)-1))</f>
        <v/>
      </c>
      <c r="I10" s="15" t="str">
        <f>IF(Sheet2!S10&lt;19,ROUND(Sheet2!I10,2)&amp;"'",IF(Sheet2!S10&lt;25,ROUND(Sheet2!J10,2)&amp;"'",IF(Sheet2!S10&lt;31,ROUND(Sheet2!K10,2)&amp;"'",IF(Sheet2!S10&lt;37,ROUND(Sheet2!L10,2)&amp;"'",""))))</f>
        <v/>
      </c>
      <c r="J10" s="13"/>
      <c r="K10" s="12"/>
      <c r="L10" s="15" t="str">
        <f>IF(Sheet2!D10="","",Sheet2!D10&amp;"''")</f>
        <v/>
      </c>
      <c r="M10" s="12"/>
      <c r="N10" s="19"/>
      <c r="O10" s="16" t="str">
        <f>IF(Sheet2!H10="","",ROUND(Sheet2!H10,2)&amp;"'")</f>
        <v/>
      </c>
      <c r="P10" s="18" t="str">
        <f>IF(Sheet2!E10="","",Sheet2!E10&amp;"''")</f>
        <v/>
      </c>
      <c r="Q10" s="12"/>
      <c r="S10"/>
      <c r="T10" s="15" t="str">
        <f>IF(Sheet2!F10="","",Sheet2!F10&amp;"''")</f>
        <v/>
      </c>
      <c r="U10" s="12"/>
      <c r="X10" s="15" t="str">
        <f>IF(Sheet2!G10="","",Sheet2!G10&amp;"''")</f>
        <v/>
      </c>
      <c r="AA10" s="12"/>
    </row>
    <row r="11" spans="1:27" x14ac:dyDescent="0.25">
      <c r="G11" s="15" t="str">
        <f>IF(Sheet2!A11="","",Sheet2!A11)</f>
        <v/>
      </c>
      <c r="H11" s="18" t="str">
        <f>IF(Sheet2!O11="","",LEFT(Sheet2!O11, FIND(" ", Sheet2!O11)-1))</f>
        <v/>
      </c>
      <c r="I11" s="15" t="str">
        <f>IF(Sheet2!S11&lt;19,ROUND(Sheet2!I11,2)&amp;"'",IF(Sheet2!S11&lt;25,ROUND(Sheet2!J11,2)&amp;"'",IF(Sheet2!S11&lt;31,ROUND(Sheet2!K11,2)&amp;"'",IF(Sheet2!S11&lt;37,ROUND(Sheet2!L11,2)&amp;"'",""))))</f>
        <v/>
      </c>
      <c r="J11" s="13"/>
      <c r="K11" s="12"/>
      <c r="L11" s="15" t="str">
        <f>IF(Sheet2!D11="","",Sheet2!D11&amp;"''")</f>
        <v/>
      </c>
      <c r="M11" s="12"/>
      <c r="N11" s="19"/>
      <c r="O11" s="16" t="str">
        <f>IF(Sheet2!H11="","",ROUND(Sheet2!H11,2)&amp;"'")</f>
        <v/>
      </c>
      <c r="P11" s="18" t="str">
        <f>IF(Sheet2!E11="","",Sheet2!E11&amp;"''")</f>
        <v/>
      </c>
      <c r="Q11" s="12"/>
      <c r="S11"/>
      <c r="T11" s="15" t="str">
        <f>IF(Sheet2!F11="","",Sheet2!F11&amp;"''")</f>
        <v/>
      </c>
      <c r="U11" s="12"/>
      <c r="X11" s="15" t="str">
        <f>IF(Sheet2!G11="","",Sheet2!G11&amp;"''")</f>
        <v/>
      </c>
      <c r="AA11" s="12"/>
    </row>
    <row r="12" spans="1:27" x14ac:dyDescent="0.25">
      <c r="G12" s="15" t="str">
        <f>IF(Sheet2!A12="","",Sheet2!A12)</f>
        <v/>
      </c>
      <c r="H12" s="18" t="str">
        <f>IF(Sheet2!O12="","",LEFT(Sheet2!O12, FIND(" ", Sheet2!O12)-1))</f>
        <v/>
      </c>
      <c r="I12" s="15" t="str">
        <f>IF(Sheet2!S12&lt;19,ROUND(Sheet2!I12,2)&amp;"'",IF(Sheet2!S12&lt;25,ROUND(Sheet2!J12,2)&amp;"'",IF(Sheet2!S12&lt;31,ROUND(Sheet2!K12,2)&amp;"'",IF(Sheet2!S12&lt;37,ROUND(Sheet2!L12,2)&amp;"'",""))))</f>
        <v/>
      </c>
      <c r="J12" s="13"/>
      <c r="K12" s="12"/>
      <c r="L12" s="15" t="str">
        <f>IF(Sheet2!D12="","",Sheet2!D12&amp;"''")</f>
        <v/>
      </c>
      <c r="M12" s="12"/>
      <c r="N12" s="19"/>
      <c r="O12" s="16" t="str">
        <f>IF(Sheet2!H12="","",ROUND(Sheet2!H12,2)&amp;"'")</f>
        <v/>
      </c>
      <c r="P12" s="18" t="str">
        <f>IF(Sheet2!E12="","",Sheet2!E12&amp;"''")</f>
        <v/>
      </c>
      <c r="Q12" s="12"/>
      <c r="S12"/>
      <c r="T12" s="15" t="str">
        <f>IF(Sheet2!F12="","",Sheet2!F12&amp;"''")</f>
        <v/>
      </c>
      <c r="U12" s="12"/>
      <c r="X12" s="15" t="str">
        <f>IF(Sheet2!G12="","",Sheet2!G12&amp;"''")</f>
        <v/>
      </c>
      <c r="AA12" s="12"/>
    </row>
    <row r="13" spans="1:27" x14ac:dyDescent="0.25">
      <c r="G13" s="15" t="str">
        <f>IF(Sheet2!A13="","",Sheet2!A13)</f>
        <v/>
      </c>
      <c r="H13" s="18" t="str">
        <f>IF(Sheet2!O13="","",LEFT(Sheet2!O13, FIND(" ", Sheet2!O13)-1))</f>
        <v/>
      </c>
      <c r="I13" s="15" t="str">
        <f>IF(Sheet2!S13&lt;19,ROUND(Sheet2!I13,2)&amp;"'",IF(Sheet2!S13&lt;25,ROUND(Sheet2!J13,2)&amp;"'",IF(Sheet2!S13&lt;31,ROUND(Sheet2!K13,2)&amp;"'",IF(Sheet2!S13&lt;37,ROUND(Sheet2!L13,2)&amp;"'",""))))</f>
        <v/>
      </c>
      <c r="J13" s="13"/>
      <c r="K13" s="12"/>
      <c r="L13" s="15" t="str">
        <f>IF(Sheet2!D13="","",Sheet2!D13&amp;"''")</f>
        <v/>
      </c>
      <c r="M13" s="12"/>
      <c r="N13" s="19"/>
      <c r="O13" s="16" t="str">
        <f>IF(Sheet2!H13="","",ROUND(Sheet2!H13,2)&amp;"'")</f>
        <v/>
      </c>
      <c r="P13" s="18" t="str">
        <f>IF(Sheet2!E13="","",Sheet2!E13&amp;"''")</f>
        <v/>
      </c>
      <c r="Q13" s="12"/>
      <c r="T13" s="15" t="str">
        <f>IF(Sheet2!F13="","",Sheet2!F13&amp;"''")</f>
        <v/>
      </c>
      <c r="U13" s="12"/>
      <c r="X13" s="15" t="str">
        <f>IF(Sheet2!G13="","",Sheet2!G13&amp;"''")</f>
        <v/>
      </c>
      <c r="AA13" s="12"/>
    </row>
    <row r="14" spans="1:27" x14ac:dyDescent="0.25">
      <c r="G14" s="15" t="str">
        <f>IF(Sheet2!A14="","",Sheet2!A14)</f>
        <v/>
      </c>
      <c r="H14" s="18" t="str">
        <f>IF(Sheet2!O14="","",LEFT(Sheet2!O14, FIND(" ", Sheet2!O14)-1))</f>
        <v/>
      </c>
      <c r="I14" s="15" t="str">
        <f>IF(Sheet2!S14&lt;19,ROUND(Sheet2!I14,2)&amp;"'",IF(Sheet2!S14&lt;25,ROUND(Sheet2!J14,2)&amp;"'",IF(Sheet2!S14&lt;31,ROUND(Sheet2!K14,2)&amp;"'",IF(Sheet2!S14&lt;37,ROUND(Sheet2!L14,2)&amp;"'",""))))</f>
        <v/>
      </c>
      <c r="J14" s="13"/>
      <c r="K14" s="12"/>
      <c r="L14" s="15" t="str">
        <f>IF(Sheet2!D14="","",Sheet2!D14&amp;"''")</f>
        <v/>
      </c>
      <c r="M14" s="12"/>
      <c r="N14" s="19"/>
      <c r="O14" s="16" t="str">
        <f>IF(Sheet2!H14="","",ROUND(Sheet2!H14,2)&amp;"'")</f>
        <v/>
      </c>
      <c r="P14" s="18" t="str">
        <f>IF(Sheet2!E14="","",Sheet2!E14&amp;"''")</f>
        <v/>
      </c>
      <c r="Q14" s="12"/>
      <c r="T14" s="15" t="str">
        <f>IF(Sheet2!F14="","",Sheet2!F14&amp;"''")</f>
        <v/>
      </c>
      <c r="U14" s="12"/>
      <c r="X14" s="15" t="str">
        <f>IF(Sheet2!G14="","",Sheet2!G14&amp;"''")</f>
        <v/>
      </c>
      <c r="AA14" s="12"/>
    </row>
    <row r="15" spans="1:27" x14ac:dyDescent="0.25">
      <c r="G15" s="15" t="str">
        <f>IF(Sheet2!A15="","",Sheet2!A15)</f>
        <v/>
      </c>
      <c r="H15" s="18" t="str">
        <f>IF(Sheet2!O15="","",LEFT(Sheet2!O15, FIND(" ", Sheet2!O15)-1))</f>
        <v/>
      </c>
      <c r="I15" s="15" t="str">
        <f>IF(Sheet2!S15&lt;19,ROUND(Sheet2!I15,2)&amp;"'",IF(Sheet2!S15&lt;25,ROUND(Sheet2!J15,2)&amp;"'",IF(Sheet2!S15&lt;31,ROUND(Sheet2!K15,2)&amp;"'",IF(Sheet2!S15&lt;37,ROUND(Sheet2!L15,2)&amp;"'",""))))</f>
        <v/>
      </c>
      <c r="J15" s="13"/>
      <c r="K15" s="12"/>
      <c r="L15" s="15" t="str">
        <f>IF(Sheet2!D15="","",Sheet2!D15&amp;"''")</f>
        <v/>
      </c>
      <c r="M15" s="12"/>
      <c r="N15" s="19"/>
      <c r="O15" s="16" t="str">
        <f>IF(Sheet2!H15="","",ROUND(Sheet2!H15,2)&amp;"'")</f>
        <v/>
      </c>
      <c r="P15" s="18" t="str">
        <f>IF(Sheet2!E15="","",Sheet2!E15&amp;"''")</f>
        <v/>
      </c>
      <c r="Q15" s="12"/>
      <c r="T15" s="15" t="str">
        <f>IF(Sheet2!F15="","",Sheet2!F15&amp;"''")</f>
        <v/>
      </c>
      <c r="U15" s="12"/>
      <c r="X15" s="15" t="str">
        <f>IF(Sheet2!G15="","",Sheet2!G15&amp;"''")</f>
        <v/>
      </c>
      <c r="AA15" s="12"/>
    </row>
    <row r="16" spans="1:27" x14ac:dyDescent="0.25">
      <c r="G16" s="15" t="str">
        <f>IF(Sheet2!A16="","",Sheet2!A16)</f>
        <v/>
      </c>
      <c r="H16" s="18" t="str">
        <f>IF(Sheet2!O16="","",LEFT(Sheet2!O16, FIND(" ", Sheet2!O16)-1))</f>
        <v/>
      </c>
      <c r="I16" s="15" t="str">
        <f>IF(Sheet2!S16&lt;19,ROUND(Sheet2!I16,2)&amp;"'",IF(Sheet2!S16&lt;25,ROUND(Sheet2!J16,2)&amp;"'",IF(Sheet2!S16&lt;31,ROUND(Sheet2!K16,2)&amp;"'",IF(Sheet2!S16&lt;37,ROUND(Sheet2!L16,2)&amp;"'",""))))</f>
        <v/>
      </c>
      <c r="J16" s="13"/>
      <c r="K16" s="12"/>
      <c r="L16" s="15" t="str">
        <f>IF(Sheet2!D16="","",Sheet2!D16&amp;"''")</f>
        <v/>
      </c>
      <c r="M16" s="12"/>
      <c r="N16" s="19"/>
      <c r="O16" s="16" t="str">
        <f>IF(Sheet2!H16="","",ROUND(Sheet2!H16,2)&amp;"'")</f>
        <v/>
      </c>
      <c r="P16" s="18" t="str">
        <f>IF(Sheet2!E16="","",Sheet2!E16&amp;"''")</f>
        <v/>
      </c>
      <c r="Q16" s="12"/>
      <c r="T16" s="15" t="str">
        <f>IF(Sheet2!F16="","",Sheet2!F16&amp;"''")</f>
        <v/>
      </c>
      <c r="U16" s="12"/>
      <c r="X16" s="15" t="str">
        <f>IF(Sheet2!G16="","",Sheet2!G16&amp;"''")</f>
        <v/>
      </c>
      <c r="AA16" s="12"/>
    </row>
    <row r="17" spans="7:27" x14ac:dyDescent="0.25">
      <c r="G17" s="15" t="str">
        <f>IF(Sheet2!A17="","",Sheet2!A17)</f>
        <v/>
      </c>
      <c r="H17" s="18" t="str">
        <f>IF(Sheet2!O17="","",LEFT(Sheet2!O17, FIND(" ", Sheet2!O17)-1))</f>
        <v/>
      </c>
      <c r="I17" s="15" t="str">
        <f>IF(Sheet2!S17&lt;19,ROUND(Sheet2!I17,2)&amp;"'",IF(Sheet2!S17&lt;25,ROUND(Sheet2!J17,2)&amp;"'",IF(Sheet2!S17&lt;31,ROUND(Sheet2!K17,2)&amp;"'",IF(Sheet2!S17&lt;37,ROUND(Sheet2!L17,2)&amp;"'",""))))</f>
        <v/>
      </c>
      <c r="J17" s="13"/>
      <c r="K17" s="12"/>
      <c r="L17" s="15" t="str">
        <f>IF(Sheet2!D17="","",Sheet2!D17&amp;"''")</f>
        <v/>
      </c>
      <c r="M17" s="12"/>
      <c r="N17" s="19"/>
      <c r="O17" s="16" t="str">
        <f>IF(Sheet2!H17="","",ROUND(Sheet2!H17,2)&amp;"'")</f>
        <v/>
      </c>
      <c r="P17" s="18" t="str">
        <f>IF(Sheet2!E17="","",Sheet2!E17&amp;"''")</f>
        <v/>
      </c>
      <c r="Q17" s="12"/>
      <c r="T17" s="15" t="str">
        <f>IF(Sheet2!F17="","",Sheet2!F17&amp;"''")</f>
        <v/>
      </c>
      <c r="U17" s="12"/>
      <c r="X17" s="15" t="str">
        <f>IF(Sheet2!G17="","",Sheet2!G17&amp;"''")</f>
        <v/>
      </c>
      <c r="Y17" s="12"/>
      <c r="AA17" s="12"/>
    </row>
    <row r="18" spans="7:27" x14ac:dyDescent="0.25">
      <c r="G18" s="15" t="str">
        <f>IF(Sheet2!A18="","",Sheet2!A18)</f>
        <v/>
      </c>
      <c r="H18" s="18" t="str">
        <f>IF(Sheet2!O18="","",LEFT(Sheet2!O18, FIND(" ", Sheet2!O18)-1))</f>
        <v/>
      </c>
      <c r="I18" s="15" t="str">
        <f>IF(Sheet2!S18&lt;19,ROUND(Sheet2!I18,2)&amp;"'",IF(Sheet2!S18&lt;25,ROUND(Sheet2!J18,2)&amp;"'",IF(Sheet2!S18&lt;31,ROUND(Sheet2!K18,2)&amp;"'",IF(Sheet2!S18&lt;37,ROUND(Sheet2!L18,2)&amp;"'",""))))</f>
        <v/>
      </c>
      <c r="J18" s="13"/>
      <c r="K18" s="12"/>
      <c r="L18" s="15" t="str">
        <f>IF(Sheet2!D18="","",Sheet2!D18&amp;"''")</f>
        <v/>
      </c>
      <c r="M18" s="12"/>
      <c r="N18" s="19"/>
      <c r="O18" s="16" t="str">
        <f>IF(Sheet2!H18="","",ROUND(Sheet2!H18,2)&amp;"'")</f>
        <v/>
      </c>
      <c r="P18" s="18" t="str">
        <f>IF(Sheet2!E18="","",Sheet2!E18&amp;"''")</f>
        <v/>
      </c>
      <c r="Q18" s="12"/>
      <c r="T18" s="15" t="str">
        <f>IF(Sheet2!F18="","",Sheet2!F18&amp;"''")</f>
        <v/>
      </c>
      <c r="U18" s="12"/>
      <c r="X18" s="15" t="str">
        <f>IF(Sheet2!G18="","",Sheet2!G18&amp;"''")</f>
        <v/>
      </c>
      <c r="AA18" s="12"/>
    </row>
    <row r="19" spans="7:27" x14ac:dyDescent="0.25">
      <c r="G19" s="15" t="str">
        <f>IF(Sheet2!A19="","",Sheet2!A19)</f>
        <v/>
      </c>
      <c r="H19" s="18" t="str">
        <f>IF(Sheet2!O19="","",LEFT(Sheet2!O19, FIND(" ", Sheet2!O19)-1))</f>
        <v/>
      </c>
      <c r="I19" s="15" t="str">
        <f>IF(Sheet2!S19&lt;19,ROUND(Sheet2!I19,2)&amp;"'",IF(Sheet2!S19&lt;25,ROUND(Sheet2!J19,2)&amp;"'",IF(Sheet2!S19&lt;31,ROUND(Sheet2!K19,2)&amp;"'",IF(Sheet2!S19&lt;37,ROUND(Sheet2!L19,2)&amp;"'",""))))</f>
        <v/>
      </c>
      <c r="J19" s="13"/>
      <c r="K19" s="12"/>
      <c r="L19" s="15" t="str">
        <f>IF(Sheet2!D19="","",Sheet2!D19&amp;"''")</f>
        <v/>
      </c>
      <c r="M19" s="12"/>
      <c r="N19" s="19"/>
      <c r="O19" s="16" t="str">
        <f>IF(Sheet2!H19="","",ROUND(Sheet2!H19,2)&amp;"'")</f>
        <v/>
      </c>
      <c r="P19" s="18" t="str">
        <f>IF(Sheet2!E19="","",Sheet2!E19&amp;"''")</f>
        <v/>
      </c>
      <c r="Q19" s="12"/>
      <c r="T19" s="15" t="str">
        <f>IF(Sheet2!F19="","",Sheet2!F19&amp;"''")</f>
        <v/>
      </c>
      <c r="U19" s="12"/>
      <c r="X19" s="15" t="str">
        <f>IF(Sheet2!G19="","",Sheet2!G19&amp;"''")</f>
        <v/>
      </c>
      <c r="AA19" s="12"/>
    </row>
    <row r="20" spans="7:27" x14ac:dyDescent="0.25">
      <c r="G20" s="15" t="str">
        <f>IF(Sheet2!A20="","",Sheet2!A20)</f>
        <v/>
      </c>
      <c r="H20" s="18" t="str">
        <f>IF(Sheet2!O20="","",LEFT(Sheet2!O20, FIND(" ", Sheet2!O20)-1))</f>
        <v/>
      </c>
      <c r="I20" s="15" t="str">
        <f>IF(Sheet2!S20&lt;19,ROUND(Sheet2!I20,2)&amp;"'",IF(Sheet2!S20&lt;25,ROUND(Sheet2!J20,2)&amp;"'",IF(Sheet2!S20&lt;31,ROUND(Sheet2!K20,2)&amp;"'",IF(Sheet2!S20&lt;37,ROUND(Sheet2!L20,2)&amp;"'",""))))</f>
        <v/>
      </c>
      <c r="J20" s="13"/>
      <c r="K20" s="12"/>
      <c r="L20" s="15" t="str">
        <f>IF(Sheet2!D20="","",Sheet2!D20&amp;"''")</f>
        <v/>
      </c>
      <c r="M20" s="12"/>
      <c r="N20" s="19"/>
      <c r="O20" s="16" t="str">
        <f>IF(Sheet2!H20="","",ROUND(Sheet2!H20,2)&amp;"'")</f>
        <v/>
      </c>
      <c r="P20" s="18" t="str">
        <f>IF(Sheet2!E20="","",Sheet2!E20&amp;"''")</f>
        <v/>
      </c>
      <c r="Q20" s="12"/>
      <c r="T20" s="15" t="str">
        <f>IF(Sheet2!F20="","",Sheet2!F20&amp;"''")</f>
        <v/>
      </c>
      <c r="U20" s="12"/>
      <c r="X20" s="15" t="str">
        <f>IF(Sheet2!G20="","",Sheet2!G20&amp;"''")</f>
        <v/>
      </c>
      <c r="AA20" s="12"/>
    </row>
    <row r="21" spans="7:27" x14ac:dyDescent="0.25">
      <c r="G21" s="15" t="str">
        <f>IF(Sheet2!A21="","",Sheet2!A21)</f>
        <v/>
      </c>
      <c r="H21" s="18" t="str">
        <f>IF(Sheet2!O21="","",LEFT(Sheet2!O21, FIND(" ", Sheet2!O21)-1))</f>
        <v/>
      </c>
      <c r="I21" s="15" t="str">
        <f>IF(Sheet2!S21&lt;19,ROUND(Sheet2!I21,2)&amp;"'",IF(Sheet2!S21&lt;25,ROUND(Sheet2!J21,2)&amp;"'",IF(Sheet2!S21&lt;31,ROUND(Sheet2!K21,2)&amp;"'",IF(Sheet2!S21&lt;37,ROUND(Sheet2!L21,2)&amp;"'",""))))</f>
        <v/>
      </c>
      <c r="J21" s="13"/>
      <c r="K21" s="12"/>
      <c r="L21" s="15" t="str">
        <f>IF(Sheet2!D21="","",Sheet2!D21&amp;"''")</f>
        <v/>
      </c>
      <c r="M21" s="12"/>
      <c r="N21" s="19"/>
      <c r="O21" s="16" t="str">
        <f>IF(Sheet2!H21="","",ROUND(Sheet2!H21,2)&amp;"'")</f>
        <v/>
      </c>
      <c r="P21" s="18" t="str">
        <f>IF(Sheet2!E21="","",Sheet2!E21&amp;"''")</f>
        <v/>
      </c>
      <c r="Q21" s="12"/>
      <c r="T21" s="15" t="str">
        <f>IF(Sheet2!F21="","",Sheet2!F21&amp;"''")</f>
        <v/>
      </c>
      <c r="U21" s="12"/>
      <c r="X21" s="15" t="str">
        <f>IF(Sheet2!G21="","",Sheet2!G21&amp;"''")</f>
        <v/>
      </c>
      <c r="AA21" s="12"/>
    </row>
    <row r="22" spans="7:27" x14ac:dyDescent="0.25">
      <c r="G22" s="15" t="str">
        <f>IF(Sheet2!A22="","",Sheet2!A22)</f>
        <v/>
      </c>
      <c r="H22" s="18" t="str">
        <f>IF(Sheet2!O22="","",LEFT(Sheet2!O22, FIND(" ", Sheet2!O22)-1))</f>
        <v/>
      </c>
      <c r="I22" s="15" t="str">
        <f>IF(Sheet2!S22&lt;19,ROUND(Sheet2!I22,2)&amp;"'",IF(Sheet2!S22&lt;25,ROUND(Sheet2!J22,2)&amp;"'",IF(Sheet2!S22&lt;31,ROUND(Sheet2!K22,2)&amp;"'",IF(Sheet2!S22&lt;37,ROUND(Sheet2!L22,2)&amp;"'",""))))</f>
        <v/>
      </c>
      <c r="J22" s="13"/>
      <c r="K22" s="12"/>
      <c r="L22" s="15" t="str">
        <f>IF(Sheet2!D22="","",Sheet2!D22&amp;"''")</f>
        <v/>
      </c>
      <c r="M22" s="12"/>
      <c r="N22" s="19"/>
      <c r="O22" s="16" t="str">
        <f>IF(Sheet2!H22="","",ROUND(Sheet2!H22,2)&amp;"'")</f>
        <v/>
      </c>
      <c r="P22" s="18" t="str">
        <f>IF(Sheet2!E22="","",Sheet2!E22&amp;"''")</f>
        <v/>
      </c>
      <c r="Q22" s="12"/>
      <c r="T22" s="15" t="str">
        <f>IF(Sheet2!F22="","",Sheet2!F22&amp;"''")</f>
        <v/>
      </c>
      <c r="U22" s="12"/>
      <c r="X22" s="15" t="str">
        <f>IF(Sheet2!G22="","",Sheet2!G22&amp;"''")</f>
        <v/>
      </c>
      <c r="AA22" s="12"/>
    </row>
    <row r="23" spans="7:27" x14ac:dyDescent="0.25">
      <c r="G23" s="15" t="str">
        <f>IF(Sheet2!A23="","",Sheet2!A23)</f>
        <v/>
      </c>
      <c r="H23" s="18" t="str">
        <f>IF(Sheet2!O23="","",LEFT(Sheet2!O23, FIND(" ", Sheet2!O23)-1))</f>
        <v/>
      </c>
      <c r="I23" s="15" t="str">
        <f>IF(Sheet2!S23&lt;19,ROUND(Sheet2!I23,2)&amp;"'",IF(Sheet2!S23&lt;25,ROUND(Sheet2!J23,2)&amp;"'",IF(Sheet2!S23&lt;31,ROUND(Sheet2!K23,2)&amp;"'",IF(Sheet2!S23&lt;37,ROUND(Sheet2!L23,2)&amp;"'",""))))</f>
        <v/>
      </c>
      <c r="J23" s="13"/>
      <c r="K23" s="12"/>
      <c r="L23" s="15" t="str">
        <f>IF(Sheet2!D23="","",Sheet2!D23&amp;"''")</f>
        <v/>
      </c>
      <c r="M23" s="12"/>
      <c r="N23" s="19"/>
      <c r="O23" s="16" t="str">
        <f>IF(Sheet2!H23="","",ROUND(Sheet2!H23,2)&amp;"'")</f>
        <v/>
      </c>
      <c r="P23" s="18" t="str">
        <f>IF(Sheet2!E23="","",Sheet2!E23&amp;"''")</f>
        <v/>
      </c>
      <c r="Q23" s="12"/>
      <c r="T23" s="15" t="str">
        <f>IF(Sheet2!F23="","",Sheet2!F23&amp;"''")</f>
        <v/>
      </c>
      <c r="U23" s="12"/>
      <c r="X23" s="15" t="str">
        <f>IF(Sheet2!G23="","",Sheet2!G23&amp;"''")</f>
        <v/>
      </c>
      <c r="AA23" s="12"/>
    </row>
    <row r="24" spans="7:27" x14ac:dyDescent="0.25">
      <c r="G24" s="15" t="str">
        <f>IF(Sheet2!A24="","",Sheet2!A24)</f>
        <v/>
      </c>
      <c r="H24" s="18" t="str">
        <f>IF(Sheet2!O24="","",LEFT(Sheet2!O24, FIND(" ", Sheet2!O24)-1))</f>
        <v/>
      </c>
      <c r="I24" s="15" t="str">
        <f>IF(Sheet2!S24&lt;19,ROUND(Sheet2!I24,2)&amp;"'",IF(Sheet2!S24&lt;25,ROUND(Sheet2!J24,2)&amp;"'",IF(Sheet2!S24&lt;31,ROUND(Sheet2!K24,2)&amp;"'",IF(Sheet2!S24&lt;37,ROUND(Sheet2!L24,2)&amp;"'",""))))</f>
        <v/>
      </c>
      <c r="J24" s="13"/>
      <c r="K24" s="12"/>
      <c r="L24" s="15" t="str">
        <f>IF(Sheet2!D24="","",Sheet2!D24&amp;"''")</f>
        <v/>
      </c>
      <c r="M24" s="12"/>
      <c r="N24" s="19"/>
      <c r="O24" s="16" t="str">
        <f>IF(Sheet2!H24="","",ROUND(Sheet2!H24,2)&amp;"'")</f>
        <v/>
      </c>
      <c r="P24" s="18" t="str">
        <f>IF(Sheet2!E24="","",Sheet2!E24&amp;"''")</f>
        <v/>
      </c>
      <c r="Q24" s="12"/>
      <c r="T24" s="15" t="str">
        <f>IF(Sheet2!F24="","",Sheet2!F24&amp;"''")</f>
        <v/>
      </c>
      <c r="U24" s="12"/>
      <c r="X24" s="15" t="str">
        <f>IF(Sheet2!G24="","",Sheet2!G24&amp;"''")</f>
        <v/>
      </c>
      <c r="AA24" s="12"/>
    </row>
    <row r="25" spans="7:27" x14ac:dyDescent="0.25">
      <c r="G25" s="15" t="str">
        <f>IF(Sheet2!A25="","",Sheet2!A25)</f>
        <v/>
      </c>
      <c r="H25" s="18" t="str">
        <f>IF(Sheet2!O25="","",LEFT(Sheet2!O25, FIND(" ", Sheet2!O25)-1))</f>
        <v/>
      </c>
      <c r="I25" s="15" t="str">
        <f>IF(Sheet2!S25&lt;19,ROUND(Sheet2!I25,2)&amp;"'",IF(Sheet2!S25&lt;25,ROUND(Sheet2!J25,2)&amp;"'",IF(Sheet2!S25&lt;31,ROUND(Sheet2!K25,2)&amp;"'",IF(Sheet2!S25&lt;37,ROUND(Sheet2!L25,2)&amp;"'",""))))</f>
        <v/>
      </c>
      <c r="J25" s="13"/>
      <c r="K25" s="12"/>
      <c r="L25" s="15" t="str">
        <f>IF(Sheet2!D25="","",Sheet2!D25&amp;"''")</f>
        <v/>
      </c>
      <c r="M25" s="12"/>
      <c r="N25" s="19"/>
      <c r="O25" s="16" t="str">
        <f>IF(Sheet2!H25="","",ROUND(Sheet2!H25,2)&amp;"'")</f>
        <v/>
      </c>
      <c r="P25" s="18" t="str">
        <f>IF(Sheet2!E25="","",Sheet2!E25&amp;"''")</f>
        <v/>
      </c>
      <c r="Q25" s="12"/>
      <c r="T25" s="15" t="str">
        <f>IF(Sheet2!F25="","",Sheet2!F25&amp;"''")</f>
        <v/>
      </c>
      <c r="U25" s="12"/>
      <c r="X25" s="15" t="str">
        <f>IF(Sheet2!G25="","",Sheet2!G25&amp;"''")</f>
        <v/>
      </c>
      <c r="AA25" s="12"/>
    </row>
    <row r="26" spans="7:27" x14ac:dyDescent="0.25">
      <c r="G26" s="15" t="str">
        <f>IF(Sheet2!A26="","",Sheet2!A26)</f>
        <v/>
      </c>
      <c r="H26" s="18" t="str">
        <f>IF(Sheet2!O26="","",LEFT(Sheet2!O26, FIND(" ", Sheet2!O26)-1))</f>
        <v/>
      </c>
      <c r="I26" s="15" t="str">
        <f>IF(Sheet2!S26&lt;19,ROUND(Sheet2!I26,2)&amp;"'",IF(Sheet2!S26&lt;25,ROUND(Sheet2!J26,2)&amp;"'",IF(Sheet2!S26&lt;31,ROUND(Sheet2!K26,2)&amp;"'",IF(Sheet2!S26&lt;37,ROUND(Sheet2!L26,2)&amp;"'",""))))</f>
        <v/>
      </c>
      <c r="J26" s="13"/>
      <c r="K26" s="12"/>
      <c r="L26" s="15" t="str">
        <f>IF(Sheet2!D26="","",Sheet2!D26&amp;"''")</f>
        <v/>
      </c>
      <c r="M26" s="12"/>
      <c r="N26" s="19"/>
      <c r="O26" s="16" t="str">
        <f>IF(Sheet2!H26="","",ROUND(Sheet2!H26,2)&amp;"'")</f>
        <v/>
      </c>
      <c r="P26" s="18" t="str">
        <f>IF(Sheet2!E26="","",Sheet2!E26&amp;"''")</f>
        <v/>
      </c>
      <c r="Q26" s="12"/>
      <c r="T26" s="15" t="str">
        <f>IF(Sheet2!F26="","",Sheet2!F26&amp;"''")</f>
        <v/>
      </c>
      <c r="U26" s="12"/>
      <c r="X26" s="15" t="str">
        <f>IF(Sheet2!G26="","",Sheet2!G26&amp;"''")</f>
        <v/>
      </c>
      <c r="AA26" s="12"/>
    </row>
    <row r="27" spans="7:27" x14ac:dyDescent="0.25">
      <c r="G27" s="15" t="str">
        <f>IF(Sheet2!A27="","",Sheet2!A27)</f>
        <v/>
      </c>
      <c r="H27" s="18" t="str">
        <f>IF(Sheet2!O27="","",LEFT(Sheet2!O27, FIND(" ", Sheet2!O27)-1))</f>
        <v/>
      </c>
      <c r="I27" s="15" t="str">
        <f>IF(Sheet2!S27&lt;19,ROUND(Sheet2!I27,2)&amp;"'",IF(Sheet2!S27&lt;25,ROUND(Sheet2!J27,2)&amp;"'",IF(Sheet2!S27&lt;31,ROUND(Sheet2!K27,2)&amp;"'",IF(Sheet2!S27&lt;37,ROUND(Sheet2!L27,2)&amp;"'",""))))</f>
        <v/>
      </c>
      <c r="J27" s="13"/>
      <c r="K27" s="12"/>
      <c r="L27" s="15" t="str">
        <f>IF(Sheet2!D27="","",Sheet2!D27&amp;"''")</f>
        <v/>
      </c>
      <c r="M27" s="12"/>
      <c r="N27" s="19"/>
      <c r="O27" s="16" t="str">
        <f>IF(Sheet2!H27="","",ROUND(Sheet2!H27,2)&amp;"'")</f>
        <v/>
      </c>
      <c r="P27" s="18" t="str">
        <f>IF(Sheet2!E27="","",Sheet2!E27&amp;"''")</f>
        <v/>
      </c>
      <c r="Q27" s="12"/>
      <c r="T27" s="15" t="str">
        <f>IF(Sheet2!F27="","",Sheet2!F27&amp;"''")</f>
        <v/>
      </c>
      <c r="U27" s="12"/>
      <c r="X27" s="15" t="str">
        <f>IF(Sheet2!G27="","",Sheet2!G27&amp;"''")</f>
        <v/>
      </c>
      <c r="AA27" s="12"/>
    </row>
    <row r="28" spans="7:27" x14ac:dyDescent="0.25">
      <c r="G28" s="15" t="str">
        <f>IF(Sheet2!A28="","",Sheet2!A28)</f>
        <v/>
      </c>
      <c r="H28" s="18" t="str">
        <f>IF(Sheet2!O28="","",LEFT(Sheet2!O28, FIND(" ", Sheet2!O28)-1))</f>
        <v/>
      </c>
      <c r="I28" s="15" t="str">
        <f>IF(Sheet2!S28&lt;19,ROUND(Sheet2!I28,2)&amp;"'",IF(Sheet2!S28&lt;25,ROUND(Sheet2!J28,2)&amp;"'",IF(Sheet2!S28&lt;31,ROUND(Sheet2!K28,2)&amp;"'",IF(Sheet2!S28&lt;37,ROUND(Sheet2!L28,2)&amp;"'",""))))</f>
        <v/>
      </c>
      <c r="J28" s="13"/>
      <c r="K28" s="12"/>
      <c r="L28" s="15" t="str">
        <f>IF(Sheet2!D28="","",Sheet2!D28&amp;"''")</f>
        <v/>
      </c>
      <c r="M28" s="12"/>
      <c r="N28" s="19"/>
      <c r="O28" s="16" t="str">
        <f>IF(Sheet2!H28="","",ROUND(Sheet2!H28,2)&amp;"'")</f>
        <v/>
      </c>
      <c r="P28" s="18" t="str">
        <f>IF(Sheet2!E28="","",Sheet2!E28&amp;"''")</f>
        <v/>
      </c>
      <c r="Q28" s="12"/>
      <c r="T28" s="15" t="str">
        <f>IF(Sheet2!F28="","",Sheet2!F28&amp;"''")</f>
        <v/>
      </c>
      <c r="U28" s="12"/>
      <c r="X28" s="15" t="str">
        <f>IF(Sheet2!G28="","",Sheet2!G28&amp;"''")</f>
        <v/>
      </c>
      <c r="AA28" s="12"/>
    </row>
    <row r="29" spans="7:27" x14ac:dyDescent="0.25">
      <c r="G29" s="15" t="str">
        <f>IF(Sheet2!A29="","",Sheet2!A29)</f>
        <v/>
      </c>
      <c r="H29" s="18" t="str">
        <f>IF(Sheet2!O29="","",LEFT(Sheet2!O29, FIND(" ", Sheet2!O29)-1))</f>
        <v/>
      </c>
      <c r="I29" s="15" t="str">
        <f>IF(Sheet2!S29&lt;19,ROUND(Sheet2!I29,2)&amp;"'",IF(Sheet2!S29&lt;25,ROUND(Sheet2!J29,2)&amp;"'",IF(Sheet2!S29&lt;31,ROUND(Sheet2!K29,2)&amp;"'",IF(Sheet2!S29&lt;37,ROUND(Sheet2!L29,2)&amp;"'",""))))</f>
        <v/>
      </c>
      <c r="J29" s="13"/>
      <c r="K29" s="12"/>
      <c r="L29" s="15" t="str">
        <f>IF(Sheet2!D29="","",Sheet2!D29&amp;"''")</f>
        <v/>
      </c>
      <c r="M29" s="12"/>
      <c r="N29" s="19"/>
      <c r="O29" s="16" t="str">
        <f>IF(Sheet2!H29="","",ROUND(Sheet2!H29,2)&amp;"'")</f>
        <v/>
      </c>
      <c r="P29" s="18" t="str">
        <f>IF(Sheet2!E29="","",Sheet2!E29&amp;"''")</f>
        <v/>
      </c>
      <c r="Q29" s="12"/>
      <c r="T29" s="15" t="str">
        <f>IF(Sheet2!F29="","",Sheet2!F29&amp;"''")</f>
        <v/>
      </c>
      <c r="U29" s="12"/>
      <c r="X29" s="15" t="str">
        <f>IF(Sheet2!G29="","",Sheet2!G29&amp;"''")</f>
        <v/>
      </c>
      <c r="AA29" s="12"/>
    </row>
    <row r="30" spans="7:27" x14ac:dyDescent="0.25">
      <c r="G30" s="15" t="str">
        <f>IF(Sheet2!A30="","",Sheet2!A30)</f>
        <v/>
      </c>
      <c r="H30" s="18" t="str">
        <f>IF(Sheet2!O30="","",LEFT(Sheet2!O30, FIND(" ", Sheet2!O30)-1))</f>
        <v/>
      </c>
      <c r="I30" s="15" t="str">
        <f>IF(Sheet2!S30&lt;19,ROUND(Sheet2!I30,2)&amp;"'",IF(Sheet2!S30&lt;25,ROUND(Sheet2!J30,2)&amp;"'",IF(Sheet2!S30&lt;31,ROUND(Sheet2!K30,2)&amp;"'",IF(Sheet2!S30&lt;37,ROUND(Sheet2!L30,2)&amp;"'",""))))</f>
        <v/>
      </c>
      <c r="J30" s="13"/>
      <c r="K30" s="12"/>
      <c r="L30" s="15" t="str">
        <f>IF(Sheet2!D30="","",Sheet2!D30&amp;"''")</f>
        <v/>
      </c>
      <c r="M30" s="12"/>
      <c r="N30" s="19"/>
      <c r="O30" s="16" t="str">
        <f>IF(Sheet2!H30="","",ROUND(Sheet2!H30,2)&amp;"'")</f>
        <v/>
      </c>
      <c r="P30" s="18" t="str">
        <f>IF(Sheet2!E30="","",Sheet2!E30&amp;"''")</f>
        <v/>
      </c>
      <c r="Q30" s="12"/>
      <c r="T30" s="15" t="str">
        <f>IF(Sheet2!F30="","",Sheet2!F30&amp;"''")</f>
        <v/>
      </c>
      <c r="U30" s="12"/>
      <c r="X30" s="15" t="str">
        <f>IF(Sheet2!G30="","",Sheet2!G30&amp;"''")</f>
        <v/>
      </c>
      <c r="AA30" s="12"/>
    </row>
    <row r="31" spans="7:27" x14ac:dyDescent="0.25">
      <c r="G31" s="15" t="str">
        <f>IF(Sheet2!A31="","",Sheet2!A31)</f>
        <v/>
      </c>
      <c r="H31" s="18" t="str">
        <f>IF(Sheet2!O31="","",LEFT(Sheet2!O31, FIND(" ", Sheet2!O31)-1))</f>
        <v/>
      </c>
      <c r="I31" s="15" t="str">
        <f>IF(Sheet2!S31&lt;19,ROUND(Sheet2!I31,2)&amp;"'",IF(Sheet2!S31&lt;25,ROUND(Sheet2!J31,2)&amp;"'",IF(Sheet2!S31&lt;31,ROUND(Sheet2!K31,2)&amp;"'",IF(Sheet2!S31&lt;37,ROUND(Sheet2!L31,2)&amp;"'",""))))</f>
        <v/>
      </c>
      <c r="J31" s="13"/>
      <c r="K31" s="12"/>
      <c r="L31" s="15" t="str">
        <f>IF(Sheet2!D31="","",Sheet2!D31&amp;"''")</f>
        <v/>
      </c>
      <c r="M31" s="12"/>
      <c r="N31" s="19"/>
      <c r="O31" s="16" t="str">
        <f>IF(Sheet2!H31="","",ROUND(Sheet2!H31,2)&amp;"'")</f>
        <v/>
      </c>
      <c r="P31" s="18" t="str">
        <f>IF(Sheet2!E31="","",Sheet2!E31&amp;"''")</f>
        <v/>
      </c>
      <c r="Q31" s="12"/>
      <c r="T31" s="15" t="str">
        <f>IF(Sheet2!F31="","",Sheet2!F31&amp;"''")</f>
        <v/>
      </c>
      <c r="U31" s="12"/>
      <c r="X31" s="15" t="str">
        <f>IF(Sheet2!G31="","",Sheet2!G31&amp;"''")</f>
        <v/>
      </c>
      <c r="AA31" s="12"/>
    </row>
    <row r="32" spans="7:27" x14ac:dyDescent="0.25">
      <c r="G32" s="15" t="str">
        <f>IF(Sheet2!A32="","",Sheet2!A32)</f>
        <v/>
      </c>
      <c r="H32" s="18" t="str">
        <f>IF(Sheet2!O32="","",LEFT(Sheet2!O32, FIND(" ", Sheet2!O32)-1))</f>
        <v/>
      </c>
      <c r="I32" s="15" t="str">
        <f>IF(Sheet2!S32&lt;19,ROUND(Sheet2!I32,2)&amp;"'",IF(Sheet2!S32&lt;25,ROUND(Sheet2!J32,2)&amp;"'",IF(Sheet2!S32&lt;31,ROUND(Sheet2!K32,2)&amp;"'",IF(Sheet2!S32&lt;37,ROUND(Sheet2!L32,2)&amp;"'",""))))</f>
        <v/>
      </c>
      <c r="J32" s="13"/>
      <c r="K32" s="12"/>
      <c r="L32" s="15" t="str">
        <f>IF(Sheet2!D32="","",Sheet2!D32&amp;"''")</f>
        <v/>
      </c>
      <c r="M32" s="12"/>
      <c r="N32" s="19"/>
      <c r="O32" s="16" t="str">
        <f>IF(Sheet2!H32="","",ROUND(Sheet2!H32,2)&amp;"'")</f>
        <v/>
      </c>
      <c r="P32" s="18" t="str">
        <f>IF(Sheet2!E32="","",Sheet2!E32&amp;"''")</f>
        <v/>
      </c>
      <c r="Q32" s="12"/>
      <c r="T32" s="15" t="str">
        <f>IF(Sheet2!F32="","",Sheet2!F32&amp;"''")</f>
        <v/>
      </c>
      <c r="U32" s="12"/>
      <c r="X32" s="15" t="str">
        <f>IF(Sheet2!G32="","",Sheet2!G32&amp;"''")</f>
        <v/>
      </c>
      <c r="Y32" s="12"/>
      <c r="AA32" s="12"/>
    </row>
    <row r="33" spans="7:27" x14ac:dyDescent="0.25">
      <c r="G33" s="15" t="str">
        <f>IF(Sheet2!A33="","",Sheet2!A33)</f>
        <v/>
      </c>
      <c r="H33" s="18" t="str">
        <f>IF(Sheet2!O33="","",LEFT(Sheet2!O33, FIND(" ", Sheet2!O33)-1))</f>
        <v/>
      </c>
      <c r="I33" s="15" t="str">
        <f>IF(Sheet2!S33&lt;19,ROUND(Sheet2!I33,2)&amp;"'",IF(Sheet2!S33&lt;25,ROUND(Sheet2!J33,2)&amp;"'",IF(Sheet2!S33&lt;31,ROUND(Sheet2!K33,2)&amp;"'",IF(Sheet2!S33&lt;37,ROUND(Sheet2!L33,2)&amp;"'",""))))</f>
        <v/>
      </c>
      <c r="J33" s="13"/>
      <c r="K33" s="12"/>
      <c r="L33" s="15" t="str">
        <f>IF(Sheet2!D33="","",Sheet2!D33&amp;"''")</f>
        <v/>
      </c>
      <c r="M33" s="12"/>
      <c r="N33" s="19"/>
      <c r="O33" s="16" t="str">
        <f>IF(Sheet2!H33="","",ROUND(Sheet2!H33,2)&amp;"'")</f>
        <v/>
      </c>
      <c r="P33" s="18" t="str">
        <f>IF(Sheet2!E33="","",Sheet2!E33&amp;"''")</f>
        <v/>
      </c>
      <c r="Q33" s="12"/>
      <c r="T33" s="15" t="str">
        <f>IF(Sheet2!F33="","",Sheet2!F33&amp;"''")</f>
        <v/>
      </c>
      <c r="U33" s="12"/>
      <c r="X33" s="15" t="str">
        <f>IF(Sheet2!G33="","",Sheet2!G33&amp;"''")</f>
        <v/>
      </c>
      <c r="Y33" s="12"/>
      <c r="AA33" s="12"/>
    </row>
    <row r="34" spans="7:27" x14ac:dyDescent="0.25">
      <c r="G34" s="15" t="str">
        <f>IF(Sheet2!A34="","",Sheet2!A34)</f>
        <v/>
      </c>
      <c r="H34" s="18" t="str">
        <f>IF(Sheet2!O34="","",LEFT(Sheet2!O34, FIND(" ", Sheet2!O34)-1))</f>
        <v/>
      </c>
      <c r="I34" s="15" t="str">
        <f>IF(Sheet2!S34&lt;19,ROUND(Sheet2!I34,2)&amp;"'",IF(Sheet2!S34&lt;25,ROUND(Sheet2!J34,2)&amp;"'",IF(Sheet2!S34&lt;31,ROUND(Sheet2!K34,2)&amp;"'",IF(Sheet2!S34&lt;37,ROUND(Sheet2!L34,2)&amp;"'",""))))</f>
        <v/>
      </c>
      <c r="J34" s="13"/>
      <c r="K34" s="12"/>
      <c r="L34" s="15" t="str">
        <f>IF(Sheet2!D34="","",Sheet2!D34&amp;"''")</f>
        <v/>
      </c>
      <c r="M34" s="12"/>
      <c r="N34" s="19"/>
      <c r="O34" s="16" t="str">
        <f>IF(Sheet2!H34="","",ROUND(Sheet2!H34,2)&amp;"'")</f>
        <v/>
      </c>
      <c r="P34" s="18" t="str">
        <f>IF(Sheet2!E34="","",Sheet2!E34&amp;"''")</f>
        <v/>
      </c>
      <c r="Q34" s="12"/>
      <c r="T34" s="15" t="str">
        <f>IF(Sheet2!F34="","",Sheet2!F34&amp;"''")</f>
        <v/>
      </c>
      <c r="U34" s="12"/>
      <c r="X34" s="15" t="str">
        <f>IF(Sheet2!G34="","",Sheet2!G34&amp;"''")</f>
        <v/>
      </c>
      <c r="Y34" s="12"/>
      <c r="AA34" s="12"/>
    </row>
    <row r="35" spans="7:27" x14ac:dyDescent="0.25">
      <c r="G35" s="15" t="str">
        <f>IF(Sheet2!A35="","",Sheet2!A35)</f>
        <v/>
      </c>
      <c r="H35" s="18" t="str">
        <f>IF(Sheet2!O35="","",LEFT(Sheet2!O35, FIND(" ", Sheet2!O35)-1))</f>
        <v/>
      </c>
      <c r="I35" s="15" t="str">
        <f>IF(Sheet2!S35&lt;19,ROUND(Sheet2!I35,2)&amp;"'",IF(Sheet2!S35&lt;25,ROUND(Sheet2!J35,2)&amp;"'",IF(Sheet2!S35&lt;31,ROUND(Sheet2!K35,2)&amp;"'",IF(Sheet2!S35&lt;37,ROUND(Sheet2!L35,2)&amp;"'",""))))</f>
        <v/>
      </c>
      <c r="J35" s="13"/>
      <c r="K35" s="12"/>
      <c r="L35" s="15" t="str">
        <f>IF(Sheet2!D35="","",Sheet2!D35&amp;"''")</f>
        <v/>
      </c>
      <c r="M35" s="12"/>
      <c r="N35" s="19"/>
      <c r="O35" s="16" t="str">
        <f>IF(Sheet2!H35="","",ROUND(Sheet2!H35,2)&amp;"'")</f>
        <v/>
      </c>
      <c r="P35" s="18" t="str">
        <f>IF(Sheet2!E35="","",Sheet2!E35&amp;"''")</f>
        <v/>
      </c>
      <c r="Q35" s="12"/>
      <c r="T35" s="15" t="str">
        <f>IF(Sheet2!F35="","",Sheet2!F35&amp;"''")</f>
        <v/>
      </c>
      <c r="U35" s="12"/>
      <c r="X35" s="15" t="str">
        <f>IF(Sheet2!G35="","",Sheet2!G35&amp;"''")</f>
        <v/>
      </c>
      <c r="Y35" s="12"/>
      <c r="AA35" s="12"/>
    </row>
    <row r="36" spans="7:27" x14ac:dyDescent="0.25">
      <c r="G36" s="15" t="str">
        <f>IF(Sheet2!A36="","",Sheet2!A36)</f>
        <v/>
      </c>
      <c r="H36" s="18" t="str">
        <f>IF(Sheet2!O36="","",LEFT(Sheet2!O36, FIND(" ", Sheet2!O36)-1))</f>
        <v/>
      </c>
      <c r="I36" s="15" t="str">
        <f>IF(Sheet2!S36&lt;19,ROUND(Sheet2!I36,2)&amp;"'",IF(Sheet2!S36&lt;25,ROUND(Sheet2!J36,2)&amp;"'",IF(Sheet2!S36&lt;31,ROUND(Sheet2!K36,2)&amp;"'",IF(Sheet2!S36&lt;37,ROUND(Sheet2!L36,2)&amp;"'",""))))</f>
        <v/>
      </c>
      <c r="J36" s="13"/>
      <c r="K36" s="12"/>
      <c r="L36" s="15" t="str">
        <f>IF(Sheet2!D36="","",Sheet2!D36&amp;"''")</f>
        <v/>
      </c>
      <c r="M36" s="12"/>
      <c r="N36" s="19"/>
      <c r="O36" s="16" t="str">
        <f>IF(Sheet2!H36="","",ROUND(Sheet2!H36,2)&amp;"'")</f>
        <v/>
      </c>
      <c r="P36" s="18" t="str">
        <f>IF(Sheet2!E36="","",Sheet2!E36&amp;"''")</f>
        <v/>
      </c>
      <c r="Q36" s="12"/>
      <c r="T36" s="15" t="str">
        <f>IF(Sheet2!F36="","",Sheet2!F36&amp;"''")</f>
        <v/>
      </c>
      <c r="U36" s="12"/>
      <c r="X36" s="15" t="str">
        <f>IF(Sheet2!G36="","",Sheet2!G36&amp;"''")</f>
        <v/>
      </c>
      <c r="Y36" s="12"/>
      <c r="AA36" s="12"/>
    </row>
    <row r="37" spans="7:27" x14ac:dyDescent="0.25">
      <c r="G37" s="15" t="str">
        <f>IF(Sheet2!A37="","",Sheet2!A37)</f>
        <v/>
      </c>
      <c r="H37" s="18" t="str">
        <f>IF(Sheet2!O37="","",LEFT(Sheet2!O37, FIND(" ", Sheet2!O37)-1))</f>
        <v/>
      </c>
      <c r="I37" s="15" t="str">
        <f>IF(Sheet2!S37&lt;19,ROUND(Sheet2!I37,2)&amp;"'",IF(Sheet2!S37&lt;25,ROUND(Sheet2!J37,2)&amp;"'",IF(Sheet2!S37&lt;31,ROUND(Sheet2!K37,2)&amp;"'",IF(Sheet2!S37&lt;37,ROUND(Sheet2!L37,2)&amp;"'",""))))</f>
        <v/>
      </c>
      <c r="J37" s="13"/>
      <c r="K37" s="12"/>
      <c r="L37" s="15" t="str">
        <f>IF(Sheet2!D37="","",Sheet2!D37&amp;"''")</f>
        <v/>
      </c>
      <c r="M37" s="12"/>
      <c r="N37" s="19"/>
      <c r="O37" s="16" t="str">
        <f>IF(Sheet2!H37="","",ROUND(Sheet2!H37,2)&amp;"'")</f>
        <v/>
      </c>
      <c r="P37" s="18" t="str">
        <f>IF(Sheet2!E37="","",Sheet2!E37&amp;"''")</f>
        <v/>
      </c>
      <c r="Q37" s="12"/>
      <c r="T37" s="15" t="str">
        <f>IF(Sheet2!F37="","",Sheet2!F37&amp;"''")</f>
        <v/>
      </c>
      <c r="U37" s="12"/>
      <c r="X37" s="15" t="str">
        <f>IF(Sheet2!G37="","",Sheet2!G37&amp;"''")</f>
        <v/>
      </c>
      <c r="Y37" s="12"/>
      <c r="AA37" s="12"/>
    </row>
    <row r="38" spans="7:27" x14ac:dyDescent="0.25">
      <c r="G38" s="15" t="str">
        <f>IF(Sheet2!A38="","",Sheet2!A38)</f>
        <v/>
      </c>
      <c r="H38" s="18" t="str">
        <f>IF(Sheet2!O38="","",LEFT(Sheet2!O38, FIND(" ", Sheet2!O38)-1))</f>
        <v/>
      </c>
      <c r="I38" s="15" t="str">
        <f>IF(Sheet2!S38&lt;19,ROUND(Sheet2!I38,2)&amp;"'",IF(Sheet2!S38&lt;25,ROUND(Sheet2!J38,2)&amp;"'",IF(Sheet2!S38&lt;31,ROUND(Sheet2!K38,2)&amp;"'",IF(Sheet2!S38&lt;37,ROUND(Sheet2!L38,2)&amp;"'",""))))</f>
        <v/>
      </c>
      <c r="J38" s="13"/>
      <c r="K38" s="12"/>
      <c r="L38" s="15" t="str">
        <f>IF(Sheet2!D38="","",Sheet2!D38&amp;"''")</f>
        <v/>
      </c>
      <c r="M38" s="12"/>
      <c r="N38" s="19"/>
      <c r="O38" s="16" t="str">
        <f>IF(Sheet2!H38="","",ROUND(Sheet2!H38,2)&amp;"'")</f>
        <v/>
      </c>
      <c r="P38" s="18" t="str">
        <f>IF(Sheet2!E38="","",Sheet2!E38&amp;"''")</f>
        <v/>
      </c>
      <c r="Q38" s="12"/>
      <c r="T38" s="15" t="str">
        <f>IF(Sheet2!F38="","",Sheet2!F38&amp;"''")</f>
        <v/>
      </c>
      <c r="U38" s="12"/>
      <c r="X38" s="15" t="str">
        <f>IF(Sheet2!G38="","",Sheet2!G38&amp;"''")</f>
        <v/>
      </c>
      <c r="Y38" s="12"/>
      <c r="AA38" s="12"/>
    </row>
    <row r="39" spans="7:27" x14ac:dyDescent="0.25">
      <c r="G39" s="15" t="str">
        <f>IF(Sheet2!A39="","",Sheet2!A39)</f>
        <v/>
      </c>
      <c r="H39" s="18" t="str">
        <f>IF(Sheet2!O39="","",LEFT(Sheet2!O39, FIND(" ", Sheet2!O39)-1))</f>
        <v/>
      </c>
      <c r="I39" s="15" t="str">
        <f>IF(Sheet2!S39&lt;19,ROUND(Sheet2!I39,2)&amp;"'",IF(Sheet2!S39&lt;25,ROUND(Sheet2!J39,2)&amp;"'",IF(Sheet2!S39&lt;31,ROUND(Sheet2!K39,2)&amp;"'",IF(Sheet2!S39&lt;37,ROUND(Sheet2!L39,2)&amp;"'",""))))</f>
        <v/>
      </c>
      <c r="J39" s="13"/>
      <c r="K39" s="12"/>
      <c r="L39" s="15" t="str">
        <f>IF(Sheet2!D39="","",Sheet2!D39&amp;"''")</f>
        <v/>
      </c>
      <c r="M39" s="12"/>
      <c r="N39" s="19"/>
      <c r="O39" s="16" t="str">
        <f>IF(Sheet2!H39="","",ROUND(Sheet2!H39,2)&amp;"'")</f>
        <v/>
      </c>
      <c r="P39" s="18" t="str">
        <f>IF(Sheet2!E39="","",Sheet2!E39&amp;"''")</f>
        <v/>
      </c>
      <c r="Q39" s="12"/>
      <c r="T39" s="15" t="str">
        <f>IF(Sheet2!F39="","",Sheet2!F39&amp;"''")</f>
        <v/>
      </c>
      <c r="U39" s="12"/>
      <c r="X39" s="15" t="str">
        <f>IF(Sheet2!G39="","",Sheet2!G39&amp;"''")</f>
        <v/>
      </c>
      <c r="Y39" s="12"/>
      <c r="AA39" s="12"/>
    </row>
    <row r="40" spans="7:27" x14ac:dyDescent="0.25">
      <c r="G40" s="15" t="str">
        <f>IF(Sheet2!A40="","",Sheet2!A40)</f>
        <v/>
      </c>
      <c r="H40" s="18" t="str">
        <f>IF(Sheet2!O40="","",LEFT(Sheet2!O40, FIND(" ", Sheet2!O40)-1))</f>
        <v/>
      </c>
      <c r="I40" s="15" t="str">
        <f>IF(Sheet2!S40&lt;19,ROUND(Sheet2!I40,2)&amp;"'",IF(Sheet2!S40&lt;25,ROUND(Sheet2!J40,2)&amp;"'",IF(Sheet2!S40&lt;31,ROUND(Sheet2!K40,2)&amp;"'",IF(Sheet2!S40&lt;37,ROUND(Sheet2!L40,2)&amp;"'",""))))</f>
        <v/>
      </c>
      <c r="J40" s="13"/>
      <c r="K40" s="12"/>
      <c r="L40" s="15" t="str">
        <f>IF(Sheet2!D40="","",Sheet2!D40&amp;"''")</f>
        <v/>
      </c>
      <c r="M40" s="12"/>
      <c r="N40" s="19"/>
      <c r="O40" s="16" t="str">
        <f>IF(Sheet2!H40="","",ROUND(Sheet2!H40,2)&amp;"'")</f>
        <v/>
      </c>
      <c r="P40" s="18" t="str">
        <f>IF(Sheet2!E40="","",Sheet2!E40&amp;"''")</f>
        <v/>
      </c>
      <c r="Q40" s="12"/>
      <c r="T40" s="15" t="str">
        <f>IF(Sheet2!F40="","",Sheet2!F40&amp;"''")</f>
        <v/>
      </c>
      <c r="U40" s="12"/>
      <c r="X40" s="15" t="str">
        <f>IF(Sheet2!G40="","",Sheet2!G40&amp;"''")</f>
        <v/>
      </c>
      <c r="Y40" s="12"/>
      <c r="AA40" s="12"/>
    </row>
    <row r="41" spans="7:27" x14ac:dyDescent="0.25">
      <c r="G41" s="15" t="str">
        <f>IF(Sheet2!A41="","",Sheet2!A41)</f>
        <v/>
      </c>
      <c r="H41" s="18" t="str">
        <f>IF(Sheet2!O41="","",LEFT(Sheet2!O41, FIND(" ", Sheet2!O41)-1))</f>
        <v/>
      </c>
      <c r="I41" s="15" t="str">
        <f>IF(Sheet2!S41&lt;19,ROUND(Sheet2!I41,2)&amp;"'",IF(Sheet2!S41&lt;25,ROUND(Sheet2!J41,2)&amp;"'",IF(Sheet2!S41&lt;31,ROUND(Sheet2!K41,2)&amp;"'",IF(Sheet2!S41&lt;37,ROUND(Sheet2!L41,2)&amp;"'",""))))</f>
        <v/>
      </c>
      <c r="J41" s="13"/>
      <c r="K41" s="12"/>
      <c r="L41" s="15" t="str">
        <f>IF(Sheet2!D41="","",Sheet2!D41&amp;"''")</f>
        <v/>
      </c>
      <c r="M41" s="12"/>
      <c r="N41" s="19"/>
      <c r="O41" s="16" t="str">
        <f>IF(Sheet2!H41="","",ROUND(Sheet2!H41,2)&amp;"'")</f>
        <v/>
      </c>
      <c r="P41" s="18" t="str">
        <f>IF(Sheet2!E41="","",Sheet2!E41&amp;"''")</f>
        <v/>
      </c>
      <c r="Q41" s="12"/>
      <c r="T41" s="15" t="str">
        <f>IF(Sheet2!F41="","",Sheet2!F41&amp;"''")</f>
        <v/>
      </c>
      <c r="U41" s="12"/>
      <c r="X41" s="15" t="str">
        <f>IF(Sheet2!G41="","",Sheet2!G41&amp;"''")</f>
        <v/>
      </c>
      <c r="Y41" s="12"/>
      <c r="AA41" s="12"/>
    </row>
    <row r="42" spans="7:27" x14ac:dyDescent="0.25">
      <c r="G42" s="15" t="str">
        <f>IF(Sheet2!A42="","",Sheet2!A42)</f>
        <v/>
      </c>
      <c r="H42" s="18" t="str">
        <f>IF(Sheet2!O42="","",LEFT(Sheet2!O42, FIND(" ", Sheet2!O42)-1))</f>
        <v/>
      </c>
      <c r="I42" s="15" t="str">
        <f>IF(Sheet2!S42&lt;19,ROUND(Sheet2!I42,2)&amp;"'",IF(Sheet2!S42&lt;25,ROUND(Sheet2!J42,2)&amp;"'",IF(Sheet2!S42&lt;31,ROUND(Sheet2!K42,2)&amp;"'",IF(Sheet2!S42&lt;37,ROUND(Sheet2!L42,2)&amp;"'",""))))</f>
        <v/>
      </c>
      <c r="J42" s="13"/>
      <c r="K42" s="12"/>
      <c r="L42" s="15" t="str">
        <f>IF(Sheet2!D42="","",Sheet2!D42&amp;"''")</f>
        <v/>
      </c>
      <c r="M42" s="12"/>
      <c r="N42" s="19"/>
      <c r="O42" s="16" t="str">
        <f>IF(Sheet2!H42="","",ROUND(Sheet2!H42,2)&amp;"'")</f>
        <v/>
      </c>
      <c r="P42" s="18" t="str">
        <f>IF(Sheet2!E42="","",Sheet2!E42&amp;"''")</f>
        <v/>
      </c>
      <c r="Q42" s="12"/>
      <c r="T42" s="15" t="str">
        <f>IF(Sheet2!F42="","",Sheet2!F42&amp;"''")</f>
        <v/>
      </c>
      <c r="U42" s="12"/>
      <c r="X42" s="15" t="str">
        <f>IF(Sheet2!G42="","",Sheet2!G42&amp;"''")</f>
        <v/>
      </c>
      <c r="Y42" s="12"/>
      <c r="AA42" s="12"/>
    </row>
    <row r="43" spans="7:27" x14ac:dyDescent="0.25">
      <c r="G43" s="15" t="str">
        <f>IF(Sheet2!A43="","",Sheet2!A43)</f>
        <v/>
      </c>
      <c r="H43" s="18" t="str">
        <f>IF(Sheet2!O43="","",LEFT(Sheet2!O43, FIND(" ", Sheet2!O43)-1))</f>
        <v/>
      </c>
      <c r="I43" s="15" t="str">
        <f>IF(Sheet2!S43&lt;19,ROUND(Sheet2!I43,2)&amp;"'",IF(Sheet2!S43&lt;25,ROUND(Sheet2!J43,2)&amp;"'",IF(Sheet2!S43&lt;31,ROUND(Sheet2!K43,2)&amp;"'",IF(Sheet2!S43&lt;37,ROUND(Sheet2!L43,2)&amp;"'",""))))</f>
        <v/>
      </c>
      <c r="J43" s="13"/>
      <c r="K43" s="12"/>
      <c r="L43" s="15" t="str">
        <f>IF(Sheet2!D43="","",Sheet2!D43&amp;"''")</f>
        <v/>
      </c>
      <c r="M43" s="12"/>
      <c r="N43" s="19"/>
      <c r="O43" s="16" t="str">
        <f>IF(Sheet2!H43="","",ROUND(Sheet2!H43,2)&amp;"'")</f>
        <v/>
      </c>
      <c r="P43" s="18" t="str">
        <f>IF(Sheet2!E43="","",Sheet2!E43&amp;"''")</f>
        <v/>
      </c>
      <c r="Q43" s="12"/>
      <c r="T43" s="15" t="str">
        <f>IF(Sheet2!F43="","",Sheet2!F43&amp;"''")</f>
        <v/>
      </c>
      <c r="U43" s="12"/>
      <c r="X43" s="15" t="str">
        <f>IF(Sheet2!G43="","",Sheet2!G43&amp;"''")</f>
        <v/>
      </c>
      <c r="Y43" s="12"/>
      <c r="AA43" s="12"/>
    </row>
    <row r="44" spans="7:27" x14ac:dyDescent="0.25">
      <c r="G44" s="15" t="str">
        <f>IF(Sheet2!A44="","",Sheet2!A44)</f>
        <v/>
      </c>
      <c r="H44" s="18" t="str">
        <f>IF(Sheet2!O44="","",LEFT(Sheet2!O44, FIND(" ", Sheet2!O44)-1))</f>
        <v/>
      </c>
      <c r="I44" s="15" t="str">
        <f>IF(Sheet2!S44&lt;19,ROUND(Sheet2!I44,2)&amp;"'",IF(Sheet2!S44&lt;25,ROUND(Sheet2!J44,2)&amp;"'",IF(Sheet2!S44&lt;31,ROUND(Sheet2!K44,2)&amp;"'",IF(Sheet2!S44&lt;37,ROUND(Sheet2!L44,2)&amp;"'",""))))</f>
        <v/>
      </c>
      <c r="J44" s="13"/>
      <c r="K44" s="12"/>
      <c r="L44" s="15" t="str">
        <f>IF(Sheet2!D44="","",Sheet2!D44&amp;"''")</f>
        <v/>
      </c>
      <c r="M44" s="12"/>
      <c r="N44" s="19"/>
      <c r="O44" s="16" t="str">
        <f>IF(Sheet2!H44="","",ROUND(Sheet2!H44,2)&amp;"'")</f>
        <v/>
      </c>
      <c r="P44" s="18" t="str">
        <f>IF(Sheet2!E44="","",Sheet2!E44&amp;"''")</f>
        <v/>
      </c>
      <c r="Q44" s="12"/>
      <c r="T44" s="15" t="str">
        <f>IF(Sheet2!F44="","",Sheet2!F44&amp;"''")</f>
        <v/>
      </c>
      <c r="U44" s="12"/>
      <c r="X44" s="15" t="str">
        <f>IF(Sheet2!G44="","",Sheet2!G44&amp;"''")</f>
        <v/>
      </c>
      <c r="Y44" s="12"/>
      <c r="AA44" s="12"/>
    </row>
    <row r="45" spans="7:27" x14ac:dyDescent="0.25">
      <c r="G45" s="15" t="str">
        <f>IF(Sheet2!A45="","",Sheet2!A45)</f>
        <v/>
      </c>
      <c r="H45" s="18" t="str">
        <f>IF(Sheet2!O45="","",LEFT(Sheet2!O45, FIND(" ", Sheet2!O45)-1))</f>
        <v/>
      </c>
      <c r="I45" s="15" t="str">
        <f>IF(Sheet2!S45&lt;19,ROUND(Sheet2!I45,2)&amp;"'",IF(Sheet2!S45&lt;25,ROUND(Sheet2!J45,2)&amp;"'",IF(Sheet2!S45&lt;31,ROUND(Sheet2!K45,2)&amp;"'",IF(Sheet2!S45&lt;37,ROUND(Sheet2!L45,2)&amp;"'",""))))</f>
        <v/>
      </c>
      <c r="J45" s="13"/>
      <c r="K45" s="12"/>
      <c r="L45" s="15" t="str">
        <f>IF(Sheet2!D45="","",Sheet2!D45&amp;"''")</f>
        <v/>
      </c>
      <c r="M45" s="12"/>
      <c r="N45" s="19"/>
      <c r="O45" s="16" t="str">
        <f>IF(Sheet2!H45="","",ROUND(Sheet2!H45,2)&amp;"'")</f>
        <v/>
      </c>
      <c r="P45" s="18" t="str">
        <f>IF(Sheet2!E45="","",Sheet2!E45&amp;"''")</f>
        <v/>
      </c>
      <c r="Q45" s="12"/>
      <c r="T45" s="15" t="str">
        <f>IF(Sheet2!F45="","",Sheet2!F45&amp;"''")</f>
        <v/>
      </c>
      <c r="U45" s="12"/>
      <c r="X45" s="15" t="str">
        <f>IF(Sheet2!G45="","",Sheet2!G45&amp;"''")</f>
        <v/>
      </c>
      <c r="Y45" s="12"/>
      <c r="AA45" s="12"/>
    </row>
    <row r="46" spans="7:27" x14ac:dyDescent="0.25">
      <c r="G46" s="15" t="str">
        <f>IF(Sheet2!A46="","",Sheet2!A46)</f>
        <v/>
      </c>
      <c r="H46" s="18" t="str">
        <f>IF(Sheet2!O46="","",LEFT(Sheet2!O46, FIND(" ", Sheet2!O46)-1))</f>
        <v/>
      </c>
      <c r="I46" s="15" t="str">
        <f>IF(Sheet2!S46&lt;19,ROUND(Sheet2!I46,2)&amp;"'",IF(Sheet2!S46&lt;25,ROUND(Sheet2!J46,2)&amp;"'",IF(Sheet2!S46&lt;31,ROUND(Sheet2!K46,2)&amp;"'",IF(Sheet2!S46&lt;37,ROUND(Sheet2!L46,2)&amp;"'",""))))</f>
        <v/>
      </c>
      <c r="J46" s="13"/>
      <c r="K46" s="12"/>
      <c r="L46" s="15" t="str">
        <f>IF(Sheet2!D46="","",Sheet2!D46&amp;"''")</f>
        <v/>
      </c>
      <c r="M46" s="12"/>
      <c r="N46" s="19"/>
      <c r="O46" s="16" t="str">
        <f>IF(Sheet2!H46="","",ROUND(Sheet2!H46,2)&amp;"'")</f>
        <v/>
      </c>
      <c r="P46" s="18" t="str">
        <f>IF(Sheet2!E46="","",Sheet2!E46&amp;"''")</f>
        <v/>
      </c>
      <c r="Q46" s="12"/>
      <c r="T46" s="15" t="str">
        <f>IF(Sheet2!F46="","",Sheet2!F46&amp;"''")</f>
        <v/>
      </c>
      <c r="U46" s="12"/>
      <c r="X46" s="15" t="str">
        <f>IF(Sheet2!G46="","",Sheet2!G46&amp;"''")</f>
        <v/>
      </c>
      <c r="AA46" s="12"/>
    </row>
    <row r="47" spans="7:27" x14ac:dyDescent="0.25">
      <c r="G47" s="15" t="str">
        <f>IF(Sheet2!A47="","",Sheet2!A47)</f>
        <v/>
      </c>
      <c r="H47" s="18" t="str">
        <f>IF(Sheet2!O47="","",LEFT(Sheet2!O47, FIND(" ", Sheet2!O47)-1))</f>
        <v/>
      </c>
      <c r="I47" s="15" t="str">
        <f>IF(Sheet2!S47&lt;19,ROUND(Sheet2!I47,2)&amp;"'",IF(Sheet2!S47&lt;25,ROUND(Sheet2!J47,2)&amp;"'",IF(Sheet2!S47&lt;31,ROUND(Sheet2!K47,2)&amp;"'",IF(Sheet2!S47&lt;37,ROUND(Sheet2!L47,2)&amp;"'",""))))</f>
        <v/>
      </c>
      <c r="J47" s="13"/>
      <c r="K47" s="12"/>
      <c r="L47" s="15" t="str">
        <f>IF(Sheet2!D47="","",Sheet2!D47&amp;"''")</f>
        <v/>
      </c>
      <c r="M47" s="12"/>
      <c r="N47" s="19"/>
      <c r="O47" s="16" t="str">
        <f>IF(Sheet2!H47="","",ROUND(Sheet2!H47,2)&amp;"'")</f>
        <v/>
      </c>
      <c r="P47" s="18" t="str">
        <f>IF(Sheet2!E47="","",Sheet2!E47&amp;"''")</f>
        <v/>
      </c>
      <c r="Q47" s="12"/>
      <c r="T47" s="15" t="str">
        <f>IF(Sheet2!F47="","",Sheet2!F47&amp;"''")</f>
        <v/>
      </c>
      <c r="U47" s="12"/>
      <c r="X47" s="15" t="str">
        <f>IF(Sheet2!G47="","",Sheet2!G47&amp;"''")</f>
        <v/>
      </c>
      <c r="AA47" s="12"/>
    </row>
    <row r="48" spans="7:27" x14ac:dyDescent="0.25">
      <c r="G48" s="15" t="str">
        <f>IF(Sheet2!A48="","",Sheet2!A48)</f>
        <v/>
      </c>
      <c r="H48" s="18" t="str">
        <f>IF(Sheet2!O48="","",LEFT(Sheet2!O48, FIND(" ", Sheet2!O48)-1))</f>
        <v/>
      </c>
      <c r="I48" s="15" t="str">
        <f>IF(Sheet2!S48&lt;19,ROUND(Sheet2!I48,2)&amp;"'",IF(Sheet2!S48&lt;25,ROUND(Sheet2!J48,2)&amp;"'",IF(Sheet2!S48&lt;31,ROUND(Sheet2!K48,2)&amp;"'",IF(Sheet2!S48&lt;37,ROUND(Sheet2!L48,2)&amp;"'",""))))</f>
        <v/>
      </c>
      <c r="J48" s="13"/>
      <c r="K48" s="12"/>
      <c r="L48" s="15" t="str">
        <f>IF(Sheet2!D48="","",Sheet2!D48&amp;"''")</f>
        <v/>
      </c>
      <c r="M48" s="12"/>
      <c r="N48" s="19"/>
      <c r="O48" s="16" t="str">
        <f>IF(Sheet2!H48="","",ROUND(Sheet2!H48,2)&amp;"'")</f>
        <v/>
      </c>
      <c r="P48" s="18" t="str">
        <f>IF(Sheet2!E48="","",Sheet2!E48&amp;"''")</f>
        <v/>
      </c>
      <c r="Q48" s="12"/>
      <c r="T48" s="15" t="str">
        <f>IF(Sheet2!F48="","",Sheet2!F48&amp;"''")</f>
        <v/>
      </c>
      <c r="U48" s="12"/>
      <c r="X48" s="15" t="str">
        <f>IF(Sheet2!G48="","",Sheet2!G48&amp;"''")</f>
        <v/>
      </c>
      <c r="AA48" s="12"/>
    </row>
    <row r="49" spans="7:27" x14ac:dyDescent="0.25">
      <c r="G49" s="15" t="str">
        <f>IF(Sheet2!A49="","",Sheet2!A49)</f>
        <v/>
      </c>
      <c r="H49" s="18" t="str">
        <f>IF(Sheet2!O49="","",LEFT(Sheet2!O49, FIND(" ", Sheet2!O49)-1))</f>
        <v/>
      </c>
      <c r="I49" s="15" t="str">
        <f>IF(Sheet2!S49&lt;19,ROUND(Sheet2!I49,2)&amp;"'",IF(Sheet2!S49&lt;25,ROUND(Sheet2!J49,2)&amp;"'",IF(Sheet2!S49&lt;31,ROUND(Sheet2!K49,2)&amp;"'",IF(Sheet2!S49&lt;37,ROUND(Sheet2!L49,2)&amp;"'",""))))</f>
        <v/>
      </c>
      <c r="J49" s="13"/>
      <c r="K49" s="12"/>
      <c r="L49" s="15" t="str">
        <f>IF(Sheet2!D49="","",Sheet2!D49&amp;"''")</f>
        <v/>
      </c>
      <c r="M49" s="12"/>
      <c r="N49" s="19"/>
      <c r="O49" s="16" t="str">
        <f>IF(Sheet2!H49="","",ROUND(Sheet2!H49,2)&amp;"'")</f>
        <v/>
      </c>
      <c r="P49" s="18" t="str">
        <f>IF(Sheet2!E49="","",Sheet2!E49&amp;"''")</f>
        <v/>
      </c>
      <c r="Q49" s="12"/>
      <c r="T49" s="15" t="str">
        <f>IF(Sheet2!F49="","",Sheet2!F49&amp;"''")</f>
        <v/>
      </c>
      <c r="U49" s="12"/>
      <c r="X49" s="15" t="str">
        <f>IF(Sheet2!G49="","",Sheet2!G49&amp;"''")</f>
        <v/>
      </c>
      <c r="AA49" s="12"/>
    </row>
    <row r="50" spans="7:27" x14ac:dyDescent="0.25">
      <c r="G50" s="15" t="str">
        <f>IF(Sheet2!A50="","",Sheet2!A50)</f>
        <v/>
      </c>
      <c r="H50" s="18" t="str">
        <f>IF(Sheet2!O50="","",LEFT(Sheet2!O50, FIND(" ", Sheet2!O50)-1))</f>
        <v/>
      </c>
      <c r="I50" s="15" t="str">
        <f>IF(Sheet2!S50&lt;19,ROUND(Sheet2!I50,2)&amp;"'",IF(Sheet2!S50&lt;25,ROUND(Sheet2!J50,2)&amp;"'",IF(Sheet2!S50&lt;31,ROUND(Sheet2!K50,2)&amp;"'",IF(Sheet2!S50&lt;37,ROUND(Sheet2!L50,2)&amp;"'",""))))</f>
        <v/>
      </c>
      <c r="J50" s="13"/>
      <c r="K50" s="12"/>
      <c r="L50" s="15" t="str">
        <f>IF(Sheet2!D50="","",Sheet2!D50&amp;"''")</f>
        <v/>
      </c>
      <c r="M50" s="12"/>
      <c r="N50" s="19"/>
      <c r="O50" s="16" t="str">
        <f>IF(Sheet2!H50="","",ROUND(Sheet2!H50,2)&amp;"'")</f>
        <v/>
      </c>
      <c r="P50" s="18" t="str">
        <f>IF(Sheet2!E50="","",Sheet2!E50&amp;"''")</f>
        <v/>
      </c>
      <c r="Q50" s="12"/>
      <c r="T50" s="15" t="str">
        <f>IF(Sheet2!F50="","",Sheet2!F50&amp;"''")</f>
        <v/>
      </c>
      <c r="U50" s="12"/>
      <c r="X50" s="15" t="str">
        <f>IF(Sheet2!G50="","",Sheet2!G50&amp;"''")</f>
        <v/>
      </c>
      <c r="AA50" s="12"/>
    </row>
    <row r="51" spans="7:27" x14ac:dyDescent="0.25">
      <c r="G51" s="15" t="str">
        <f>IF(Sheet2!A51="","",Sheet2!A51)</f>
        <v/>
      </c>
      <c r="H51" s="18" t="str">
        <f>IF(Sheet2!O51="","",LEFT(Sheet2!O51, FIND(" ", Sheet2!O51)-1))</f>
        <v/>
      </c>
      <c r="I51" s="15" t="str">
        <f>IF(Sheet2!S51&lt;19,ROUND(Sheet2!I51,2)&amp;"'",IF(Sheet2!S51&lt;25,ROUND(Sheet2!J51,2)&amp;"'",IF(Sheet2!S51&lt;31,ROUND(Sheet2!K51,2)&amp;"'",IF(Sheet2!S51&lt;37,ROUND(Sheet2!L51,2)&amp;"'",""))))</f>
        <v/>
      </c>
      <c r="J51" s="13"/>
      <c r="K51" s="12"/>
      <c r="L51" s="15" t="str">
        <f>IF(Sheet2!D51="","",Sheet2!D51&amp;"''")</f>
        <v/>
      </c>
      <c r="M51" s="12"/>
      <c r="N51" s="19"/>
      <c r="O51" s="16" t="str">
        <f>IF(Sheet2!H51="","",ROUND(Sheet2!H51,2)&amp;"'")</f>
        <v/>
      </c>
      <c r="P51" s="18" t="str">
        <f>IF(Sheet2!E51="","",Sheet2!E51&amp;"''")</f>
        <v/>
      </c>
      <c r="Q51" s="12"/>
      <c r="T51" s="15" t="str">
        <f>IF(Sheet2!F51="","",Sheet2!F51&amp;"''")</f>
        <v/>
      </c>
      <c r="U51" s="12"/>
      <c r="X51" s="15" t="str">
        <f>IF(Sheet2!G51="","",Sheet2!G51&amp;"''")</f>
        <v/>
      </c>
      <c r="AA51" s="12"/>
    </row>
    <row r="52" spans="7:27" x14ac:dyDescent="0.25">
      <c r="G52" s="15" t="str">
        <f>IF(Sheet2!A52="","",Sheet2!A52)</f>
        <v/>
      </c>
      <c r="H52" s="18" t="str">
        <f>IF(Sheet2!O52="","",LEFT(Sheet2!O52, FIND(" ", Sheet2!O52)-1))</f>
        <v/>
      </c>
      <c r="I52" s="15" t="str">
        <f>IF(Sheet2!S52&lt;19,ROUND(Sheet2!I52,2)&amp;"'",IF(Sheet2!S52&lt;25,ROUND(Sheet2!J52,2)&amp;"'",IF(Sheet2!S52&lt;31,ROUND(Sheet2!K52,2)&amp;"'",IF(Sheet2!S52&lt;37,ROUND(Sheet2!L52,2)&amp;"'",""))))</f>
        <v/>
      </c>
      <c r="J52" s="13"/>
      <c r="K52" s="12"/>
      <c r="L52" s="15" t="str">
        <f>IF(Sheet2!D52="","",Sheet2!D52&amp;"''")</f>
        <v/>
      </c>
      <c r="M52" s="12"/>
      <c r="N52" s="19"/>
      <c r="O52" s="16" t="str">
        <f>IF(Sheet2!H52="","",ROUND(Sheet2!H52,2)&amp;"'")</f>
        <v/>
      </c>
      <c r="P52" s="18" t="str">
        <f>IF(Sheet2!E52="","",Sheet2!E52&amp;"''")</f>
        <v/>
      </c>
      <c r="Q52" s="12"/>
      <c r="T52" s="15" t="str">
        <f>IF(Sheet2!F52="","",Sheet2!F52&amp;"''")</f>
        <v/>
      </c>
      <c r="U52" s="12"/>
      <c r="X52" s="15" t="str">
        <f>IF(Sheet2!G52="","",Sheet2!G52&amp;"''")</f>
        <v/>
      </c>
      <c r="AA52" s="12"/>
    </row>
    <row r="53" spans="7:27" x14ac:dyDescent="0.25">
      <c r="G53" s="15" t="str">
        <f>IF(Sheet2!A53="","",Sheet2!A53)</f>
        <v/>
      </c>
      <c r="H53" s="18" t="str">
        <f>IF(Sheet2!O53="","",LEFT(Sheet2!O53, FIND(" ", Sheet2!O53)-1))</f>
        <v/>
      </c>
      <c r="I53" s="15" t="str">
        <f>IF(Sheet2!S53&lt;19,ROUND(Sheet2!I53,2)&amp;"'",IF(Sheet2!S53&lt;25,ROUND(Sheet2!J53,2)&amp;"'",IF(Sheet2!S53&lt;31,ROUND(Sheet2!K53,2)&amp;"'",IF(Sheet2!S53&lt;37,ROUND(Sheet2!L53,2)&amp;"'",""))))</f>
        <v/>
      </c>
      <c r="J53" s="13"/>
      <c r="K53" s="12"/>
      <c r="L53" s="15" t="str">
        <f>IF(Sheet2!D53="","",Sheet2!D53&amp;"''")</f>
        <v/>
      </c>
      <c r="M53" s="12"/>
      <c r="N53" s="19"/>
      <c r="O53" s="16" t="str">
        <f>IF(Sheet2!H53="","",ROUND(Sheet2!H53,2)&amp;"'")</f>
        <v/>
      </c>
      <c r="P53" s="18" t="str">
        <f>IF(Sheet2!E53="","",Sheet2!E53&amp;"''")</f>
        <v/>
      </c>
      <c r="Q53" s="12"/>
      <c r="T53" s="15" t="str">
        <f>IF(Sheet2!F53="","",Sheet2!F53&amp;"''")</f>
        <v/>
      </c>
      <c r="U53" s="12"/>
      <c r="X53" s="15" t="str">
        <f>IF(Sheet2!G53="","",Sheet2!G53&amp;"''")</f>
        <v/>
      </c>
      <c r="AA53" s="12"/>
    </row>
    <row r="54" spans="7:27" x14ac:dyDescent="0.25">
      <c r="G54" s="15" t="str">
        <f>IF(Sheet2!A54="","",Sheet2!A54)</f>
        <v/>
      </c>
      <c r="H54" s="18" t="str">
        <f>IF(Sheet2!O54="","",LEFT(Sheet2!O54, FIND(" ", Sheet2!O54)-1))</f>
        <v/>
      </c>
      <c r="I54" s="15" t="str">
        <f>IF(Sheet2!S54&lt;19,ROUND(Sheet2!I54,2)&amp;"'",IF(Sheet2!S54&lt;25,ROUND(Sheet2!J54,2)&amp;"'",IF(Sheet2!S54&lt;31,ROUND(Sheet2!K54,2)&amp;"'",IF(Sheet2!S54&lt;37,ROUND(Sheet2!L54,2)&amp;"'",""))))</f>
        <v/>
      </c>
      <c r="J54" s="13"/>
      <c r="K54" s="12"/>
      <c r="L54" s="15" t="str">
        <f>IF(Sheet2!D54="","",Sheet2!D54&amp;"''")</f>
        <v/>
      </c>
      <c r="M54" s="12"/>
      <c r="N54" s="19"/>
      <c r="O54" s="16" t="str">
        <f>IF(Sheet2!H54="","",ROUND(Sheet2!H54,2)&amp;"'")</f>
        <v/>
      </c>
      <c r="P54" s="18" t="str">
        <f>IF(Sheet2!E54="","",Sheet2!E54&amp;"''")</f>
        <v/>
      </c>
      <c r="Q54" s="12"/>
      <c r="T54" s="15" t="str">
        <f>IF(Sheet2!F54="","",Sheet2!F54&amp;"''")</f>
        <v/>
      </c>
      <c r="U54" s="12"/>
      <c r="X54" s="15" t="str">
        <f>IF(Sheet2!G54="","",Sheet2!G54&amp;"''")</f>
        <v/>
      </c>
      <c r="AA54" s="12"/>
    </row>
    <row r="55" spans="7:27" x14ac:dyDescent="0.25">
      <c r="G55" s="15" t="str">
        <f>IF(Sheet2!A55="","",Sheet2!A55)</f>
        <v/>
      </c>
      <c r="H55" s="18" t="str">
        <f>IF(Sheet2!O55="","",LEFT(Sheet2!O55, FIND(" ", Sheet2!O55)-1))</f>
        <v/>
      </c>
      <c r="I55" s="15" t="str">
        <f>IF(Sheet2!S55&lt;19,ROUND(Sheet2!I55,2)&amp;"'",IF(Sheet2!S55&lt;25,ROUND(Sheet2!J55,2)&amp;"'",IF(Sheet2!S55&lt;31,ROUND(Sheet2!K55,2)&amp;"'",IF(Sheet2!S55&lt;37,ROUND(Sheet2!L55,2)&amp;"'",""))))</f>
        <v/>
      </c>
      <c r="J55" s="13"/>
      <c r="K55" s="12"/>
      <c r="L55" s="15" t="str">
        <f>IF(Sheet2!D55="","",Sheet2!D55&amp;"''")</f>
        <v/>
      </c>
      <c r="M55" s="12"/>
      <c r="N55" s="19"/>
      <c r="O55" s="16" t="str">
        <f>IF(Sheet2!H55="","",ROUND(Sheet2!H55,2)&amp;"'")</f>
        <v/>
      </c>
      <c r="P55" s="18" t="str">
        <f>IF(Sheet2!E55="","",Sheet2!E55&amp;"''")</f>
        <v/>
      </c>
      <c r="Q55" s="12"/>
      <c r="T55" s="15" t="str">
        <f>IF(Sheet2!F55="","",Sheet2!F55&amp;"''")</f>
        <v/>
      </c>
      <c r="U55" s="12"/>
      <c r="X55" s="15" t="str">
        <f>IF(Sheet2!G55="","",Sheet2!G55&amp;"''")</f>
        <v/>
      </c>
      <c r="AA55" s="12"/>
    </row>
    <row r="56" spans="7:27" x14ac:dyDescent="0.25">
      <c r="G56" s="15" t="str">
        <f>IF(Sheet2!A56="","",Sheet2!A56)</f>
        <v/>
      </c>
      <c r="H56" s="18" t="str">
        <f>IF(Sheet2!O56="","",LEFT(Sheet2!O56, FIND(" ", Sheet2!O56)-1))</f>
        <v/>
      </c>
      <c r="I56" s="15" t="str">
        <f>IF(Sheet2!S56&lt;19,ROUND(Sheet2!I56,2)&amp;"'",IF(Sheet2!S56&lt;25,ROUND(Sheet2!J56,2)&amp;"'",IF(Sheet2!S56&lt;31,ROUND(Sheet2!K56,2)&amp;"'",IF(Sheet2!S56&lt;37,ROUND(Sheet2!L56,2)&amp;"'",""))))</f>
        <v/>
      </c>
      <c r="J56" s="13"/>
      <c r="K56" s="12"/>
      <c r="L56" s="15" t="str">
        <f>IF(Sheet2!D56="","",Sheet2!D56&amp;"''")</f>
        <v/>
      </c>
      <c r="M56" s="12"/>
      <c r="N56" s="19"/>
      <c r="O56" s="16" t="str">
        <f>IF(Sheet2!H56="","",ROUND(Sheet2!H56,2)&amp;"'")</f>
        <v/>
      </c>
      <c r="P56" s="18" t="str">
        <f>IF(Sheet2!E56="","",Sheet2!E56&amp;"''")</f>
        <v/>
      </c>
      <c r="Q56" s="12"/>
      <c r="T56" s="15" t="str">
        <f>IF(Sheet2!F56="","",Sheet2!F56&amp;"''")</f>
        <v/>
      </c>
      <c r="U56" s="12"/>
      <c r="X56" s="15" t="str">
        <f>IF(Sheet2!G56="","",Sheet2!G56&amp;"''")</f>
        <v/>
      </c>
      <c r="AA56" s="12"/>
    </row>
    <row r="57" spans="7:27" x14ac:dyDescent="0.25">
      <c r="G57" s="15" t="str">
        <f>IF(Sheet2!A57="","",Sheet2!A57)</f>
        <v/>
      </c>
      <c r="H57" s="18" t="str">
        <f>IF(Sheet2!O57="","",LEFT(Sheet2!O57, FIND(" ", Sheet2!O57)-1))</f>
        <v/>
      </c>
      <c r="I57" s="15" t="str">
        <f>IF(Sheet2!S57&lt;19,ROUND(Sheet2!I57,2)&amp;"'",IF(Sheet2!S57&lt;25,ROUND(Sheet2!J57,2)&amp;"'",IF(Sheet2!S57&lt;31,ROUND(Sheet2!K57,2)&amp;"'",IF(Sheet2!S57&lt;37,ROUND(Sheet2!L57,2)&amp;"'",""))))</f>
        <v/>
      </c>
      <c r="J57" s="13"/>
      <c r="K57" s="12"/>
      <c r="L57" s="15" t="str">
        <f>IF(Sheet2!D57="","",Sheet2!D57&amp;"''")</f>
        <v/>
      </c>
      <c r="M57" s="12"/>
      <c r="N57" s="19"/>
      <c r="O57" s="16" t="str">
        <f>IF(Sheet2!H57="","",ROUND(Sheet2!H57,2)&amp;"'")</f>
        <v/>
      </c>
      <c r="P57" s="18" t="str">
        <f>IF(Sheet2!E57="","",Sheet2!E57&amp;"''")</f>
        <v/>
      </c>
      <c r="Q57" s="12"/>
      <c r="T57" s="15" t="str">
        <f>IF(Sheet2!F57="","",Sheet2!F57&amp;"''")</f>
        <v/>
      </c>
      <c r="U57" s="12"/>
      <c r="X57" s="15" t="str">
        <f>IF(Sheet2!G57="","",Sheet2!G57&amp;"''")</f>
        <v/>
      </c>
      <c r="AA57" s="12"/>
    </row>
    <row r="58" spans="7:27" x14ac:dyDescent="0.25">
      <c r="G58" s="15" t="str">
        <f>IF(Sheet2!A58="","",Sheet2!A58)</f>
        <v/>
      </c>
      <c r="H58" s="18" t="str">
        <f>IF(Sheet2!O58="","",LEFT(Sheet2!O58, FIND(" ", Sheet2!O58)-1))</f>
        <v/>
      </c>
      <c r="I58" s="15" t="str">
        <f>IF(Sheet2!S58&lt;19,ROUND(Sheet2!I58,2)&amp;"'",IF(Sheet2!S58&lt;25,ROUND(Sheet2!J58,2)&amp;"'",IF(Sheet2!S58&lt;31,ROUND(Sheet2!K58,2)&amp;"'",IF(Sheet2!S58&lt;37,ROUND(Sheet2!L58,2)&amp;"'",""))))</f>
        <v/>
      </c>
      <c r="J58" s="13"/>
      <c r="K58" s="12"/>
      <c r="L58" s="15" t="str">
        <f>IF(Sheet2!D58="","",Sheet2!D58&amp;"''")</f>
        <v/>
      </c>
      <c r="M58" s="12"/>
      <c r="N58" s="19"/>
      <c r="O58" s="16" t="str">
        <f>IF(Sheet2!H58="","",ROUND(Sheet2!H58,2)&amp;"'")</f>
        <v/>
      </c>
      <c r="P58" s="18" t="str">
        <f>IF(Sheet2!E58="","",Sheet2!E58&amp;"''")</f>
        <v/>
      </c>
      <c r="Q58" s="12"/>
      <c r="T58" s="15" t="str">
        <f>IF(Sheet2!F58="","",Sheet2!F58&amp;"''")</f>
        <v/>
      </c>
      <c r="U58" s="12"/>
      <c r="X58" s="15" t="str">
        <f>IF(Sheet2!G58="","",Sheet2!G58&amp;"''")</f>
        <v/>
      </c>
      <c r="AA58" s="12"/>
    </row>
    <row r="59" spans="7:27" x14ac:dyDescent="0.25">
      <c r="G59" s="15" t="str">
        <f>IF(Sheet2!A59="","",Sheet2!A59)</f>
        <v/>
      </c>
      <c r="H59" s="18" t="str">
        <f>IF(Sheet2!O59="","",LEFT(Sheet2!O59, FIND(" ", Sheet2!O59)-1))</f>
        <v/>
      </c>
      <c r="I59" s="15" t="str">
        <f>IF(Sheet2!S59&lt;19,ROUND(Sheet2!I59,2)&amp;"'",IF(Sheet2!S59&lt;25,ROUND(Sheet2!J59,2)&amp;"'",IF(Sheet2!S59&lt;31,ROUND(Sheet2!K59,2)&amp;"'",IF(Sheet2!S59&lt;37,ROUND(Sheet2!L59,2)&amp;"'",""))))</f>
        <v/>
      </c>
      <c r="J59" s="13"/>
      <c r="K59" s="12"/>
      <c r="L59" s="15" t="str">
        <f>IF(Sheet2!D59="","",Sheet2!D59&amp;"''")</f>
        <v/>
      </c>
      <c r="M59" s="12"/>
      <c r="N59" s="19"/>
      <c r="O59" s="16" t="str">
        <f>IF(Sheet2!H59="","",ROUND(Sheet2!H59,2)&amp;"'")</f>
        <v/>
      </c>
      <c r="P59" s="18" t="str">
        <f>IF(Sheet2!E59="","",Sheet2!E59&amp;"''")</f>
        <v/>
      </c>
      <c r="Q59" s="12"/>
      <c r="T59" s="15" t="str">
        <f>IF(Sheet2!F59="","",Sheet2!F59&amp;"''")</f>
        <v/>
      </c>
      <c r="U59" s="12"/>
      <c r="X59" s="15" t="str">
        <f>IF(Sheet2!G59="","",Sheet2!G59&amp;"''")</f>
        <v/>
      </c>
      <c r="AA59" s="12"/>
    </row>
    <row r="60" spans="7:27" x14ac:dyDescent="0.25">
      <c r="G60" s="15" t="str">
        <f>IF(Sheet2!A60="","",Sheet2!A60)</f>
        <v/>
      </c>
      <c r="H60" s="18" t="str">
        <f>IF(Sheet2!O60="","",LEFT(Sheet2!O60, FIND(" ", Sheet2!O60)-1))</f>
        <v/>
      </c>
      <c r="I60" s="15" t="str">
        <f>IF(Sheet2!S60&lt;19,ROUND(Sheet2!I60,2)&amp;"'",IF(Sheet2!S60&lt;25,ROUND(Sheet2!J60,2)&amp;"'",IF(Sheet2!S60&lt;31,ROUND(Sheet2!K60,2)&amp;"'",IF(Sheet2!S60&lt;37,ROUND(Sheet2!L60,2)&amp;"'",""))))</f>
        <v/>
      </c>
      <c r="J60" s="13"/>
      <c r="K60" s="12"/>
      <c r="L60" s="15" t="str">
        <f>IF(Sheet2!D60="","",Sheet2!D60&amp;"''")</f>
        <v/>
      </c>
      <c r="M60" s="12"/>
      <c r="N60" s="19"/>
      <c r="O60" s="16" t="str">
        <f>IF(Sheet2!H60="","",ROUND(Sheet2!H60,2)&amp;"'")</f>
        <v/>
      </c>
      <c r="P60" s="18" t="str">
        <f>IF(Sheet2!E60="","",Sheet2!E60&amp;"''")</f>
        <v/>
      </c>
      <c r="Q60" s="12"/>
      <c r="T60" s="15" t="str">
        <f>IF(Sheet2!F60="","",Sheet2!F60&amp;"''")</f>
        <v/>
      </c>
      <c r="U60" s="12"/>
      <c r="X60" s="15" t="str">
        <f>IF(Sheet2!G60="","",Sheet2!G60&amp;"''")</f>
        <v/>
      </c>
      <c r="AA60" s="12"/>
    </row>
    <row r="61" spans="7:27" x14ac:dyDescent="0.25">
      <c r="G61" s="15" t="str">
        <f>IF(Sheet2!A61="","",Sheet2!A61)</f>
        <v/>
      </c>
      <c r="H61" s="18" t="str">
        <f>IF(Sheet2!O61="","",LEFT(Sheet2!O61, FIND(" ", Sheet2!O61)-1))</f>
        <v/>
      </c>
      <c r="I61" s="15" t="str">
        <f>IF(Sheet2!S61&lt;19,ROUND(Sheet2!I61,2)&amp;"'",IF(Sheet2!S61&lt;25,ROUND(Sheet2!J61,2)&amp;"'",IF(Sheet2!S61&lt;31,ROUND(Sheet2!K61,2)&amp;"'",IF(Sheet2!S61&lt;37,ROUND(Sheet2!L61,2)&amp;"'",""))))</f>
        <v/>
      </c>
      <c r="J61" s="13"/>
      <c r="K61" s="12"/>
      <c r="L61" s="15" t="str">
        <f>IF(Sheet2!D61="","",Sheet2!D61&amp;"''")</f>
        <v/>
      </c>
      <c r="M61" s="12"/>
      <c r="N61" s="19"/>
      <c r="O61" s="16" t="str">
        <f>IF(Sheet2!H61="","",ROUND(Sheet2!H61,2)&amp;"'")</f>
        <v/>
      </c>
      <c r="P61" s="18" t="str">
        <f>IF(Sheet2!E61="","",Sheet2!E61&amp;"''")</f>
        <v/>
      </c>
      <c r="Q61" s="12"/>
      <c r="T61" s="15" t="str">
        <f>IF(Sheet2!F61="","",Sheet2!F61&amp;"''")</f>
        <v/>
      </c>
      <c r="U61" s="12"/>
      <c r="X61" s="15" t="str">
        <f>IF(Sheet2!G61="","",Sheet2!G61&amp;"''")</f>
        <v/>
      </c>
      <c r="AA61" s="12"/>
    </row>
    <row r="62" spans="7:27" x14ac:dyDescent="0.25">
      <c r="G62" s="15" t="str">
        <f>IF(Sheet2!A62="","",Sheet2!A62)</f>
        <v/>
      </c>
      <c r="H62" s="18" t="str">
        <f>IF(Sheet2!O62="","",LEFT(Sheet2!O62, FIND(" ", Sheet2!O62)-1))</f>
        <v/>
      </c>
      <c r="I62" s="15" t="str">
        <f>IF(Sheet2!S62&lt;19,ROUND(Sheet2!I62,2)&amp;"'",IF(Sheet2!S62&lt;25,ROUND(Sheet2!J62,2)&amp;"'",IF(Sheet2!S62&lt;31,ROUND(Sheet2!K62,2)&amp;"'",IF(Sheet2!S62&lt;37,ROUND(Sheet2!L62,2)&amp;"'",""))))</f>
        <v/>
      </c>
      <c r="J62" s="13"/>
      <c r="K62" s="12"/>
      <c r="L62" s="15" t="str">
        <f>IF(Sheet2!D62="","",Sheet2!D62&amp;"''")</f>
        <v/>
      </c>
      <c r="M62" s="12"/>
      <c r="N62" s="19"/>
      <c r="O62" s="16" t="str">
        <f>IF(Sheet2!H62="","",ROUND(Sheet2!H62,2)&amp;"'")</f>
        <v/>
      </c>
      <c r="P62" s="18" t="str">
        <f>IF(Sheet2!E62="","",Sheet2!E62&amp;"''")</f>
        <v/>
      </c>
      <c r="Q62" s="12"/>
      <c r="T62" s="15" t="str">
        <f>IF(Sheet2!F62="","",Sheet2!F62&amp;"''")</f>
        <v/>
      </c>
      <c r="U62" s="12"/>
      <c r="X62" s="15" t="str">
        <f>IF(Sheet2!G62="","",Sheet2!G62&amp;"''")</f>
        <v/>
      </c>
      <c r="AA62" s="12"/>
    </row>
    <row r="63" spans="7:27" x14ac:dyDescent="0.25">
      <c r="G63" s="15" t="str">
        <f>IF(Sheet2!A63="","",Sheet2!A63)</f>
        <v/>
      </c>
      <c r="H63" s="18" t="str">
        <f>IF(Sheet2!O63="","",LEFT(Sheet2!O63, FIND(" ", Sheet2!O63)-1))</f>
        <v/>
      </c>
      <c r="I63" s="15" t="str">
        <f>IF(Sheet2!S63&lt;19,ROUND(Sheet2!I63,2)&amp;"'",IF(Sheet2!S63&lt;25,ROUND(Sheet2!J63,2)&amp;"'",IF(Sheet2!S63&lt;31,ROUND(Sheet2!K63,2)&amp;"'",IF(Sheet2!S63&lt;37,ROUND(Sheet2!L63,2)&amp;"'",""))))</f>
        <v/>
      </c>
      <c r="J63" s="13"/>
      <c r="K63" s="12"/>
      <c r="L63" s="15" t="str">
        <f>IF(Sheet2!D63="","",Sheet2!D63&amp;"''")</f>
        <v/>
      </c>
      <c r="M63" s="12"/>
      <c r="N63" s="19"/>
      <c r="O63" s="16" t="str">
        <f>IF(Sheet2!H63="","",ROUND(Sheet2!H63,2)&amp;"'")</f>
        <v/>
      </c>
      <c r="P63" s="18" t="str">
        <f>IF(Sheet2!E63="","",Sheet2!E63&amp;"''")</f>
        <v/>
      </c>
      <c r="Q63" s="12"/>
      <c r="T63" s="15" t="str">
        <f>IF(Sheet2!F63="","",Sheet2!F63&amp;"''")</f>
        <v/>
      </c>
      <c r="U63" s="12"/>
      <c r="X63" s="15" t="str">
        <f>IF(Sheet2!G63="","",Sheet2!G63&amp;"''")</f>
        <v/>
      </c>
      <c r="AA63" s="12"/>
    </row>
    <row r="64" spans="7:27" x14ac:dyDescent="0.25">
      <c r="G64" s="15" t="str">
        <f>IF(Sheet2!A64="","",Sheet2!A64)</f>
        <v/>
      </c>
      <c r="H64" s="18" t="str">
        <f>IF(Sheet2!O64="","",LEFT(Sheet2!O64, FIND(" ", Sheet2!O64)-1))</f>
        <v/>
      </c>
      <c r="I64" s="15" t="str">
        <f>IF(Sheet2!S64&lt;19,ROUND(Sheet2!I64,2)&amp;"'",IF(Sheet2!S64&lt;25,ROUND(Sheet2!J64,2)&amp;"'",IF(Sheet2!S64&lt;31,ROUND(Sheet2!K64,2)&amp;"'",IF(Sheet2!S64&lt;37,ROUND(Sheet2!L64,2)&amp;"'",""))))</f>
        <v/>
      </c>
      <c r="J64" s="13"/>
      <c r="K64" s="12"/>
      <c r="L64" s="15" t="str">
        <f>IF(Sheet2!D64="","",Sheet2!D64&amp;"''")</f>
        <v/>
      </c>
      <c r="M64" s="12"/>
      <c r="N64" s="19"/>
      <c r="O64" s="16" t="str">
        <f>IF(Sheet2!H64="","",ROUND(Sheet2!H64,2)&amp;"'")</f>
        <v/>
      </c>
      <c r="P64" s="18" t="str">
        <f>IF(Sheet2!E64="","",Sheet2!E64&amp;"''")</f>
        <v/>
      </c>
      <c r="Q64" s="12"/>
      <c r="T64" s="15" t="str">
        <f>IF(Sheet2!F64="","",Sheet2!F64&amp;"''")</f>
        <v/>
      </c>
      <c r="U64" s="12"/>
      <c r="X64" s="15" t="str">
        <f>IF(Sheet2!G64="","",Sheet2!G64&amp;"''")</f>
        <v/>
      </c>
      <c r="AA64" s="12"/>
    </row>
    <row r="65" spans="7:27" x14ac:dyDescent="0.25">
      <c r="G65" s="15" t="str">
        <f>IF(Sheet2!A65="","",Sheet2!A65)</f>
        <v/>
      </c>
      <c r="H65" s="18" t="str">
        <f>IF(Sheet2!O65="","",LEFT(Sheet2!O65, FIND(" ", Sheet2!O65)-1))</f>
        <v/>
      </c>
      <c r="I65" s="15" t="str">
        <f>IF(Sheet2!S65&lt;19,ROUND(Sheet2!I65,2)&amp;"'",IF(Sheet2!S65&lt;25,ROUND(Sheet2!J65,2)&amp;"'",IF(Sheet2!S65&lt;31,ROUND(Sheet2!K65,2)&amp;"'",IF(Sheet2!S65&lt;37,ROUND(Sheet2!L65,2)&amp;"'",""))))</f>
        <v/>
      </c>
      <c r="J65" s="13"/>
      <c r="K65" s="12"/>
      <c r="L65" s="15" t="str">
        <f>IF(Sheet2!D65="","",Sheet2!D65&amp;"''")</f>
        <v/>
      </c>
      <c r="M65" s="12"/>
      <c r="N65" s="19"/>
      <c r="O65" s="16" t="str">
        <f>IF(Sheet2!H65="","",ROUND(Sheet2!H65,2)&amp;"'")</f>
        <v/>
      </c>
      <c r="P65" s="18" t="str">
        <f>IF(Sheet2!E65="","",Sheet2!E65&amp;"''")</f>
        <v/>
      </c>
      <c r="Q65" s="12"/>
      <c r="T65" s="15" t="str">
        <f>IF(Sheet2!F65="","",Sheet2!F65&amp;"''")</f>
        <v/>
      </c>
      <c r="U65" s="12"/>
      <c r="X65" s="15" t="str">
        <f>IF(Sheet2!G65="","",Sheet2!G65&amp;"''")</f>
        <v/>
      </c>
      <c r="AA65" s="12"/>
    </row>
    <row r="66" spans="7:27" x14ac:dyDescent="0.25">
      <c r="G66" s="15" t="str">
        <f>IF(Sheet2!A66="","",Sheet2!A66)</f>
        <v/>
      </c>
      <c r="H66" s="18" t="str">
        <f>IF(Sheet2!O66="","",LEFT(Sheet2!O66, FIND(" ", Sheet2!O66)-1))</f>
        <v/>
      </c>
      <c r="I66" s="15" t="str">
        <f>IF(Sheet2!S66&lt;19,ROUND(Sheet2!I66,2)&amp;"'",IF(Sheet2!S66&lt;25,ROUND(Sheet2!J66,2)&amp;"'",IF(Sheet2!S66&lt;31,ROUND(Sheet2!K66,2)&amp;"'",IF(Sheet2!S66&lt;37,ROUND(Sheet2!L66,2)&amp;"'",""))))</f>
        <v/>
      </c>
      <c r="J66" s="13"/>
      <c r="K66" s="12"/>
      <c r="L66" s="15" t="str">
        <f>IF(Sheet2!D66="","",Sheet2!D66&amp;"''")</f>
        <v/>
      </c>
      <c r="M66" s="12"/>
      <c r="N66" s="19"/>
      <c r="O66" s="16" t="str">
        <f>IF(Sheet2!H66="","",ROUND(Sheet2!H66,2)&amp;"'")</f>
        <v/>
      </c>
      <c r="P66" s="18" t="str">
        <f>IF(Sheet2!E66="","",Sheet2!E66&amp;"''")</f>
        <v/>
      </c>
      <c r="Q66" s="12"/>
      <c r="T66" s="15" t="str">
        <f>IF(Sheet2!F66="","",Sheet2!F66&amp;"''")</f>
        <v/>
      </c>
      <c r="U66" s="12"/>
      <c r="X66" s="15" t="str">
        <f>IF(Sheet2!G66="","",Sheet2!G66&amp;"''")</f>
        <v/>
      </c>
      <c r="AA66" s="12"/>
    </row>
    <row r="67" spans="7:27" x14ac:dyDescent="0.25">
      <c r="G67" s="15" t="str">
        <f>IF(Sheet2!A67="","",Sheet2!A67)</f>
        <v/>
      </c>
      <c r="H67" s="18" t="str">
        <f>IF(Sheet2!O67="","",LEFT(Sheet2!O67, FIND(" ", Sheet2!O67)-1))</f>
        <v/>
      </c>
      <c r="I67" s="15" t="str">
        <f>IF(Sheet2!S67&lt;19,ROUND(Sheet2!I67,2)&amp;"'",IF(Sheet2!S67&lt;25,ROUND(Sheet2!J67,2)&amp;"'",IF(Sheet2!S67&lt;31,ROUND(Sheet2!K67,2)&amp;"'",IF(Sheet2!S67&lt;37,ROUND(Sheet2!L67,2)&amp;"'",""))))</f>
        <v/>
      </c>
      <c r="J67" s="13"/>
      <c r="K67" s="12"/>
      <c r="L67" s="15" t="str">
        <f>IF(Sheet2!D67="","",Sheet2!D67&amp;"''")</f>
        <v/>
      </c>
      <c r="M67" s="12"/>
      <c r="N67" s="19"/>
      <c r="O67" s="16" t="str">
        <f>IF(Sheet2!H67="","",ROUND(Sheet2!H67,2)&amp;"'")</f>
        <v/>
      </c>
      <c r="P67" s="18" t="str">
        <f>IF(Sheet2!E67="","",Sheet2!E67&amp;"''")</f>
        <v/>
      </c>
      <c r="Q67" s="12"/>
      <c r="T67" s="15" t="str">
        <f>IF(Sheet2!F67="","",Sheet2!F67&amp;"''")</f>
        <v/>
      </c>
      <c r="U67" s="12"/>
      <c r="X67" s="15" t="str">
        <f>IF(Sheet2!G67="","",Sheet2!G67&amp;"''")</f>
        <v/>
      </c>
      <c r="AA67" s="12"/>
    </row>
    <row r="68" spans="7:27" x14ac:dyDescent="0.25">
      <c r="G68" s="15" t="str">
        <f>IF(Sheet2!A68="","",Sheet2!A68)</f>
        <v/>
      </c>
      <c r="H68" s="18" t="str">
        <f>IF(Sheet2!O68="","",LEFT(Sheet2!O68, FIND(" ", Sheet2!O68)-1))</f>
        <v/>
      </c>
      <c r="I68" s="15" t="str">
        <f>IF(Sheet2!S68&lt;19,ROUND(Sheet2!I68,2)&amp;"'",IF(Sheet2!S68&lt;25,ROUND(Sheet2!J68,2)&amp;"'",IF(Sheet2!S68&lt;31,ROUND(Sheet2!K68,2)&amp;"'",IF(Sheet2!S68&lt;37,ROUND(Sheet2!L68,2)&amp;"'",""))))</f>
        <v/>
      </c>
      <c r="J68" s="13"/>
      <c r="K68" s="12"/>
      <c r="L68" s="15" t="str">
        <f>IF(Sheet2!D68="","",Sheet2!D68&amp;"''")</f>
        <v/>
      </c>
      <c r="M68" s="12"/>
      <c r="N68" s="19"/>
      <c r="O68" s="16" t="str">
        <f>IF(Sheet2!H68="","",ROUND(Sheet2!H68,2)&amp;"'")</f>
        <v/>
      </c>
      <c r="P68" s="18" t="str">
        <f>IF(Sheet2!E68="","",Sheet2!E68&amp;"''")</f>
        <v/>
      </c>
      <c r="Q68" s="12"/>
      <c r="T68" s="15" t="str">
        <f>IF(Sheet2!F68="","",Sheet2!F68&amp;"''")</f>
        <v/>
      </c>
      <c r="U68" s="12"/>
      <c r="X68" s="15" t="str">
        <f>IF(Sheet2!G68="","",Sheet2!G68&amp;"''")</f>
        <v/>
      </c>
      <c r="AA68" s="12"/>
    </row>
    <row r="69" spans="7:27" x14ac:dyDescent="0.25">
      <c r="G69" s="15" t="str">
        <f>IF(Sheet2!A69="","",Sheet2!A69)</f>
        <v/>
      </c>
      <c r="H69" s="18" t="str">
        <f>IF(Sheet2!O69="","",LEFT(Sheet2!O69, FIND(" ", Sheet2!O69)-1))</f>
        <v/>
      </c>
      <c r="I69" s="15" t="str">
        <f>IF(Sheet2!S69&lt;19,ROUND(Sheet2!I69,2)&amp;"'",IF(Sheet2!S69&lt;25,ROUND(Sheet2!J69,2)&amp;"'",IF(Sheet2!S69&lt;31,ROUND(Sheet2!K69,2)&amp;"'",IF(Sheet2!S69&lt;37,ROUND(Sheet2!L69,2)&amp;"'",""))))</f>
        <v/>
      </c>
      <c r="J69" s="13"/>
      <c r="K69" s="12"/>
      <c r="L69" s="15" t="str">
        <f>IF(Sheet2!D69="","",Sheet2!D69&amp;"''")</f>
        <v/>
      </c>
      <c r="M69" s="12"/>
      <c r="N69" s="19"/>
      <c r="O69" s="16" t="str">
        <f>IF(Sheet2!H69="","",ROUND(Sheet2!H69,2)&amp;"'")</f>
        <v/>
      </c>
      <c r="P69" s="18" t="str">
        <f>IF(Sheet2!E69="","",Sheet2!E69&amp;"''")</f>
        <v/>
      </c>
      <c r="Q69" s="12"/>
      <c r="T69" s="15" t="str">
        <f>IF(Sheet2!F69="","",Sheet2!F69&amp;"''")</f>
        <v/>
      </c>
      <c r="U69" s="12"/>
      <c r="X69" s="15" t="str">
        <f>IF(Sheet2!G69="","",Sheet2!G69&amp;"''")</f>
        <v/>
      </c>
      <c r="AA69" s="12"/>
    </row>
    <row r="70" spans="7:27" x14ac:dyDescent="0.25">
      <c r="G70" s="15" t="str">
        <f>IF(Sheet2!A70="","",Sheet2!A70)</f>
        <v/>
      </c>
      <c r="H70" s="18" t="str">
        <f>IF(Sheet2!O70="","",LEFT(Sheet2!O70, FIND(" ", Sheet2!O70)-1))</f>
        <v/>
      </c>
      <c r="I70" s="15" t="str">
        <f>IF(Sheet2!S70&lt;19,ROUND(Sheet2!I70,2)&amp;"'",IF(Sheet2!S70&lt;25,ROUND(Sheet2!J70,2)&amp;"'",IF(Sheet2!S70&lt;31,ROUND(Sheet2!K70,2)&amp;"'",IF(Sheet2!S70&lt;37,ROUND(Sheet2!L70,2)&amp;"'",""))))</f>
        <v/>
      </c>
      <c r="J70" s="13"/>
      <c r="K70" s="12"/>
      <c r="L70" s="15" t="str">
        <f>IF(Sheet2!D70="","",Sheet2!D70&amp;"''")</f>
        <v/>
      </c>
      <c r="N70" s="19"/>
      <c r="O70" s="16" t="str">
        <f>IF(Sheet2!H70="","",ROUND(Sheet2!H70,2)&amp;"'")</f>
        <v/>
      </c>
      <c r="P70" s="18" t="str">
        <f>IF(Sheet2!E70="","",Sheet2!E70&amp;"''")</f>
        <v/>
      </c>
      <c r="Q70" s="12"/>
      <c r="T70" s="15" t="str">
        <f>IF(Sheet2!F70="","",Sheet2!F70&amp;"''")</f>
        <v/>
      </c>
      <c r="U70" s="12"/>
      <c r="X70" s="15" t="str">
        <f>IF(Sheet2!G70="","",Sheet2!G70&amp;"''")</f>
        <v/>
      </c>
      <c r="AA70" s="12"/>
    </row>
    <row r="71" spans="7:27" x14ac:dyDescent="0.25">
      <c r="G71" s="15" t="str">
        <f>IF(Sheet2!A71="","",Sheet2!A71)</f>
        <v/>
      </c>
      <c r="H71" s="18" t="str">
        <f>IF(Sheet2!O71="","",LEFT(Sheet2!O71, FIND(" ", Sheet2!O71)-1))</f>
        <v/>
      </c>
      <c r="I71" s="15" t="str">
        <f>IF(Sheet2!S71&lt;19,ROUND(Sheet2!I71,2)&amp;"'",IF(Sheet2!S71&lt;25,ROUND(Sheet2!J71,2)&amp;"'",IF(Sheet2!S71&lt;31,ROUND(Sheet2!K71,2)&amp;"'",IF(Sheet2!S71&lt;37,ROUND(Sheet2!L71,2)&amp;"'",""))))</f>
        <v/>
      </c>
      <c r="J71" s="13"/>
      <c r="K71" s="12"/>
      <c r="L71" s="15" t="str">
        <f>IF(Sheet2!D71="","",Sheet2!D71&amp;"''")</f>
        <v/>
      </c>
      <c r="M71" s="12"/>
      <c r="N71" s="19"/>
      <c r="O71" s="16" t="str">
        <f>IF(Sheet2!H71="","",ROUND(Sheet2!H71,2)&amp;"'")</f>
        <v/>
      </c>
      <c r="P71" s="18" t="str">
        <f>IF(Sheet2!E71="","",Sheet2!E71&amp;"''")</f>
        <v/>
      </c>
      <c r="Q71" s="12"/>
      <c r="T71" s="15" t="str">
        <f>IF(Sheet2!F71="","",Sheet2!F71&amp;"''")</f>
        <v/>
      </c>
      <c r="U71" s="12"/>
      <c r="X71" s="15" t="str">
        <f>IF(Sheet2!G71="","",Sheet2!G71&amp;"''")</f>
        <v/>
      </c>
      <c r="AA71" s="12"/>
    </row>
    <row r="72" spans="7:27" x14ac:dyDescent="0.25">
      <c r="G72" s="15" t="str">
        <f>IF(Sheet2!A72="","",Sheet2!A72)</f>
        <v/>
      </c>
      <c r="H72" s="18" t="str">
        <f>IF(Sheet2!O72="","",LEFT(Sheet2!O72, FIND(" ", Sheet2!O72)-1))</f>
        <v/>
      </c>
      <c r="I72" s="15" t="str">
        <f>IF(Sheet2!S72&lt;19,ROUND(Sheet2!I72,2)&amp;"'",IF(Sheet2!S72&lt;25,ROUND(Sheet2!J72,2)&amp;"'",IF(Sheet2!S72&lt;31,ROUND(Sheet2!K72,2)&amp;"'",IF(Sheet2!S72&lt;37,ROUND(Sheet2!L72,2)&amp;"'",""))))</f>
        <v/>
      </c>
      <c r="J72" s="13"/>
      <c r="K72" s="12"/>
      <c r="L72" s="15" t="str">
        <f>IF(Sheet2!D72="","",Sheet2!D72&amp;"''")</f>
        <v/>
      </c>
      <c r="M72" s="12"/>
      <c r="N72" s="19"/>
      <c r="O72" s="16" t="str">
        <f>IF(Sheet2!H72="","",ROUND(Sheet2!H72,2)&amp;"'")</f>
        <v/>
      </c>
      <c r="P72" s="18" t="str">
        <f>IF(Sheet2!E72="","",Sheet2!E72&amp;"''")</f>
        <v/>
      </c>
      <c r="Q72" s="12"/>
      <c r="T72" s="15" t="str">
        <f>IF(Sheet2!F72="","",Sheet2!F72&amp;"''")</f>
        <v/>
      </c>
      <c r="U72" s="12"/>
      <c r="X72" s="15" t="str">
        <f>IF(Sheet2!G72="","",Sheet2!G72&amp;"''")</f>
        <v/>
      </c>
      <c r="AA72" s="12"/>
    </row>
    <row r="73" spans="7:27" x14ac:dyDescent="0.25">
      <c r="G73" s="15" t="str">
        <f>IF(Sheet2!A73="","",Sheet2!A73)</f>
        <v/>
      </c>
      <c r="H73" s="18" t="str">
        <f>IF(Sheet2!O73="","",LEFT(Sheet2!O73, FIND(" ", Sheet2!O73)-1))</f>
        <v/>
      </c>
      <c r="I73" s="15" t="str">
        <f>IF(Sheet2!S73&lt;19,ROUND(Sheet2!I73,2)&amp;"'",IF(Sheet2!S73&lt;25,ROUND(Sheet2!J73,2)&amp;"'",IF(Sheet2!S73&lt;31,ROUND(Sheet2!K73,2)&amp;"'",IF(Sheet2!S73&lt;37,ROUND(Sheet2!L73,2)&amp;"'",""))))</f>
        <v/>
      </c>
      <c r="J73" s="13"/>
      <c r="K73" s="12"/>
      <c r="L73" s="15" t="str">
        <f>IF(Sheet2!D73="","",Sheet2!D73&amp;"''")</f>
        <v/>
      </c>
      <c r="M73" s="12"/>
      <c r="N73" s="19"/>
      <c r="O73" s="16" t="str">
        <f>IF(Sheet2!H73="","",ROUND(Sheet2!H73,2)&amp;"'")</f>
        <v/>
      </c>
      <c r="P73" s="18" t="str">
        <f>IF(Sheet2!E73="","",Sheet2!E73&amp;"''")</f>
        <v/>
      </c>
      <c r="Q73" s="12"/>
      <c r="T73" s="15" t="str">
        <f>IF(Sheet2!F73="","",Sheet2!F73&amp;"''")</f>
        <v/>
      </c>
      <c r="U73" s="12"/>
      <c r="X73" s="15" t="str">
        <f>IF(Sheet2!G73="","",Sheet2!G73&amp;"''")</f>
        <v/>
      </c>
      <c r="AA73" s="12"/>
    </row>
    <row r="74" spans="7:27" x14ac:dyDescent="0.25">
      <c r="G74" s="15" t="str">
        <f>IF(Sheet2!A74="","",Sheet2!A74)</f>
        <v/>
      </c>
      <c r="H74" s="18" t="str">
        <f>IF(Sheet2!O74="","",LEFT(Sheet2!O74, FIND(" ", Sheet2!O74)-1))</f>
        <v/>
      </c>
      <c r="I74" s="15" t="str">
        <f>IF(Sheet2!S74&lt;19,ROUND(Sheet2!I74,2)&amp;"'",IF(Sheet2!S74&lt;25,ROUND(Sheet2!J74,2)&amp;"'",IF(Sheet2!S74&lt;31,ROUND(Sheet2!K74,2)&amp;"'",IF(Sheet2!S74&lt;37,ROUND(Sheet2!L74,2)&amp;"'",""))))</f>
        <v/>
      </c>
      <c r="J74" s="13"/>
      <c r="K74" s="12"/>
      <c r="L74" s="15" t="str">
        <f>IF(Sheet2!D74="","",Sheet2!D74&amp;"''")</f>
        <v/>
      </c>
      <c r="M74" s="12"/>
      <c r="N74" s="19"/>
      <c r="O74" s="16" t="str">
        <f>IF(Sheet2!H74="","",ROUND(Sheet2!H74,2)&amp;"'")</f>
        <v/>
      </c>
      <c r="P74" s="18" t="str">
        <f>IF(Sheet2!E74="","",Sheet2!E74&amp;"''")</f>
        <v/>
      </c>
      <c r="Q74" s="12"/>
      <c r="T74" s="15" t="str">
        <f>IF(Sheet2!F74="","",Sheet2!F74&amp;"''")</f>
        <v/>
      </c>
      <c r="U74" s="12"/>
      <c r="X74" s="15" t="str">
        <f>IF(Sheet2!G74="","",Sheet2!G74&amp;"''")</f>
        <v/>
      </c>
      <c r="AA74" s="12"/>
    </row>
    <row r="75" spans="7:27" x14ac:dyDescent="0.25">
      <c r="G75" s="15" t="str">
        <f>IF(Sheet2!A75="","",Sheet2!A75)</f>
        <v/>
      </c>
      <c r="H75" s="18" t="str">
        <f>IF(Sheet2!O75="","",LEFT(Sheet2!O75, FIND(" ", Sheet2!O75)-1))</f>
        <v/>
      </c>
      <c r="I75" s="15" t="str">
        <f>IF(Sheet2!S75&lt;19,ROUND(Sheet2!I75,2)&amp;"'",IF(Sheet2!S75&lt;25,ROUND(Sheet2!J75,2)&amp;"'",IF(Sheet2!S75&lt;31,ROUND(Sheet2!K75,2)&amp;"'",IF(Sheet2!S75&lt;37,ROUND(Sheet2!L75,2)&amp;"'",""))))</f>
        <v/>
      </c>
      <c r="J75" s="13"/>
      <c r="K75" s="12"/>
      <c r="L75" s="15" t="str">
        <f>IF(Sheet2!D75="","",Sheet2!D75&amp;"''")</f>
        <v/>
      </c>
      <c r="M75" s="12"/>
      <c r="N75" s="19"/>
      <c r="O75" s="16" t="str">
        <f>IF(Sheet2!H75="","",ROUND(Sheet2!H75,2)&amp;"'")</f>
        <v/>
      </c>
      <c r="P75" s="18" t="str">
        <f>IF(Sheet2!E75="","",Sheet2!E75&amp;"''")</f>
        <v/>
      </c>
      <c r="Q75" s="12"/>
      <c r="T75" s="15" t="str">
        <f>IF(Sheet2!F75="","",Sheet2!F75&amp;"''")</f>
        <v/>
      </c>
      <c r="U75" s="12"/>
      <c r="X75" s="15" t="str">
        <f>IF(Sheet2!G75="","",Sheet2!G75&amp;"''")</f>
        <v/>
      </c>
      <c r="AA75" s="12"/>
    </row>
    <row r="76" spans="7:27" x14ac:dyDescent="0.25">
      <c r="G76" s="15" t="str">
        <f>IF(Sheet2!A76="","",Sheet2!A76)</f>
        <v/>
      </c>
      <c r="H76" s="18" t="str">
        <f>IF(Sheet2!O76="","",LEFT(Sheet2!O76, FIND(" ", Sheet2!O76)-1))</f>
        <v/>
      </c>
      <c r="I76" s="15" t="str">
        <f>IF(Sheet2!S76&lt;19,ROUND(Sheet2!I76,2)&amp;"'",IF(Sheet2!S76&lt;25,ROUND(Sheet2!J76,2)&amp;"'",IF(Sheet2!S76&lt;31,ROUND(Sheet2!K76,2)&amp;"'",IF(Sheet2!S76&lt;37,ROUND(Sheet2!L76,2)&amp;"'",""))))</f>
        <v/>
      </c>
      <c r="J76" s="13"/>
      <c r="K76" s="12"/>
      <c r="L76" s="15" t="str">
        <f>IF(Sheet2!D76="","",Sheet2!D76&amp;"''")</f>
        <v/>
      </c>
      <c r="M76" s="12"/>
      <c r="N76" s="19"/>
      <c r="O76" s="16" t="str">
        <f>IF(Sheet2!H76="","",ROUND(Sheet2!H76,2)&amp;"'")</f>
        <v/>
      </c>
      <c r="P76" s="18" t="str">
        <f>IF(Sheet2!E76="","",Sheet2!E76&amp;"''")</f>
        <v/>
      </c>
      <c r="Q76" s="12"/>
      <c r="T76" s="15" t="str">
        <f>IF(Sheet2!F76="","",Sheet2!F76&amp;"''")</f>
        <v/>
      </c>
      <c r="U76" s="12"/>
      <c r="X76" s="15" t="str">
        <f>IF(Sheet2!G76="","",Sheet2!G76&amp;"''")</f>
        <v/>
      </c>
      <c r="AA76" s="12"/>
    </row>
    <row r="77" spans="7:27" x14ac:dyDescent="0.25">
      <c r="G77" s="15" t="str">
        <f>IF(Sheet2!A77="","",Sheet2!A77)</f>
        <v/>
      </c>
      <c r="H77" s="18" t="str">
        <f>IF(Sheet2!O77="","",LEFT(Sheet2!O77, FIND(" ", Sheet2!O77)-1))</f>
        <v/>
      </c>
      <c r="I77" s="15" t="str">
        <f>IF(Sheet2!S77&lt;19,ROUND(Sheet2!I77,2)&amp;"'",IF(Sheet2!S77&lt;25,ROUND(Sheet2!J77,2)&amp;"'",IF(Sheet2!S77&lt;31,ROUND(Sheet2!K77,2)&amp;"'",IF(Sheet2!S77&lt;37,ROUND(Sheet2!L77,2)&amp;"'",""))))</f>
        <v/>
      </c>
      <c r="J77" s="13"/>
      <c r="K77" s="12"/>
      <c r="L77" s="15" t="str">
        <f>IF(Sheet2!D77="","",Sheet2!D77&amp;"''")</f>
        <v/>
      </c>
      <c r="M77" s="12"/>
      <c r="N77" s="19"/>
      <c r="O77" s="16" t="str">
        <f>IF(Sheet2!H77="","",ROUND(Sheet2!H77,2)&amp;"'")</f>
        <v/>
      </c>
      <c r="P77" s="18" t="str">
        <f>IF(Sheet2!E77="","",Sheet2!E77&amp;"''")</f>
        <v/>
      </c>
      <c r="Q77" s="12"/>
      <c r="T77" s="15" t="str">
        <f>IF(Sheet2!F77="","",Sheet2!F77&amp;"''")</f>
        <v/>
      </c>
      <c r="U77" s="12"/>
      <c r="X77" s="15" t="str">
        <f>IF(Sheet2!G77="","",Sheet2!G77&amp;"''")</f>
        <v/>
      </c>
      <c r="AA77" s="12"/>
    </row>
    <row r="78" spans="7:27" x14ac:dyDescent="0.25">
      <c r="G78" s="15" t="str">
        <f>IF(Sheet2!A78="","",Sheet2!A78)</f>
        <v/>
      </c>
      <c r="H78" s="18" t="str">
        <f>IF(Sheet2!O78="","",LEFT(Sheet2!O78, FIND(" ", Sheet2!O78)-1))</f>
        <v/>
      </c>
      <c r="I78" s="15" t="str">
        <f>IF(Sheet2!S78&lt;19,ROUND(Sheet2!I78,2)&amp;"'",IF(Sheet2!S78&lt;25,ROUND(Sheet2!J78,2)&amp;"'",IF(Sheet2!S78&lt;31,ROUND(Sheet2!K78,2)&amp;"'",IF(Sheet2!S78&lt;37,ROUND(Sheet2!L78,2)&amp;"'",""))))</f>
        <v/>
      </c>
      <c r="J78" s="13"/>
      <c r="K78" s="12"/>
      <c r="L78" s="15" t="str">
        <f>IF(Sheet2!D78="","",Sheet2!D78&amp;"''")</f>
        <v/>
      </c>
      <c r="M78" s="12"/>
      <c r="N78" s="19"/>
      <c r="O78" s="16" t="str">
        <f>IF(Sheet2!H78="","",ROUND(Sheet2!H78,2)&amp;"'")</f>
        <v/>
      </c>
      <c r="P78" s="18" t="str">
        <f>IF(Sheet2!E78="","",Sheet2!E78&amp;"''")</f>
        <v/>
      </c>
      <c r="Q78" s="12"/>
      <c r="T78" s="15" t="str">
        <f>IF(Sheet2!F78="","",Sheet2!F78&amp;"''")</f>
        <v/>
      </c>
      <c r="U78" s="12"/>
      <c r="X78" s="15" t="str">
        <f>IF(Sheet2!G78="","",Sheet2!G78&amp;"''")</f>
        <v/>
      </c>
      <c r="AA78" s="12"/>
    </row>
    <row r="79" spans="7:27" x14ac:dyDescent="0.25">
      <c r="G79" s="15" t="str">
        <f>IF(Sheet2!A79="","",Sheet2!A79)</f>
        <v/>
      </c>
      <c r="H79" s="18" t="str">
        <f>IF(Sheet2!O79="","",LEFT(Sheet2!O79, FIND(" ", Sheet2!O79)-1))</f>
        <v/>
      </c>
      <c r="I79" s="15" t="str">
        <f>IF(Sheet2!S79&lt;19,ROUND(Sheet2!I79,2)&amp;"'",IF(Sheet2!S79&lt;25,ROUND(Sheet2!J79,2)&amp;"'",IF(Sheet2!S79&lt;31,ROUND(Sheet2!K79,2)&amp;"'",IF(Sheet2!S79&lt;37,ROUND(Sheet2!L79,2)&amp;"'",""))))</f>
        <v/>
      </c>
      <c r="J79" s="13"/>
      <c r="K79" s="12"/>
      <c r="L79" s="15" t="str">
        <f>IF(Sheet2!D79="","",Sheet2!D79&amp;"''")</f>
        <v/>
      </c>
      <c r="M79" s="12"/>
      <c r="N79" s="19"/>
      <c r="O79" s="16" t="str">
        <f>IF(Sheet2!H79="","",ROUND(Sheet2!H79,2)&amp;"'")</f>
        <v/>
      </c>
      <c r="P79" s="18" t="str">
        <f>IF(Sheet2!E79="","",Sheet2!E79&amp;"''")</f>
        <v/>
      </c>
      <c r="Q79" s="12"/>
      <c r="T79" s="15" t="str">
        <f>IF(Sheet2!F79="","",Sheet2!F79&amp;"''")</f>
        <v/>
      </c>
      <c r="U79" s="12"/>
      <c r="X79" s="15" t="str">
        <f>IF(Sheet2!G79="","",Sheet2!G79&amp;"''")</f>
        <v/>
      </c>
      <c r="AA79" s="12"/>
    </row>
    <row r="80" spans="7:27" x14ac:dyDescent="0.25">
      <c r="G80" s="15" t="str">
        <f>IF(Sheet2!A80="","",Sheet2!A80)</f>
        <v/>
      </c>
      <c r="H80" s="18" t="str">
        <f>IF(Sheet2!O80="","",LEFT(Sheet2!O80, FIND(" ", Sheet2!O80)-1))</f>
        <v/>
      </c>
      <c r="I80" s="15" t="str">
        <f>IF(Sheet2!S80&lt;19,ROUND(Sheet2!I80,2)&amp;"'",IF(Sheet2!S80&lt;25,ROUND(Sheet2!J80,2)&amp;"'",IF(Sheet2!S80&lt;31,ROUND(Sheet2!K80,2)&amp;"'",IF(Sheet2!S80&lt;37,ROUND(Sheet2!L80,2)&amp;"'",""))))</f>
        <v/>
      </c>
      <c r="J80" s="13"/>
      <c r="K80" s="12"/>
      <c r="L80" s="15" t="str">
        <f>IF(Sheet2!D80="","",Sheet2!D80&amp;"''")</f>
        <v/>
      </c>
      <c r="M80" s="12"/>
      <c r="N80" s="19"/>
      <c r="O80" s="16" t="str">
        <f>IF(Sheet2!H80="","",ROUND(Sheet2!H80,2)&amp;"'")</f>
        <v/>
      </c>
      <c r="P80" s="18" t="str">
        <f>IF(Sheet2!E80="","",Sheet2!E80&amp;"''")</f>
        <v/>
      </c>
      <c r="Q80" s="12"/>
      <c r="T80" s="15" t="str">
        <f>IF(Sheet2!F80="","",Sheet2!F80&amp;"''")</f>
        <v/>
      </c>
      <c r="U80" s="12"/>
      <c r="X80" s="15" t="str">
        <f>IF(Sheet2!G80="","",Sheet2!G80&amp;"''")</f>
        <v/>
      </c>
      <c r="AA80" s="12"/>
    </row>
    <row r="81" spans="7:27" x14ac:dyDescent="0.25">
      <c r="G81" s="15" t="str">
        <f>IF(Sheet2!A81="","",Sheet2!A81)</f>
        <v/>
      </c>
      <c r="H81" s="18" t="str">
        <f>IF(Sheet2!O81="","",LEFT(Sheet2!O81, FIND(" ", Sheet2!O81)-1))</f>
        <v/>
      </c>
      <c r="I81" s="15" t="str">
        <f>IF(Sheet2!S81&lt;19,ROUND(Sheet2!I81,2)&amp;"'",IF(Sheet2!S81&lt;25,ROUND(Sheet2!J81,2)&amp;"'",IF(Sheet2!S81&lt;31,ROUND(Sheet2!K81,2)&amp;"'",IF(Sheet2!S81&lt;37,ROUND(Sheet2!L81,2)&amp;"'",""))))</f>
        <v/>
      </c>
      <c r="J81" s="13"/>
      <c r="K81" s="12"/>
      <c r="L81" s="15" t="str">
        <f>IF(Sheet2!D81="","",Sheet2!D81&amp;"''")</f>
        <v/>
      </c>
      <c r="M81" s="12"/>
      <c r="N81" s="19"/>
      <c r="O81" s="16" t="str">
        <f>IF(Sheet2!H81="","",ROUND(Sheet2!H81,2)&amp;"'")</f>
        <v/>
      </c>
      <c r="P81" s="18" t="str">
        <f>IF(Sheet2!E81="","",Sheet2!E81&amp;"''")</f>
        <v/>
      </c>
      <c r="Q81" s="12"/>
      <c r="T81" s="15" t="str">
        <f>IF(Sheet2!F81="","",Sheet2!F81&amp;"''")</f>
        <v/>
      </c>
      <c r="U81" s="12"/>
      <c r="X81" s="15" t="str">
        <f>IF(Sheet2!G81="","",Sheet2!G81&amp;"''")</f>
        <v/>
      </c>
      <c r="AA81" s="12"/>
    </row>
    <row r="82" spans="7:27" x14ac:dyDescent="0.25">
      <c r="G82" s="15" t="str">
        <f>IF(Sheet2!A82="","",Sheet2!A82)</f>
        <v/>
      </c>
      <c r="H82" s="18" t="str">
        <f>IF(Sheet2!O82="","",LEFT(Sheet2!O82, FIND(" ", Sheet2!O82)-1))</f>
        <v/>
      </c>
      <c r="I82" s="15" t="str">
        <f>IF(Sheet2!S82&lt;19,ROUND(Sheet2!I82,2)&amp;"'",IF(Sheet2!S82&lt;25,ROUND(Sheet2!J82,2)&amp;"'",IF(Sheet2!S82&lt;31,ROUND(Sheet2!K82,2)&amp;"'",IF(Sheet2!S82&lt;37,ROUND(Sheet2!L82,2)&amp;"'",""))))</f>
        <v/>
      </c>
      <c r="J82" s="13"/>
      <c r="K82" s="12"/>
      <c r="L82" s="15" t="str">
        <f>IF(Sheet2!D82="","",Sheet2!D82&amp;"''")</f>
        <v/>
      </c>
      <c r="M82" s="12"/>
      <c r="N82" s="19"/>
      <c r="O82" s="16" t="str">
        <f>IF(Sheet2!H82="","",ROUND(Sheet2!H82,2)&amp;"'")</f>
        <v/>
      </c>
      <c r="P82" s="18" t="str">
        <f>IF(Sheet2!E82="","",Sheet2!E82&amp;"''")</f>
        <v/>
      </c>
      <c r="Q82" s="12"/>
      <c r="T82" s="15" t="str">
        <f>IF(Sheet2!F82="","",Sheet2!F82&amp;"''")</f>
        <v/>
      </c>
      <c r="U82" s="12"/>
      <c r="X82" s="15" t="str">
        <f>IF(Sheet2!G82="","",Sheet2!G82&amp;"''")</f>
        <v/>
      </c>
      <c r="AA82" s="12"/>
    </row>
    <row r="83" spans="7:27" x14ac:dyDescent="0.25">
      <c r="G83" s="15" t="str">
        <f>IF(Sheet2!A83="","",Sheet2!A83)</f>
        <v/>
      </c>
      <c r="H83" s="18" t="str">
        <f>IF(Sheet2!O83="","",LEFT(Sheet2!O83, FIND(" ", Sheet2!O83)-1))</f>
        <v/>
      </c>
      <c r="I83" s="15" t="str">
        <f>IF(Sheet2!S83&lt;19,ROUND(Sheet2!I83,2)&amp;"'",IF(Sheet2!S83&lt;25,ROUND(Sheet2!J83,2)&amp;"'",IF(Sheet2!S83&lt;31,ROUND(Sheet2!K83,2)&amp;"'",IF(Sheet2!S83&lt;37,ROUND(Sheet2!L83,2)&amp;"'",""))))</f>
        <v/>
      </c>
      <c r="J83" s="13"/>
      <c r="K83" s="12"/>
      <c r="L83" s="15" t="str">
        <f>IF(Sheet2!D83="","",Sheet2!D83&amp;"''")</f>
        <v/>
      </c>
      <c r="M83" s="12"/>
      <c r="N83" s="19"/>
      <c r="O83" s="16" t="str">
        <f>IF(Sheet2!H83="","",ROUND(Sheet2!H83,2)&amp;"'")</f>
        <v/>
      </c>
      <c r="P83" s="18" t="str">
        <f>IF(Sheet2!E83="","",Sheet2!E83&amp;"''")</f>
        <v/>
      </c>
      <c r="Q83" s="12"/>
      <c r="T83" s="15" t="str">
        <f>IF(Sheet2!F83="","",Sheet2!F83&amp;"''")</f>
        <v/>
      </c>
      <c r="U83" s="12"/>
      <c r="X83" s="15" t="str">
        <f>IF(Sheet2!G83="","",Sheet2!G83&amp;"''")</f>
        <v/>
      </c>
      <c r="AA83" s="12"/>
    </row>
    <row r="84" spans="7:27" x14ac:dyDescent="0.25">
      <c r="G84" s="15" t="str">
        <f>IF(Sheet2!A84="","",Sheet2!A84)</f>
        <v/>
      </c>
      <c r="H84" s="18" t="str">
        <f>IF(Sheet2!O84="","",LEFT(Sheet2!O84, FIND(" ", Sheet2!O84)-1))</f>
        <v/>
      </c>
      <c r="I84" s="15" t="str">
        <f>IF(Sheet2!S84&lt;19,ROUND(Sheet2!I84,2)&amp;"'",IF(Sheet2!S84&lt;25,ROUND(Sheet2!J84,2)&amp;"'",IF(Sheet2!S84&lt;31,ROUND(Sheet2!K84,2)&amp;"'",IF(Sheet2!S84&lt;37,ROUND(Sheet2!L84,2)&amp;"'",""))))</f>
        <v/>
      </c>
      <c r="J84" s="13"/>
      <c r="K84" s="12"/>
      <c r="L84" s="15" t="str">
        <f>IF(Sheet2!D84="","",Sheet2!D84&amp;"''")</f>
        <v/>
      </c>
      <c r="M84" s="12"/>
      <c r="N84" s="19"/>
      <c r="O84" s="16" t="str">
        <f>IF(Sheet2!H84="","",ROUND(Sheet2!H84,2)&amp;"'")</f>
        <v/>
      </c>
      <c r="P84" s="18" t="str">
        <f>IF(Sheet2!E84="","",Sheet2!E84&amp;"''")</f>
        <v/>
      </c>
      <c r="Q84" s="12"/>
      <c r="T84" s="15" t="str">
        <f>IF(Sheet2!F84="","",Sheet2!F84&amp;"''")</f>
        <v/>
      </c>
      <c r="U84" s="12"/>
      <c r="X84" s="15" t="str">
        <f>IF(Sheet2!G84="","",Sheet2!G84&amp;"''")</f>
        <v/>
      </c>
      <c r="AA84" s="12"/>
    </row>
    <row r="85" spans="7:27" x14ac:dyDescent="0.25">
      <c r="G85" s="15" t="str">
        <f>IF(Sheet2!A85="","",Sheet2!A85)</f>
        <v/>
      </c>
      <c r="H85" s="18" t="str">
        <f>IF(Sheet2!O85="","",LEFT(Sheet2!O85, FIND(" ", Sheet2!O85)-1))</f>
        <v/>
      </c>
      <c r="I85" s="15" t="str">
        <f>IF(Sheet2!S85&lt;19,ROUND(Sheet2!I85,2)&amp;"'",IF(Sheet2!S85&lt;25,ROUND(Sheet2!J85,2)&amp;"'",IF(Sheet2!S85&lt;31,ROUND(Sheet2!K85,2)&amp;"'",IF(Sheet2!S85&lt;37,ROUND(Sheet2!L85,2)&amp;"'",""))))</f>
        <v/>
      </c>
      <c r="J85" s="13"/>
      <c r="K85" s="12"/>
      <c r="L85" s="15" t="str">
        <f>IF(Sheet2!D85="","",Sheet2!D85&amp;"''")</f>
        <v/>
      </c>
      <c r="M85" s="12"/>
      <c r="N85" s="19"/>
      <c r="O85" s="16" t="str">
        <f>IF(Sheet2!H85="","",ROUND(Sheet2!H85,2)&amp;"'")</f>
        <v/>
      </c>
      <c r="P85" s="18" t="str">
        <f>IF(Sheet2!E85="","",Sheet2!E85&amp;"''")</f>
        <v/>
      </c>
      <c r="Q85" s="12"/>
      <c r="T85" s="15" t="str">
        <f>IF(Sheet2!F85="","",Sheet2!F85&amp;"''")</f>
        <v/>
      </c>
      <c r="U85" s="12"/>
      <c r="X85" s="15" t="str">
        <f>IF(Sheet2!G85="","",Sheet2!G85&amp;"''")</f>
        <v/>
      </c>
      <c r="AA85" s="12"/>
    </row>
    <row r="86" spans="7:27" x14ac:dyDescent="0.25">
      <c r="G86" s="15" t="str">
        <f>IF(Sheet2!A86="","",Sheet2!A86)</f>
        <v/>
      </c>
      <c r="H86" s="18" t="str">
        <f>IF(Sheet2!O86="","",LEFT(Sheet2!O86, FIND(" ", Sheet2!O86)-1))</f>
        <v/>
      </c>
      <c r="I86" s="15" t="str">
        <f>IF(Sheet2!S86&lt;19,ROUND(Sheet2!I86,2)&amp;"'",IF(Sheet2!S86&lt;25,ROUND(Sheet2!J86,2)&amp;"'",IF(Sheet2!S86&lt;31,ROUND(Sheet2!K86,2)&amp;"'",IF(Sheet2!S86&lt;37,ROUND(Sheet2!L86,2)&amp;"'",""))))</f>
        <v/>
      </c>
      <c r="J86" s="13"/>
      <c r="K86" s="12"/>
      <c r="L86" s="15" t="str">
        <f>IF(Sheet2!D86="","",Sheet2!D86&amp;"''")</f>
        <v/>
      </c>
      <c r="M86" s="12"/>
      <c r="N86" s="19"/>
      <c r="O86" s="16" t="str">
        <f>IF(Sheet2!H86="","",ROUND(Sheet2!H86,2)&amp;"'")</f>
        <v/>
      </c>
      <c r="P86" s="18" t="str">
        <f>IF(Sheet2!E86="","",Sheet2!E86&amp;"''")</f>
        <v/>
      </c>
      <c r="Q86" s="12"/>
      <c r="T86" s="15" t="str">
        <f>IF(Sheet2!F86="","",Sheet2!F86&amp;"''")</f>
        <v/>
      </c>
      <c r="U86" s="12"/>
      <c r="X86" s="15" t="str">
        <f>IF(Sheet2!G86="","",Sheet2!G86&amp;"''")</f>
        <v/>
      </c>
      <c r="AA86" s="12"/>
    </row>
    <row r="87" spans="7:27" x14ac:dyDescent="0.25">
      <c r="G87" s="15" t="str">
        <f>IF(Sheet2!A87="","",Sheet2!A87)</f>
        <v/>
      </c>
      <c r="H87" s="18" t="str">
        <f>IF(Sheet2!O87="","",LEFT(Sheet2!O87, FIND(" ", Sheet2!O87)-1))</f>
        <v/>
      </c>
      <c r="I87" s="15" t="str">
        <f>IF(Sheet2!S87&lt;19,ROUND(Sheet2!I87,2)&amp;"'",IF(Sheet2!S87&lt;25,ROUND(Sheet2!J87,2)&amp;"'",IF(Sheet2!S87&lt;31,ROUND(Sheet2!K87,2)&amp;"'",IF(Sheet2!S87&lt;37,ROUND(Sheet2!L87,2)&amp;"'",""))))</f>
        <v/>
      </c>
      <c r="J87" s="13"/>
      <c r="K87" s="12"/>
      <c r="L87" s="15" t="str">
        <f>IF(Sheet2!D87="","",Sheet2!D87&amp;"''")</f>
        <v/>
      </c>
      <c r="M87" s="12"/>
      <c r="N87" s="19"/>
      <c r="O87" s="16" t="str">
        <f>IF(Sheet2!H87="","",ROUND(Sheet2!H87,2)&amp;"'")</f>
        <v/>
      </c>
      <c r="P87" s="18" t="str">
        <f>IF(Sheet2!E87="","",Sheet2!E87&amp;"''")</f>
        <v/>
      </c>
      <c r="Q87" s="12"/>
      <c r="T87" s="15" t="str">
        <f>IF(Sheet2!F87="","",Sheet2!F87&amp;"''")</f>
        <v/>
      </c>
      <c r="U87" s="12"/>
      <c r="X87" s="15" t="str">
        <f>IF(Sheet2!G87="","",Sheet2!G87&amp;"''")</f>
        <v/>
      </c>
      <c r="AA87" s="12"/>
    </row>
    <row r="88" spans="7:27" x14ac:dyDescent="0.25">
      <c r="G88" s="15" t="str">
        <f>IF(Sheet2!A88="","",Sheet2!A88)</f>
        <v/>
      </c>
      <c r="H88" s="18" t="str">
        <f>IF(Sheet2!O88="","",LEFT(Sheet2!O88, FIND(" ", Sheet2!O88)-1))</f>
        <v/>
      </c>
      <c r="I88" s="15" t="str">
        <f>IF(Sheet2!S88&lt;19,ROUND(Sheet2!I88,2)&amp;"'",IF(Sheet2!S88&lt;25,ROUND(Sheet2!J88,2)&amp;"'",IF(Sheet2!S88&lt;31,ROUND(Sheet2!K88,2)&amp;"'",IF(Sheet2!S88&lt;37,ROUND(Sheet2!L88,2)&amp;"'",""))))</f>
        <v/>
      </c>
      <c r="J88" s="13"/>
      <c r="K88" s="12"/>
      <c r="L88" s="15" t="str">
        <f>IF(Sheet2!D88="","",Sheet2!D88&amp;"''")</f>
        <v/>
      </c>
      <c r="M88" s="12"/>
      <c r="N88" s="19"/>
      <c r="O88" s="16" t="str">
        <f>IF(Sheet2!H88="","",ROUND(Sheet2!H88,2)&amp;"'")</f>
        <v/>
      </c>
      <c r="P88" s="18" t="str">
        <f>IF(Sheet2!E88="","",Sheet2!E88&amp;"''")</f>
        <v/>
      </c>
      <c r="Q88" s="12"/>
      <c r="T88" s="15" t="str">
        <f>IF(Sheet2!F88="","",Sheet2!F88&amp;"''")</f>
        <v/>
      </c>
      <c r="U88" s="12"/>
      <c r="X88" s="15" t="str">
        <f>IF(Sheet2!G88="","",Sheet2!G88&amp;"''")</f>
        <v/>
      </c>
      <c r="AA88" s="12"/>
    </row>
    <row r="89" spans="7:27" x14ac:dyDescent="0.25">
      <c r="G89" s="15" t="str">
        <f>IF(Sheet2!A89="","",Sheet2!A89)</f>
        <v/>
      </c>
      <c r="H89" s="18" t="str">
        <f>IF(Sheet2!O89="","",LEFT(Sheet2!O89, FIND(" ", Sheet2!O89)-1))</f>
        <v/>
      </c>
      <c r="I89" s="15" t="str">
        <f>IF(Sheet2!S89&lt;19,ROUND(Sheet2!I89,2)&amp;"'",IF(Sheet2!S89&lt;25,ROUND(Sheet2!J89,2)&amp;"'",IF(Sheet2!S89&lt;31,ROUND(Sheet2!K89,2)&amp;"'",IF(Sheet2!S89&lt;37,ROUND(Sheet2!L89,2)&amp;"'",""))))</f>
        <v/>
      </c>
      <c r="J89" s="13"/>
      <c r="K89" s="12"/>
      <c r="L89" s="15" t="str">
        <f>IF(Sheet2!D89="","",Sheet2!D89&amp;"''")</f>
        <v/>
      </c>
      <c r="M89" s="12"/>
      <c r="N89" s="19"/>
      <c r="O89" s="16" t="str">
        <f>IF(Sheet2!H89="","",ROUND(Sheet2!H89,2)&amp;"'")</f>
        <v/>
      </c>
      <c r="P89" s="18" t="str">
        <f>IF(Sheet2!E89="","",Sheet2!E89&amp;"''")</f>
        <v/>
      </c>
      <c r="Q89" s="12"/>
      <c r="T89" s="15" t="str">
        <f>IF(Sheet2!F89="","",Sheet2!F89&amp;"''")</f>
        <v/>
      </c>
      <c r="U89" s="12"/>
      <c r="X89" s="15" t="str">
        <f>IF(Sheet2!G89="","",Sheet2!G89&amp;"''")</f>
        <v/>
      </c>
      <c r="AA89" s="12"/>
    </row>
    <row r="90" spans="7:27" x14ac:dyDescent="0.25">
      <c r="G90" s="15" t="str">
        <f>IF(Sheet2!A90="","",Sheet2!A90)</f>
        <v/>
      </c>
      <c r="H90" s="18" t="str">
        <f>IF(Sheet2!O90="","",LEFT(Sheet2!O90, FIND(" ", Sheet2!O90)-1))</f>
        <v/>
      </c>
      <c r="I90" s="15" t="str">
        <f>IF(Sheet2!S90&lt;19,ROUND(Sheet2!I90,2)&amp;"'",IF(Sheet2!S90&lt;25,ROUND(Sheet2!J90,2)&amp;"'",IF(Sheet2!S90&lt;31,ROUND(Sheet2!K90,2)&amp;"'",IF(Sheet2!S90&lt;37,ROUND(Sheet2!L90,2)&amp;"'",""))))</f>
        <v/>
      </c>
      <c r="J90" s="13"/>
      <c r="K90" s="12"/>
      <c r="L90" s="15" t="str">
        <f>IF(Sheet2!D90="","",Sheet2!D90&amp;"''")</f>
        <v/>
      </c>
      <c r="M90" s="12"/>
      <c r="N90" s="19"/>
      <c r="O90" s="16" t="str">
        <f>IF(Sheet2!H90="","",ROUND(Sheet2!H90,2)&amp;"'")</f>
        <v/>
      </c>
      <c r="P90" s="18" t="str">
        <f>IF(Sheet2!E90="","",Sheet2!E90&amp;"''")</f>
        <v/>
      </c>
      <c r="Q90" s="12"/>
      <c r="T90" s="15" t="str">
        <f>IF(Sheet2!F90="","",Sheet2!F90&amp;"''")</f>
        <v/>
      </c>
      <c r="U90" s="12"/>
      <c r="X90" s="15" t="str">
        <f>IF(Sheet2!G90="","",Sheet2!G90&amp;"''")</f>
        <v/>
      </c>
      <c r="AA90" s="12"/>
    </row>
    <row r="91" spans="7:27" x14ac:dyDescent="0.25">
      <c r="G91" s="15" t="str">
        <f>IF(Sheet2!A91="","",Sheet2!A91)</f>
        <v/>
      </c>
      <c r="H91" s="18" t="str">
        <f>IF(Sheet2!O91="","",LEFT(Sheet2!O91, FIND(" ", Sheet2!O91)-1))</f>
        <v/>
      </c>
      <c r="I91" s="15" t="str">
        <f>IF(Sheet2!S91&lt;19,ROUND(Sheet2!I91,2)&amp;"'",IF(Sheet2!S91&lt;25,ROUND(Sheet2!J91,2)&amp;"'",IF(Sheet2!S91&lt;31,ROUND(Sheet2!K91,2)&amp;"'",IF(Sheet2!S91&lt;37,ROUND(Sheet2!L91,2)&amp;"'",""))))</f>
        <v/>
      </c>
      <c r="L91" s="15" t="str">
        <f>IF(Sheet2!D91="","",Sheet2!D91&amp;"''")</f>
        <v/>
      </c>
      <c r="N91" s="19"/>
      <c r="O91" s="16" t="str">
        <f>IF(Sheet2!H91="","",ROUND(Sheet2!H91,2)&amp;"'")</f>
        <v/>
      </c>
      <c r="P91" s="18" t="str">
        <f>IF(Sheet2!E91="","",Sheet2!E91&amp;"''")</f>
        <v/>
      </c>
      <c r="Q91" s="12"/>
      <c r="T91" s="15" t="str">
        <f>IF(Sheet2!F91="","",Sheet2!F91&amp;"''")</f>
        <v/>
      </c>
      <c r="U91" s="12"/>
      <c r="X91" s="15" t="str">
        <f>IF(Sheet2!G91="","",Sheet2!G91&amp;"''")</f>
        <v/>
      </c>
      <c r="AA91" s="12"/>
    </row>
    <row r="92" spans="7:27" x14ac:dyDescent="0.25">
      <c r="G92" s="15" t="str">
        <f>IF(Sheet2!A92="","",Sheet2!A92)</f>
        <v/>
      </c>
      <c r="H92" s="18" t="str">
        <f>IF(Sheet2!O92="","",LEFT(Sheet2!O92, FIND(" ", Sheet2!O92)-1))</f>
        <v/>
      </c>
      <c r="I92" s="15" t="str">
        <f>IF(Sheet2!S92&lt;19,ROUND(Sheet2!I92,2)&amp;"'",IF(Sheet2!S92&lt;25,ROUND(Sheet2!J92,2)&amp;"'",IF(Sheet2!S92&lt;31,ROUND(Sheet2!K92,2)&amp;"'",IF(Sheet2!S92&lt;37,ROUND(Sheet2!L92,2)&amp;"'",""))))</f>
        <v/>
      </c>
      <c r="L92" s="15" t="str">
        <f>IF(Sheet2!D92="","",Sheet2!D92&amp;"''")</f>
        <v/>
      </c>
      <c r="N92" s="19"/>
      <c r="O92" s="16" t="str">
        <f>IF(Sheet2!H92="","",ROUND(Sheet2!H92,2)&amp;"'")</f>
        <v/>
      </c>
      <c r="P92" s="18" t="str">
        <f>IF(Sheet2!E92="","",Sheet2!E92&amp;"''")</f>
        <v/>
      </c>
      <c r="Q92" s="12"/>
      <c r="T92" s="15" t="str">
        <f>IF(Sheet2!F92="","",Sheet2!F92&amp;"''")</f>
        <v/>
      </c>
      <c r="U92" s="12"/>
      <c r="X92" s="15" t="str">
        <f>IF(Sheet2!G92="","",Sheet2!G92&amp;"''")</f>
        <v/>
      </c>
      <c r="AA92" s="12"/>
    </row>
    <row r="93" spans="7:27" x14ac:dyDescent="0.25">
      <c r="G93" s="15" t="str">
        <f>IF(Sheet2!A93="","",Sheet2!A93)</f>
        <v/>
      </c>
      <c r="H93" s="18" t="str">
        <f>IF(Sheet2!O93="","",LEFT(Sheet2!O93, FIND(" ", Sheet2!O93)-1))</f>
        <v/>
      </c>
      <c r="I93" s="15" t="str">
        <f>IF(Sheet2!S93&lt;19,ROUND(Sheet2!I93,2)&amp;"'",IF(Sheet2!S93&lt;25,ROUND(Sheet2!J93,2)&amp;"'",IF(Sheet2!S93&lt;31,ROUND(Sheet2!K93,2)&amp;"'",IF(Sheet2!S93&lt;37,ROUND(Sheet2!L93,2)&amp;"'",""))))</f>
        <v/>
      </c>
      <c r="L93" s="15" t="str">
        <f>IF(Sheet2!D93="","",Sheet2!D93&amp;"''")</f>
        <v/>
      </c>
      <c r="N93" s="19"/>
      <c r="O93" s="16" t="str">
        <f>IF(Sheet2!H93="","",ROUND(Sheet2!H93,2)&amp;"'")</f>
        <v/>
      </c>
      <c r="P93" s="18" t="str">
        <f>IF(Sheet2!E93="","",Sheet2!E93&amp;"''")</f>
        <v/>
      </c>
      <c r="Q93" s="12"/>
      <c r="T93" s="15" t="str">
        <f>IF(Sheet2!F93="","",Sheet2!F93&amp;"''")</f>
        <v/>
      </c>
      <c r="U93" s="12"/>
      <c r="X93" s="15" t="str">
        <f>IF(Sheet2!G93="","",Sheet2!G93&amp;"''")</f>
        <v/>
      </c>
      <c r="AA93" s="12"/>
    </row>
    <row r="94" spans="7:27" x14ac:dyDescent="0.25">
      <c r="G94" s="15" t="str">
        <f>IF(Sheet2!A94="","",Sheet2!A94)</f>
        <v/>
      </c>
      <c r="H94" s="18" t="str">
        <f>IF(Sheet2!O94="","",LEFT(Sheet2!O94, FIND(" ", Sheet2!O94)-1))</f>
        <v/>
      </c>
      <c r="I94" s="15" t="str">
        <f>IF(Sheet2!S94&lt;19,ROUND(Sheet2!I94,2)&amp;"'",IF(Sheet2!S94&lt;25,ROUND(Sheet2!J94,2)&amp;"'",IF(Sheet2!S94&lt;31,ROUND(Sheet2!K94,2)&amp;"'",IF(Sheet2!S94&lt;37,ROUND(Sheet2!L94,2)&amp;"'",""))))</f>
        <v/>
      </c>
      <c r="L94" s="15" t="str">
        <f>IF(Sheet2!D94="","",Sheet2!D94&amp;"''")</f>
        <v/>
      </c>
      <c r="O94" s="16" t="str">
        <f>IF(Sheet2!H94="","",ROUND(Sheet2!H94,2)&amp;"'")</f>
        <v/>
      </c>
      <c r="P94" s="18" t="str">
        <f>IF(Sheet2!E94="","",Sheet2!E94&amp;"''")</f>
        <v/>
      </c>
      <c r="Q94" s="12" t="str" cm="1">
        <f t="array" ref="Q94">IF(P94="","",_xlfn.XLOOKUP(G94,[1]Sheet1!$G:$G,[1]Sheet1!$Q:$S))</f>
        <v/>
      </c>
      <c r="T94" s="15" t="str">
        <f>IF(Sheet2!F94="","",Sheet2!F94&amp;"''")</f>
        <v/>
      </c>
      <c r="U94" s="12" t="str" cm="1">
        <f t="array" ref="U94">IF(T94="","",_xlfn.XLOOKUP(G94,[1]Sheet1!$G:$G,[1]Sheet1!$U:$W))</f>
        <v/>
      </c>
      <c r="X94" s="15" t="str">
        <f>IF(Sheet2!G94="","",Sheet2!G94&amp;"''")</f>
        <v/>
      </c>
    </row>
    <row r="95" spans="7:27" x14ac:dyDescent="0.25">
      <c r="G95" s="15" t="str">
        <f>IF(Sheet2!A95="","",Sheet2!A95)</f>
        <v/>
      </c>
      <c r="H95" s="18" t="str">
        <f>IF(Sheet2!O95="","",LEFT(Sheet2!O95, FIND(" ", Sheet2!O95)-1))</f>
        <v/>
      </c>
      <c r="I95" s="15" t="str">
        <f>IF(Sheet2!S95&lt;19,ROUND(Sheet2!I95,2)&amp;"'",IF(Sheet2!S95&lt;25,ROUND(Sheet2!J95,2)&amp;"'",IF(Sheet2!S95&lt;31,ROUND(Sheet2!K95,2)&amp;"'",IF(Sheet2!S95&lt;37,ROUND(Sheet2!L95,2)&amp;"'",""))))</f>
        <v/>
      </c>
      <c r="L95" s="15" t="str">
        <f>IF(Sheet2!D95="","",Sheet2!D95&amp;"''")</f>
        <v/>
      </c>
      <c r="O95" s="16" t="str">
        <f>IF(Sheet2!H95="","",ROUND(Sheet2!H95,2)&amp;"'")</f>
        <v/>
      </c>
      <c r="P95" s="18" t="str">
        <f>IF(Sheet2!E95="","",Sheet2!E95&amp;"''")</f>
        <v/>
      </c>
      <c r="Q95" s="12" t="str" cm="1">
        <f t="array" ref="Q95">IF(P95="","",_xlfn.XLOOKUP(G95,[1]Sheet1!$G:$G,[1]Sheet1!$Q:$S))</f>
        <v/>
      </c>
      <c r="T95" s="15" t="str">
        <f>IF(Sheet2!F95="","",Sheet2!F95&amp;"''")</f>
        <v/>
      </c>
      <c r="U95" s="12" t="str" cm="1">
        <f t="array" ref="U95">IF(T95="","",_xlfn.XLOOKUP(G95,[1]Sheet1!$G:$G,[1]Sheet1!$U:$W))</f>
        <v/>
      </c>
      <c r="X95" s="15" t="str">
        <f>IF(Sheet2!G95="","",Sheet2!G95&amp;"''")</f>
        <v/>
      </c>
    </row>
    <row r="96" spans="7:27" x14ac:dyDescent="0.25">
      <c r="G96" s="15" t="str">
        <f>IF(Sheet2!A96="","",Sheet2!A96)</f>
        <v/>
      </c>
      <c r="H96" s="18" t="str">
        <f>IF(Sheet2!O96="","",LEFT(Sheet2!O96, FIND(" ", Sheet2!O96)-1))</f>
        <v/>
      </c>
      <c r="I96" s="15" t="str">
        <f>IF(Sheet2!S96&lt;19,ROUND(Sheet2!I96,2)&amp;"'",IF(Sheet2!S96&lt;25,ROUND(Sheet2!J96,2)&amp;"'",IF(Sheet2!S96&lt;31,ROUND(Sheet2!K96,2)&amp;"'",IF(Sheet2!S96&lt;37,ROUND(Sheet2!L96,2)&amp;"'",""))))</f>
        <v/>
      </c>
      <c r="L96" s="15" t="str">
        <f>IF(Sheet2!D96="","",Sheet2!D96&amp;"''")</f>
        <v/>
      </c>
      <c r="O96" s="16" t="str">
        <f>IF(Sheet2!H96="","",ROUND(Sheet2!H96,2)&amp;"'")</f>
        <v/>
      </c>
      <c r="P96" s="18" t="str">
        <f>IF(Sheet2!E96="","",Sheet2!E96&amp;"''")</f>
        <v/>
      </c>
      <c r="Q96" s="12" t="str" cm="1">
        <f t="array" ref="Q96">IF(P96="","",_xlfn.XLOOKUP(G96,[1]Sheet1!$G:$G,[1]Sheet1!$Q:$S))</f>
        <v/>
      </c>
      <c r="T96" s="15" t="str">
        <f>IF(Sheet2!F96="","",Sheet2!F96&amp;"''")</f>
        <v/>
      </c>
      <c r="U96" s="12" t="str" cm="1">
        <f t="array" ref="U96">IF(T96="","",_xlfn.XLOOKUP(G96,[1]Sheet1!$G:$G,[1]Sheet1!$U:$W))</f>
        <v/>
      </c>
      <c r="X96" s="15" t="str">
        <f>IF(Sheet2!G96="","",Sheet2!G96&amp;"''")</f>
        <v/>
      </c>
    </row>
    <row r="97" spans="7:24" x14ac:dyDescent="0.25">
      <c r="G97" s="15" t="str">
        <f>IF(Sheet2!A97="","",Sheet2!A97)</f>
        <v/>
      </c>
      <c r="H97" s="18" t="str">
        <f>IF(Sheet2!O97="","",LEFT(Sheet2!O97, FIND(" ", Sheet2!O97)-1))</f>
        <v/>
      </c>
      <c r="I97" s="15" t="str">
        <f>IF(Sheet2!S97&lt;19,ROUND(Sheet2!I97,2)&amp;"'",IF(Sheet2!S97&lt;25,ROUND(Sheet2!J97,2)&amp;"'",IF(Sheet2!S97&lt;31,ROUND(Sheet2!K97,2)&amp;"'",IF(Sheet2!S97&lt;37,ROUND(Sheet2!L97,2)&amp;"'",""))))</f>
        <v/>
      </c>
      <c r="L97" s="15" t="str">
        <f>IF(Sheet2!D97="","",Sheet2!D97&amp;"''")</f>
        <v/>
      </c>
      <c r="O97" s="16" t="str">
        <f>IF(Sheet2!H97="","",ROUND(Sheet2!H97,2)&amp;"'")</f>
        <v/>
      </c>
      <c r="P97" s="18" t="str">
        <f>IF(Sheet2!E97="","",Sheet2!E97&amp;"''")</f>
        <v/>
      </c>
      <c r="Q97" s="12" t="str" cm="1">
        <f t="array" ref="Q97">IF(P97="","",_xlfn.XLOOKUP(G97,[1]Sheet1!$G:$G,[1]Sheet1!$Q:$S))</f>
        <v/>
      </c>
      <c r="T97" s="15" t="str">
        <f>IF(Sheet2!F97="","",Sheet2!F97&amp;"''")</f>
        <v/>
      </c>
      <c r="U97" s="12" t="str" cm="1">
        <f t="array" ref="U97">IF(T97="","",_xlfn.XLOOKUP(G97,[1]Sheet1!$G:$G,[1]Sheet1!$U:$W))</f>
        <v/>
      </c>
      <c r="X97" s="15" t="str">
        <f>IF(Sheet2!G97="","",Sheet2!G97&amp;"''")</f>
        <v/>
      </c>
    </row>
    <row r="98" spans="7:24" x14ac:dyDescent="0.25">
      <c r="G98" s="15" t="str">
        <f>IF(Sheet2!A98="","",Sheet2!A98)</f>
        <v/>
      </c>
      <c r="H98" s="18" t="str">
        <f>IF(Sheet2!O98="","",LEFT(Sheet2!O98, FIND(" ", Sheet2!O98)-1))</f>
        <v/>
      </c>
      <c r="I98" s="15" t="str">
        <f>IF(Sheet2!S98&lt;19,ROUND(Sheet2!I98,2)&amp;"'",IF(Sheet2!S98&lt;25,ROUND(Sheet2!J98,2)&amp;"'",IF(Sheet2!S98&lt;31,ROUND(Sheet2!K98,2)&amp;"'",IF(Sheet2!S98&lt;37,ROUND(Sheet2!L98,2)&amp;"'",""))))</f>
        <v/>
      </c>
      <c r="L98" s="15" t="str">
        <f>IF(Sheet2!D98="","",Sheet2!D98&amp;"''")</f>
        <v/>
      </c>
      <c r="O98" s="16" t="str">
        <f>IF(Sheet2!H98="","",ROUND(Sheet2!H98,2)&amp;"'")</f>
        <v/>
      </c>
      <c r="P98" s="18" t="str">
        <f>IF(Sheet2!E98="","",Sheet2!E98&amp;"''")</f>
        <v/>
      </c>
      <c r="Q98" s="12" t="str" cm="1">
        <f t="array" ref="Q98">IF(P98="","",_xlfn.XLOOKUP(G98,[1]Sheet1!$G:$G,[1]Sheet1!$Q:$S))</f>
        <v/>
      </c>
      <c r="T98" s="15" t="str">
        <f>IF(Sheet2!F98="","",Sheet2!F98&amp;"''")</f>
        <v/>
      </c>
      <c r="U98" s="12" t="str" cm="1">
        <f t="array" ref="U98">IF(T98="","",_xlfn.XLOOKUP(G98,[1]Sheet1!$G:$G,[1]Sheet1!$U:$W))</f>
        <v/>
      </c>
      <c r="X98" s="15" t="str">
        <f>IF(Sheet2!G98="","",Sheet2!G98&amp;"''")</f>
        <v/>
      </c>
    </row>
    <row r="99" spans="7:24" x14ac:dyDescent="0.25">
      <c r="G99" s="15" t="str">
        <f>IF(Sheet2!A99="","",Sheet2!A99)</f>
        <v/>
      </c>
      <c r="H99" s="18" t="str">
        <f>IF(Sheet2!O99="","",LEFT(Sheet2!O99, FIND(" ", Sheet2!O99)-1))</f>
        <v/>
      </c>
      <c r="I99" s="15" t="str">
        <f>IF(Sheet2!S99&lt;19,ROUND(Sheet2!I99,2)&amp;"'",IF(Sheet2!S99&lt;25,ROUND(Sheet2!J99,2)&amp;"'",IF(Sheet2!S99&lt;31,ROUND(Sheet2!K99,2)&amp;"'",IF(Sheet2!S99&lt;37,ROUND(Sheet2!L99,2)&amp;"'",""))))</f>
        <v/>
      </c>
      <c r="L99" s="15" t="str">
        <f>IF(Sheet2!D99="","",Sheet2!D99&amp;"''")</f>
        <v/>
      </c>
      <c r="O99" s="16" t="str">
        <f>IF(Sheet2!H99="","",ROUND(Sheet2!H99,2)&amp;"'")</f>
        <v/>
      </c>
      <c r="P99" s="18" t="str">
        <f>IF(Sheet2!E99="","",Sheet2!E99&amp;"''")</f>
        <v/>
      </c>
      <c r="Q99" s="12" t="str" cm="1">
        <f t="array" ref="Q99">IF(P99="","",_xlfn.XLOOKUP(G99,[1]Sheet1!$G:$G,[1]Sheet1!$Q:$S))</f>
        <v/>
      </c>
      <c r="T99" s="15" t="str">
        <f>IF(Sheet2!F99="","",Sheet2!F99&amp;"''")</f>
        <v/>
      </c>
      <c r="U99" s="12" t="str" cm="1">
        <f t="array" ref="U99">IF(T99="","",_xlfn.XLOOKUP(G99,[1]Sheet1!$G:$G,[1]Sheet1!$U:$W))</f>
        <v/>
      </c>
      <c r="X99" s="15" t="str">
        <f>IF(Sheet2!G99="","",Sheet2!G99&amp;"''")</f>
        <v/>
      </c>
    </row>
    <row r="100" spans="7:24" x14ac:dyDescent="0.25">
      <c r="G100" s="15" t="str">
        <f>IF(Sheet2!A100="","",Sheet2!A100)</f>
        <v/>
      </c>
      <c r="H100" s="18" t="str">
        <f>IF(Sheet2!O100="","",LEFT(Sheet2!O100, FIND(" ", Sheet2!O100)-1))</f>
        <v/>
      </c>
      <c r="I100" s="15" t="str">
        <f>IF(Sheet2!S100&lt;19,ROUND(Sheet2!I100,2)&amp;"'",IF(Sheet2!S100&lt;25,ROUND(Sheet2!J100,2)&amp;"'",IF(Sheet2!S100&lt;31,ROUND(Sheet2!K100,2)&amp;"'",IF(Sheet2!S100&lt;37,ROUND(Sheet2!L100,2)&amp;"'",""))))</f>
        <v/>
      </c>
      <c r="L100" s="15" t="str">
        <f>IF(Sheet2!D100="","",Sheet2!D100&amp;"''")</f>
        <v/>
      </c>
      <c r="O100" s="16" t="str">
        <f>IF(Sheet2!H100="","",ROUND(Sheet2!H100,2)&amp;"'")</f>
        <v/>
      </c>
      <c r="P100" s="18" t="str">
        <f>IF(Sheet2!E100="","",Sheet2!E100&amp;"''")</f>
        <v/>
      </c>
      <c r="Q100" s="12" t="str" cm="1">
        <f t="array" ref="Q100">IF(P100="","",_xlfn.XLOOKUP(G100,[1]Sheet1!$G:$G,[1]Sheet1!$Q:$S))</f>
        <v/>
      </c>
      <c r="T100" s="15" t="str">
        <f>IF(Sheet2!F100="","",Sheet2!F100&amp;"''")</f>
        <v/>
      </c>
      <c r="U100" s="12" t="str" cm="1">
        <f t="array" ref="U100">IF(T100="","",_xlfn.XLOOKUP(G100,[1]Sheet1!$G:$G,[1]Sheet1!$U:$W))</f>
        <v/>
      </c>
      <c r="X100" s="15" t="str">
        <f>IF(Sheet2!G100="","",Sheet2!G100&amp;"''")</f>
        <v/>
      </c>
    </row>
    <row r="101" spans="7:24" x14ac:dyDescent="0.25">
      <c r="G101" s="15" t="str">
        <f>IF(Sheet2!A101="","",Sheet2!A101)</f>
        <v/>
      </c>
      <c r="H101" s="18" t="str">
        <f>IF(Sheet2!O101="","",LEFT(Sheet2!O101, FIND(" ", Sheet2!O101)-1))</f>
        <v/>
      </c>
      <c r="I101" s="15" t="str">
        <f>IF(Sheet2!S101&lt;19,ROUND(Sheet2!I101,2)&amp;"'",IF(Sheet2!S101&lt;25,ROUND(Sheet2!J101,2)&amp;"'",IF(Sheet2!S101&lt;31,ROUND(Sheet2!K101,2)&amp;"'",IF(Sheet2!S101&lt;37,ROUND(Sheet2!L101,2)&amp;"'",""))))</f>
        <v/>
      </c>
      <c r="L101" s="15" t="str">
        <f>IF(Sheet2!D101="","",Sheet2!D101&amp;"''")</f>
        <v/>
      </c>
      <c r="O101" s="16" t="str">
        <f>IF(Sheet2!H101="","",ROUND(Sheet2!H101,2)&amp;"'")</f>
        <v/>
      </c>
      <c r="P101" s="18" t="str">
        <f>IF(Sheet2!E101="","",Sheet2!E101&amp;"''")</f>
        <v/>
      </c>
      <c r="Q101" s="12" t="str" cm="1">
        <f t="array" ref="Q101">IF(P101="","",_xlfn.XLOOKUP(G101,[1]Sheet1!$G:$G,[1]Sheet1!$Q:$S))</f>
        <v/>
      </c>
      <c r="T101" s="15" t="str">
        <f>IF(Sheet2!F101="","",Sheet2!F101&amp;"''")</f>
        <v/>
      </c>
      <c r="U101" s="12" t="str" cm="1">
        <f t="array" ref="U101">IF(T101="","",_xlfn.XLOOKUP(G101,[1]Sheet1!$G:$G,[1]Sheet1!$U:$W))</f>
        <v/>
      </c>
      <c r="X101" s="15" t="str">
        <f>IF(Sheet2!G101="","",Sheet2!G101&amp;"''")</f>
        <v/>
      </c>
    </row>
    <row r="102" spans="7:24" x14ac:dyDescent="0.25">
      <c r="G102" s="15" t="str">
        <f>IF(Sheet2!A102="","",Sheet2!A102)</f>
        <v/>
      </c>
      <c r="H102" s="18" t="str">
        <f>IF(Sheet2!O102="","",LEFT(Sheet2!O102, FIND(" ", Sheet2!O102)-1))</f>
        <v/>
      </c>
      <c r="I102" s="15" t="str">
        <f>IF(Sheet2!S102&lt;19,ROUND(Sheet2!I102,2)&amp;"'",IF(Sheet2!S102&lt;25,ROUND(Sheet2!J102,2)&amp;"'",IF(Sheet2!S102&lt;31,ROUND(Sheet2!K102,2)&amp;"'",IF(Sheet2!S102&lt;37,ROUND(Sheet2!L102,2)&amp;"'",""))))</f>
        <v/>
      </c>
      <c r="L102" s="15" t="str">
        <f>IF(Sheet2!D102="","",Sheet2!D102&amp;"''")</f>
        <v/>
      </c>
      <c r="O102" s="16" t="str">
        <f>IF(Sheet2!H102="","",ROUND(Sheet2!H102,2)&amp;"'")</f>
        <v/>
      </c>
      <c r="P102" s="18" t="str">
        <f>IF(Sheet2!E102="","",Sheet2!E102&amp;"''")</f>
        <v/>
      </c>
      <c r="Q102" s="12" t="str" cm="1">
        <f t="array" ref="Q102">IF(P102="","",_xlfn.XLOOKUP(G102,[1]Sheet1!$G:$G,[1]Sheet1!$Q:$S))</f>
        <v/>
      </c>
      <c r="T102" s="15" t="str">
        <f>IF(Sheet2!F102="","",Sheet2!F102&amp;"''")</f>
        <v/>
      </c>
      <c r="U102" s="12" t="str" cm="1">
        <f t="array" ref="U102">IF(T102="","",_xlfn.XLOOKUP(G102,[1]Sheet1!$G:$G,[1]Sheet1!$U:$W))</f>
        <v/>
      </c>
      <c r="X102" s="15" t="str">
        <f>IF(Sheet2!G102="","",Sheet2!G102&amp;"''")</f>
        <v/>
      </c>
    </row>
    <row r="103" spans="7:24" x14ac:dyDescent="0.25">
      <c r="G103" s="15" t="str">
        <f>IF(Sheet2!A103="","",Sheet2!A103)</f>
        <v/>
      </c>
      <c r="H103" s="18" t="str">
        <f>IF(Sheet2!O103="","",LEFT(Sheet2!O103, FIND(" ", Sheet2!O103)-1))</f>
        <v/>
      </c>
      <c r="I103" s="15" t="str">
        <f>IF(Sheet2!S103&lt;19,ROUND(Sheet2!I103,2)&amp;"'",IF(Sheet2!S103&lt;25,ROUND(Sheet2!J103,2)&amp;"'",IF(Sheet2!S103&lt;31,ROUND(Sheet2!K103,2)&amp;"'",IF(Sheet2!S103&lt;37,ROUND(Sheet2!L103,2)&amp;"'",""))))</f>
        <v/>
      </c>
      <c r="L103" s="15" t="str">
        <f>IF(Sheet2!D103="","",Sheet2!D103&amp;"''")</f>
        <v/>
      </c>
      <c r="O103" s="16" t="str">
        <f>IF(Sheet2!H103="","",ROUND(Sheet2!H103,2)&amp;"'")</f>
        <v/>
      </c>
      <c r="P103" s="18" t="str">
        <f>IF(Sheet2!E103="","",Sheet2!E103&amp;"''")</f>
        <v/>
      </c>
      <c r="Q103" s="12" t="str" cm="1">
        <f t="array" ref="Q103">IF(P103="","",_xlfn.XLOOKUP(G103,[1]Sheet1!$G:$G,[1]Sheet1!$Q:$S))</f>
        <v/>
      </c>
      <c r="T103" s="15" t="str">
        <f>IF(Sheet2!F103="","",Sheet2!F103&amp;"''")</f>
        <v/>
      </c>
      <c r="U103" s="12" t="str" cm="1">
        <f t="array" ref="U103">IF(T103="","",_xlfn.XLOOKUP(G103,[1]Sheet1!$G:$G,[1]Sheet1!$U:$W))</f>
        <v/>
      </c>
      <c r="X103" s="15" t="str">
        <f>IF(Sheet2!G103="","",Sheet2!G103&amp;"''")</f>
        <v/>
      </c>
    </row>
    <row r="104" spans="7:24" x14ac:dyDescent="0.25">
      <c r="G104" s="15" t="str">
        <f>IF(Sheet2!A104="","",Sheet2!A104)</f>
        <v/>
      </c>
      <c r="H104" s="18" t="str">
        <f>IF(Sheet2!O104="","",LEFT(Sheet2!O104, FIND(" ", Sheet2!O104)-1))</f>
        <v/>
      </c>
      <c r="I104" s="15" t="str">
        <f>IF(Sheet2!S104&lt;19,ROUND(Sheet2!I104,2)&amp;"'",IF(Sheet2!S104&lt;25,ROUND(Sheet2!J104,2)&amp;"'",IF(Sheet2!S104&lt;31,ROUND(Sheet2!K104,2)&amp;"'",IF(Sheet2!S104&lt;37,ROUND(Sheet2!L104,2)&amp;"'",""))))</f>
        <v/>
      </c>
      <c r="L104" s="15" t="str">
        <f>IF(Sheet2!D104="","",Sheet2!D104&amp;"''")</f>
        <v/>
      </c>
      <c r="O104" s="16" t="str">
        <f>IF(Sheet2!H104="","",ROUND(Sheet2!H104,2)&amp;"'")</f>
        <v/>
      </c>
      <c r="P104" s="18" t="str">
        <f>IF(Sheet2!E104="","",Sheet2!E104&amp;"''")</f>
        <v/>
      </c>
      <c r="Q104" s="12" t="str" cm="1">
        <f t="array" ref="Q104">IF(P104="","",_xlfn.XLOOKUP(G104,[1]Sheet1!$G:$G,[1]Sheet1!$Q:$S))</f>
        <v/>
      </c>
      <c r="T104" s="15" t="str">
        <f>IF(Sheet2!F104="","",Sheet2!F104&amp;"''")</f>
        <v/>
      </c>
      <c r="U104" s="12" t="str" cm="1">
        <f t="array" ref="U104">IF(T104="","",_xlfn.XLOOKUP(G104,[1]Sheet1!$G:$G,[1]Sheet1!$U:$W))</f>
        <v/>
      </c>
      <c r="X104" s="15" t="str">
        <f>IF(Sheet2!G104="","",Sheet2!G104&amp;"''")</f>
        <v/>
      </c>
    </row>
    <row r="105" spans="7:24" x14ac:dyDescent="0.25">
      <c r="G105" s="15" t="str">
        <f>IF(Sheet2!A105="","",Sheet2!A105)</f>
        <v/>
      </c>
      <c r="H105" s="18" t="str">
        <f>IF(Sheet2!O105="","",LEFT(Sheet2!O105, FIND(" ", Sheet2!O105)-1))</f>
        <v/>
      </c>
      <c r="I105" s="15" t="str">
        <f>IF(Sheet2!S105&lt;19,ROUND(Sheet2!I105,2)&amp;"'",IF(Sheet2!S105&lt;25,ROUND(Sheet2!J105,2)&amp;"'",IF(Sheet2!S105&lt;31,ROUND(Sheet2!K105,2)&amp;"'",IF(Sheet2!S105&lt;37,ROUND(Sheet2!L105,2)&amp;"'",""))))</f>
        <v/>
      </c>
      <c r="L105" s="15" t="str">
        <f>IF(Sheet2!D105="","",Sheet2!D105&amp;"''")</f>
        <v/>
      </c>
      <c r="O105" s="16" t="str">
        <f>IF(Sheet2!H105="","",ROUND(Sheet2!H105,2)&amp;"'")</f>
        <v/>
      </c>
      <c r="P105" s="18" t="str">
        <f>IF(Sheet2!E105="","",Sheet2!E105&amp;"''")</f>
        <v/>
      </c>
      <c r="Q105" s="12" t="str" cm="1">
        <f t="array" ref="Q105">IF(P105="","",_xlfn.XLOOKUP(G105,[1]Sheet1!$G:$G,[1]Sheet1!$Q:$S))</f>
        <v/>
      </c>
      <c r="T105" s="15" t="str">
        <f>IF(Sheet2!F105="","",Sheet2!F105&amp;"''")</f>
        <v/>
      </c>
      <c r="U105" s="12" t="str" cm="1">
        <f t="array" ref="U105">IF(T105="","",_xlfn.XLOOKUP(G105,[1]Sheet1!$G:$G,[1]Sheet1!$U:$W))</f>
        <v/>
      </c>
      <c r="X105" s="15" t="str">
        <f>IF(Sheet2!G105="","",Sheet2!G105&amp;"''")</f>
        <v/>
      </c>
    </row>
    <row r="106" spans="7:24" x14ac:dyDescent="0.25">
      <c r="G106" s="15" t="str">
        <f>IF(Sheet2!A106="","",Sheet2!A106)</f>
        <v/>
      </c>
      <c r="H106" s="18" t="str">
        <f>IF(Sheet2!O106="","",LEFT(Sheet2!O106, FIND(" ", Sheet2!O106)-1))</f>
        <v/>
      </c>
      <c r="I106" s="15" t="str">
        <f>IF(Sheet2!S106&lt;19,ROUND(Sheet2!I106,2)&amp;"'",IF(Sheet2!S106&lt;25,ROUND(Sheet2!J106,2)&amp;"'",IF(Sheet2!S106&lt;31,ROUND(Sheet2!K106,2)&amp;"'",IF(Sheet2!S106&lt;37,ROUND(Sheet2!L106,2)&amp;"'",""))))</f>
        <v/>
      </c>
      <c r="L106" s="15" t="str">
        <f>IF(Sheet2!D106="","",Sheet2!D106&amp;"''")</f>
        <v/>
      </c>
      <c r="O106" s="16" t="str">
        <f>IF(Sheet2!H106="","",ROUND(Sheet2!H106,2)&amp;"'")</f>
        <v/>
      </c>
      <c r="P106" s="18" t="str">
        <f>IF(Sheet2!E106="","",Sheet2!E106&amp;"''")</f>
        <v/>
      </c>
      <c r="Q106" s="12" t="str" cm="1">
        <f t="array" ref="Q106">IF(P106="","",_xlfn.XLOOKUP(G106,[1]Sheet1!$G:$G,[1]Sheet1!$Q:$S))</f>
        <v/>
      </c>
      <c r="T106" s="15" t="str">
        <f>IF(Sheet2!F106="","",Sheet2!F106&amp;"''")</f>
        <v/>
      </c>
      <c r="U106" s="12" t="str" cm="1">
        <f t="array" ref="U106">IF(T106="","",_xlfn.XLOOKUP(G106,[1]Sheet1!$G:$G,[1]Sheet1!$U:$W))</f>
        <v/>
      </c>
      <c r="X106" s="15" t="str">
        <f>IF(Sheet2!G106="","",Sheet2!G106&amp;"''")</f>
        <v/>
      </c>
    </row>
    <row r="107" spans="7:24" x14ac:dyDescent="0.25">
      <c r="G107" s="15" t="str">
        <f>IF(Sheet2!A107="","",Sheet2!A107)</f>
        <v/>
      </c>
      <c r="H107" s="18" t="str">
        <f>IF(Sheet2!O107="","",LEFT(Sheet2!O107, FIND(" ", Sheet2!O107)-1))</f>
        <v/>
      </c>
      <c r="I107" s="15" t="str">
        <f>IF(Sheet2!S107&lt;19,ROUND(Sheet2!I107,2)&amp;"'",IF(Sheet2!S107&lt;25,ROUND(Sheet2!J107,2)&amp;"'",IF(Sheet2!S107&lt;31,ROUND(Sheet2!K107,2)&amp;"'",IF(Sheet2!S107&lt;37,ROUND(Sheet2!L107,2)&amp;"'",""))))</f>
        <v/>
      </c>
      <c r="L107" s="15" t="str">
        <f>IF(Sheet2!D107="","",Sheet2!D107&amp;"''")</f>
        <v/>
      </c>
      <c r="O107" s="16" t="str">
        <f>IF(Sheet2!H107="","",ROUND(Sheet2!H107,2)&amp;"'")</f>
        <v/>
      </c>
      <c r="P107" s="18" t="str">
        <f>IF(Sheet2!E107="","",Sheet2!E107&amp;"''")</f>
        <v/>
      </c>
      <c r="Q107" s="12" t="str" cm="1">
        <f t="array" ref="Q107">IF(P107="","",_xlfn.XLOOKUP(G107,[1]Sheet1!$G:$G,[1]Sheet1!$Q:$S))</f>
        <v/>
      </c>
      <c r="T107" s="15" t="str">
        <f>IF(Sheet2!F107="","",Sheet2!F107&amp;"''")</f>
        <v/>
      </c>
      <c r="U107" s="12" t="str" cm="1">
        <f t="array" ref="U107">IF(T107="","",_xlfn.XLOOKUP(G107,[1]Sheet1!$G:$G,[1]Sheet1!$U:$W))</f>
        <v/>
      </c>
      <c r="X107" s="15" t="str">
        <f>IF(Sheet2!G107="","",Sheet2!G107&amp;"''")</f>
        <v/>
      </c>
    </row>
    <row r="108" spans="7:24" x14ac:dyDescent="0.25">
      <c r="G108" s="15" t="str">
        <f>IF(Sheet2!A108="","",Sheet2!A108)</f>
        <v/>
      </c>
      <c r="H108" s="18" t="str">
        <f>IF(Sheet2!O108="","",LEFT(Sheet2!O108, FIND(" ", Sheet2!O108)-1))</f>
        <v/>
      </c>
      <c r="I108" s="15" t="str">
        <f>IF(Sheet2!S108&lt;19,ROUND(Sheet2!I108,2)&amp;"'",IF(Sheet2!S108&lt;25,ROUND(Sheet2!J108,2)&amp;"'",IF(Sheet2!S108&lt;31,ROUND(Sheet2!K108,2)&amp;"'",IF(Sheet2!S108&lt;37,ROUND(Sheet2!L108,2)&amp;"'",""))))</f>
        <v/>
      </c>
      <c r="L108" s="15" t="str">
        <f>IF(Sheet2!D108="","",Sheet2!D108&amp;"''")</f>
        <v/>
      </c>
      <c r="O108" s="16" t="str">
        <f>IF(Sheet2!H108="","",ROUND(Sheet2!H108,2)&amp;"'")</f>
        <v/>
      </c>
      <c r="P108" s="18" t="str">
        <f>IF(Sheet2!E108="","",Sheet2!E108&amp;"''")</f>
        <v/>
      </c>
      <c r="Q108" s="12" t="str" cm="1">
        <f t="array" ref="Q108">IF(P108="","",_xlfn.XLOOKUP(G108,[1]Sheet1!$G:$G,[1]Sheet1!$Q:$S))</f>
        <v/>
      </c>
      <c r="T108" s="15" t="str">
        <f>IF(Sheet2!F108="","",Sheet2!F108&amp;"''")</f>
        <v/>
      </c>
      <c r="U108" s="12" t="str" cm="1">
        <f t="array" ref="U108">IF(T108="","",_xlfn.XLOOKUP(G108,[1]Sheet1!$G:$G,[1]Sheet1!$U:$W))</f>
        <v/>
      </c>
      <c r="X108" s="15" t="str">
        <f>IF(Sheet2!G108="","",Sheet2!G108&amp;"''")</f>
        <v/>
      </c>
    </row>
    <row r="109" spans="7:24" x14ac:dyDescent="0.25">
      <c r="G109" s="15" t="str">
        <f>IF(Sheet2!A109="","",Sheet2!A109)</f>
        <v/>
      </c>
      <c r="H109" s="18" t="str">
        <f>IF(Sheet2!O109="","",LEFT(Sheet2!O109, FIND(" ", Sheet2!O109)-1))</f>
        <v/>
      </c>
      <c r="I109" s="15" t="str">
        <f>IF(Sheet2!S109&lt;19,ROUND(Sheet2!I109,2)&amp;"'",IF(Sheet2!S109&lt;25,ROUND(Sheet2!J109,2)&amp;"'",IF(Sheet2!S109&lt;31,ROUND(Sheet2!K109,2)&amp;"'",IF(Sheet2!S109&lt;37,ROUND(Sheet2!L109,2)&amp;"'",""))))</f>
        <v/>
      </c>
      <c r="L109" s="15" t="str">
        <f>IF(Sheet2!D109="","",Sheet2!D109&amp;"''")</f>
        <v/>
      </c>
      <c r="O109" s="16" t="str">
        <f>IF(Sheet2!H109="","",ROUND(Sheet2!H109,2)&amp;"'")</f>
        <v/>
      </c>
      <c r="P109" s="18" t="str">
        <f>IF(Sheet2!E109="","",Sheet2!E109&amp;"''")</f>
        <v/>
      </c>
      <c r="Q109" s="12" t="str" cm="1">
        <f t="array" ref="Q109">IF(P109="","",_xlfn.XLOOKUP(G109,[1]Sheet1!$G:$G,[1]Sheet1!$Q:$S))</f>
        <v/>
      </c>
      <c r="T109" s="15" t="str">
        <f>IF(Sheet2!F109="","",Sheet2!F109&amp;"''")</f>
        <v/>
      </c>
      <c r="U109" s="12" t="str" cm="1">
        <f t="array" ref="U109">IF(T109="","",_xlfn.XLOOKUP(G109,[1]Sheet1!$G:$G,[1]Sheet1!$U:$W))</f>
        <v/>
      </c>
      <c r="X109" s="15" t="str">
        <f>IF(Sheet2!G109="","",Sheet2!G109&amp;"''")</f>
        <v/>
      </c>
    </row>
    <row r="110" spans="7:24" x14ac:dyDescent="0.25">
      <c r="G110" s="15" t="str">
        <f>IF(Sheet2!A110="","",Sheet2!A110)</f>
        <v/>
      </c>
      <c r="H110" s="18" t="str">
        <f>IF(Sheet2!O110="","",LEFT(Sheet2!O110, FIND(" ", Sheet2!O110)-1))</f>
        <v/>
      </c>
      <c r="I110" s="15" t="str">
        <f>IF(Sheet2!S110&lt;19,ROUND(Sheet2!I110,2)&amp;"'",IF(Sheet2!S110&lt;25,ROUND(Sheet2!J110,2)&amp;"'",IF(Sheet2!S110&lt;31,ROUND(Sheet2!K110,2)&amp;"'",IF(Sheet2!S110&lt;37,ROUND(Sheet2!L110,2)&amp;"'",""))))</f>
        <v/>
      </c>
      <c r="L110" s="15" t="str">
        <f>IF(Sheet2!D110="","",Sheet2!D110&amp;"''")</f>
        <v/>
      </c>
      <c r="O110" s="16" t="str">
        <f>IF(Sheet2!H110="","",ROUND(Sheet2!H110,2)&amp;"'")</f>
        <v/>
      </c>
      <c r="P110" s="18" t="str">
        <f>IF(Sheet2!E110="","",Sheet2!E110&amp;"''")</f>
        <v/>
      </c>
      <c r="Q110" s="12" t="str" cm="1">
        <f t="array" ref="Q110">IF(P110="","",_xlfn.XLOOKUP(G110,[1]Sheet1!$G:$G,[1]Sheet1!$Q:$S))</f>
        <v/>
      </c>
      <c r="T110" s="15" t="str">
        <f>IF(Sheet2!F110="","",Sheet2!F110&amp;"''")</f>
        <v/>
      </c>
      <c r="U110" s="12" t="str" cm="1">
        <f t="array" ref="U110">IF(T110="","",_xlfn.XLOOKUP(G110,[1]Sheet1!$G:$G,[1]Sheet1!$U:$W))</f>
        <v/>
      </c>
      <c r="X110" s="15" t="str">
        <f>IF(Sheet2!G110="","",Sheet2!G110&amp;"''")</f>
        <v/>
      </c>
    </row>
    <row r="111" spans="7:24" x14ac:dyDescent="0.25">
      <c r="G111" s="15" t="str">
        <f>IF(Sheet2!A111="","",Sheet2!A111)</f>
        <v/>
      </c>
      <c r="H111" s="18" t="str">
        <f>IF(Sheet2!O111="","",LEFT(Sheet2!O111, FIND(" ", Sheet2!O111)-1))</f>
        <v/>
      </c>
      <c r="I111" s="15" t="str">
        <f>IF(Sheet2!S111&lt;19,ROUND(Sheet2!I111,2)&amp;"'",IF(Sheet2!S111&lt;25,ROUND(Sheet2!J111,2)&amp;"'",IF(Sheet2!S111&lt;31,ROUND(Sheet2!K111,2)&amp;"'",IF(Sheet2!S111&lt;37,ROUND(Sheet2!L111,2)&amp;"'",""))))</f>
        <v/>
      </c>
      <c r="L111" s="15" t="str">
        <f>IF(Sheet2!D111="","",Sheet2!D111&amp;"''")</f>
        <v/>
      </c>
      <c r="O111" s="16" t="str">
        <f>IF(Sheet2!H111="","",ROUND(Sheet2!H111,2)&amp;"'")</f>
        <v/>
      </c>
      <c r="P111" s="18" t="str">
        <f>IF(Sheet2!E111="","",Sheet2!E111&amp;"''")</f>
        <v/>
      </c>
      <c r="Q111" s="12" t="str" cm="1">
        <f t="array" ref="Q111">IF(P111="","",_xlfn.XLOOKUP(G111,[1]Sheet1!$G:$G,[1]Sheet1!$Q:$S))</f>
        <v/>
      </c>
      <c r="T111" s="15" t="str">
        <f>IF(Sheet2!F111="","",Sheet2!F111&amp;"''")</f>
        <v/>
      </c>
      <c r="U111" s="12" t="str" cm="1">
        <f t="array" ref="U111">IF(T111="","",_xlfn.XLOOKUP(G111,[1]Sheet1!$G:$G,[1]Sheet1!$U:$W))</f>
        <v/>
      </c>
      <c r="X111" s="15" t="str">
        <f>IF(Sheet2!G111="","",Sheet2!G111&amp;"''")</f>
        <v/>
      </c>
    </row>
    <row r="112" spans="7:24" x14ac:dyDescent="0.25">
      <c r="G112" s="15" t="str">
        <f>IF(Sheet2!A112="","",Sheet2!A112)</f>
        <v/>
      </c>
      <c r="H112" s="18" t="str">
        <f>IF(Sheet2!O112="","",LEFT(Sheet2!O112, FIND(" ", Sheet2!O112)-1))</f>
        <v/>
      </c>
      <c r="I112" s="15" t="str">
        <f>IF(Sheet2!S112&lt;19,ROUND(Sheet2!I112,2)&amp;"'",IF(Sheet2!S112&lt;25,ROUND(Sheet2!J112,2)&amp;"'",IF(Sheet2!S112&lt;31,ROUND(Sheet2!K112,2)&amp;"'",IF(Sheet2!S112&lt;37,ROUND(Sheet2!L112,2)&amp;"'",""))))</f>
        <v/>
      </c>
      <c r="L112" s="15" t="str">
        <f>IF(Sheet2!D112="","",Sheet2!D112&amp;"''")</f>
        <v/>
      </c>
      <c r="O112" s="16" t="str">
        <f>IF(Sheet2!H112="","",ROUND(Sheet2!H112,2)&amp;"'")</f>
        <v/>
      </c>
      <c r="P112" s="18" t="str">
        <f>IF(Sheet2!E112="","",Sheet2!E112&amp;"''")</f>
        <v/>
      </c>
      <c r="Q112" s="12" t="str" cm="1">
        <f t="array" ref="Q112">IF(P112="","",_xlfn.XLOOKUP(G112,[1]Sheet1!$G:$G,[1]Sheet1!$Q:$S))</f>
        <v/>
      </c>
      <c r="T112" s="15" t="str">
        <f>IF(Sheet2!F112="","",Sheet2!F112&amp;"''")</f>
        <v/>
      </c>
      <c r="U112" s="12" t="str" cm="1">
        <f t="array" ref="U112">IF(T112="","",_xlfn.XLOOKUP(G112,[1]Sheet1!$G:$G,[1]Sheet1!$U:$W))</f>
        <v/>
      </c>
      <c r="X112" s="15" t="str">
        <f>IF(Sheet2!G112="","",Sheet2!G112&amp;"''")</f>
        <v/>
      </c>
    </row>
    <row r="113" spans="7:24" x14ac:dyDescent="0.25">
      <c r="G113" s="15" t="str">
        <f>IF(Sheet2!A113="","",Sheet2!A113)</f>
        <v/>
      </c>
      <c r="H113" s="18" t="str">
        <f>IF(Sheet2!O113="","",LEFT(Sheet2!O113, FIND(" ", Sheet2!O113)-1))</f>
        <v/>
      </c>
      <c r="I113" s="15" t="str">
        <f>IF(Sheet2!S113&lt;19,ROUND(Sheet2!I113,2)&amp;"'",IF(Sheet2!S113&lt;25,ROUND(Sheet2!J113,2)&amp;"'",IF(Sheet2!S113&lt;31,ROUND(Sheet2!K113,2)&amp;"'",IF(Sheet2!S113&lt;37,ROUND(Sheet2!L113,2)&amp;"'",""))))</f>
        <v/>
      </c>
      <c r="L113" s="15" t="str">
        <f>IF(Sheet2!D113="","",Sheet2!D113&amp;"''")</f>
        <v/>
      </c>
      <c r="O113" s="16" t="str">
        <f>IF(Sheet2!H113="","",ROUND(Sheet2!H113,2)&amp;"'")</f>
        <v/>
      </c>
      <c r="P113" s="18" t="str">
        <f>IF(Sheet2!E113="","",Sheet2!E113&amp;"''")</f>
        <v/>
      </c>
      <c r="Q113" s="12" t="str" cm="1">
        <f t="array" ref="Q113">IF(P113="","",_xlfn.XLOOKUP(G113,[1]Sheet1!$G:$G,[1]Sheet1!$Q:$S))</f>
        <v/>
      </c>
      <c r="T113" s="15" t="str">
        <f>IF(Sheet2!F113="","",Sheet2!F113&amp;"''")</f>
        <v/>
      </c>
      <c r="U113" s="12" t="str" cm="1">
        <f t="array" ref="U113">IF(T113="","",_xlfn.XLOOKUP(G113,[1]Sheet1!$G:$G,[1]Sheet1!$U:$W))</f>
        <v/>
      </c>
      <c r="X113" s="15" t="str">
        <f>IF(Sheet2!G113="","",Sheet2!G113&amp;"''")</f>
        <v/>
      </c>
    </row>
    <row r="114" spans="7:24" x14ac:dyDescent="0.25">
      <c r="G114" s="15" t="str">
        <f>IF(Sheet2!A114="","",Sheet2!A114)</f>
        <v/>
      </c>
      <c r="H114" s="18" t="str">
        <f>IF(Sheet2!O114="","",LEFT(Sheet2!O114, FIND(" ", Sheet2!O114)-1))</f>
        <v/>
      </c>
      <c r="I114" s="15" t="str">
        <f>IF(Sheet2!S114&lt;19,ROUND(Sheet2!I114,2)&amp;"'",IF(Sheet2!S114&lt;25,ROUND(Sheet2!J114,2)&amp;"'",IF(Sheet2!S114&lt;31,ROUND(Sheet2!K114,2)&amp;"'",IF(Sheet2!S114&lt;37,ROUND(Sheet2!L114,2)&amp;"'",""))))</f>
        <v/>
      </c>
      <c r="L114" s="15" t="str">
        <f>IF(Sheet2!D114="","",Sheet2!D114&amp;"''")</f>
        <v/>
      </c>
      <c r="O114" s="16" t="str">
        <f>IF(Sheet2!H114="","",ROUND(Sheet2!H114,2)&amp;"'")</f>
        <v/>
      </c>
      <c r="P114" s="18" t="str">
        <f>IF(Sheet2!E114="","",Sheet2!E114&amp;"''")</f>
        <v/>
      </c>
      <c r="Q114" s="12" t="str" cm="1">
        <f t="array" ref="Q114">IF(P114="","",_xlfn.XLOOKUP(G114,[1]Sheet1!$G:$G,[1]Sheet1!$Q:$S))</f>
        <v/>
      </c>
      <c r="T114" s="15" t="str">
        <f>IF(Sheet2!F114="","",Sheet2!F114&amp;"''")</f>
        <v/>
      </c>
      <c r="U114" s="12" t="str" cm="1">
        <f t="array" ref="U114">IF(T114="","",_xlfn.XLOOKUP(G114,[1]Sheet1!$G:$G,[1]Sheet1!$U:$W))</f>
        <v/>
      </c>
      <c r="X114" s="15" t="str">
        <f>IF(Sheet2!G114="","",Sheet2!G114&amp;"''")</f>
        <v/>
      </c>
    </row>
    <row r="115" spans="7:24" x14ac:dyDescent="0.25">
      <c r="G115" s="15" t="str">
        <f>IF(Sheet2!A115="","",Sheet2!A115)</f>
        <v/>
      </c>
      <c r="H115" s="18" t="str">
        <f>IF(Sheet2!O115="","",LEFT(Sheet2!O115, FIND(" ", Sheet2!O115)-1))</f>
        <v/>
      </c>
      <c r="I115" s="15" t="str">
        <f>IF(Sheet2!S115&lt;19,ROUND(Sheet2!I115,2)&amp;"'",IF(Sheet2!S115&lt;25,ROUND(Sheet2!J115,2)&amp;"'",IF(Sheet2!S115&lt;31,ROUND(Sheet2!K115,2)&amp;"'",IF(Sheet2!S115&lt;37,ROUND(Sheet2!L115,2)&amp;"'",""))))</f>
        <v/>
      </c>
      <c r="L115" s="15" t="str">
        <f>IF(Sheet2!D115="","",Sheet2!D115&amp;"''")</f>
        <v/>
      </c>
      <c r="O115" s="16" t="str">
        <f>IF(Sheet2!H115="","",ROUND(Sheet2!H115,2)&amp;"'")</f>
        <v/>
      </c>
      <c r="P115" s="18" t="str">
        <f>IF(Sheet2!E115="","",Sheet2!E115&amp;"''")</f>
        <v/>
      </c>
      <c r="Q115" s="12" t="str" cm="1">
        <f t="array" ref="Q115">IF(P115="","",_xlfn.XLOOKUP(G115,[1]Sheet1!$G:$G,[1]Sheet1!$Q:$S))</f>
        <v/>
      </c>
      <c r="T115" s="15" t="str">
        <f>IF(Sheet2!F115="","",Sheet2!F115&amp;"''")</f>
        <v/>
      </c>
      <c r="U115" s="12" t="str" cm="1">
        <f t="array" ref="U115">IF(T115="","",_xlfn.XLOOKUP(G115,[1]Sheet1!$G:$G,[1]Sheet1!$U:$W))</f>
        <v/>
      </c>
      <c r="X115" s="15" t="str">
        <f>IF(Sheet2!G115="","",Sheet2!G115&amp;"''")</f>
        <v/>
      </c>
    </row>
    <row r="116" spans="7:24" x14ac:dyDescent="0.25">
      <c r="G116" s="15" t="str">
        <f>IF(Sheet2!A116="","",Sheet2!A116)</f>
        <v/>
      </c>
      <c r="H116" s="18" t="str">
        <f>IF(Sheet2!O116="","",LEFT(Sheet2!O116, FIND(" ", Sheet2!O116)-1))</f>
        <v/>
      </c>
      <c r="I116" s="15" t="str">
        <f>IF(Sheet2!S116&lt;19,ROUND(Sheet2!I116,2)&amp;"'",IF(Sheet2!S116&lt;25,ROUND(Sheet2!J116,2)&amp;"'",IF(Sheet2!S116&lt;31,ROUND(Sheet2!K116,2)&amp;"'",IF(Sheet2!S116&lt;37,ROUND(Sheet2!L116,2)&amp;"'",""))))</f>
        <v/>
      </c>
      <c r="L116" s="15" t="str">
        <f>IF(Sheet2!D116="","",Sheet2!D116&amp;"''")</f>
        <v/>
      </c>
      <c r="O116" s="16" t="str">
        <f>IF(Sheet2!H116="","",ROUND(Sheet2!H116,2)&amp;"'")</f>
        <v/>
      </c>
      <c r="P116" s="18" t="str">
        <f>IF(Sheet2!E116="","",Sheet2!E116&amp;"''")</f>
        <v/>
      </c>
      <c r="Q116" s="12" t="str" cm="1">
        <f t="array" ref="Q116">IF(P116="","",_xlfn.XLOOKUP(G116,[1]Sheet1!$G:$G,[1]Sheet1!$Q:$S))</f>
        <v/>
      </c>
      <c r="T116" s="15" t="str">
        <f>IF(Sheet2!F116="","",Sheet2!F116&amp;"''")</f>
        <v/>
      </c>
      <c r="U116" s="12" t="str" cm="1">
        <f t="array" ref="U116">IF(T116="","",_xlfn.XLOOKUP(G116,[1]Sheet1!$G:$G,[1]Sheet1!$U:$W))</f>
        <v/>
      </c>
      <c r="X116" s="15" t="str">
        <f>IF(Sheet2!G116="","",Sheet2!G116&amp;"''")</f>
        <v/>
      </c>
    </row>
    <row r="117" spans="7:24" x14ac:dyDescent="0.25">
      <c r="G117" s="15" t="str">
        <f>IF(Sheet2!A117="","",Sheet2!A117)</f>
        <v/>
      </c>
      <c r="H117" s="18" t="str">
        <f>IF(Sheet2!O117="","",LEFT(Sheet2!O117, FIND(" ", Sheet2!O117)-1))</f>
        <v/>
      </c>
      <c r="I117" s="15" t="str">
        <f>IF(Sheet2!S117&lt;19,ROUND(Sheet2!I117,2)&amp;"'",IF(Sheet2!S117&lt;25,ROUND(Sheet2!J117,2)&amp;"'",IF(Sheet2!S117&lt;31,ROUND(Sheet2!K117,2)&amp;"'",IF(Sheet2!S117&lt;37,ROUND(Sheet2!L117,2)&amp;"'",""))))</f>
        <v/>
      </c>
      <c r="L117" s="15" t="str">
        <f>IF(Sheet2!D117="","",Sheet2!D117&amp;"''")</f>
        <v/>
      </c>
      <c r="O117" s="16" t="str">
        <f>IF(Sheet2!H117="","",ROUND(Sheet2!H117,2)&amp;"'")</f>
        <v/>
      </c>
      <c r="P117" s="18" t="str">
        <f>IF(Sheet2!E117="","",Sheet2!E117&amp;"''")</f>
        <v/>
      </c>
      <c r="Q117" s="12" t="str" cm="1">
        <f t="array" ref="Q117">IF(P117="","",_xlfn.XLOOKUP(G117,[1]Sheet1!$G:$G,[1]Sheet1!$Q:$S))</f>
        <v/>
      </c>
      <c r="T117" s="15" t="str">
        <f>IF(Sheet2!F117="","",Sheet2!F117&amp;"''")</f>
        <v/>
      </c>
      <c r="U117" s="12" t="str" cm="1">
        <f t="array" ref="U117">IF(T117="","",_xlfn.XLOOKUP(G117,[1]Sheet1!$G:$G,[1]Sheet1!$U:$W))</f>
        <v/>
      </c>
      <c r="X117" s="15" t="str">
        <f>IF(Sheet2!G117="","",Sheet2!G117&amp;"''")</f>
        <v/>
      </c>
    </row>
    <row r="118" spans="7:24" x14ac:dyDescent="0.25">
      <c r="G118" s="15" t="str">
        <f>IF(Sheet2!A118="","",Sheet2!A118)</f>
        <v/>
      </c>
      <c r="H118" s="18" t="str">
        <f>IF(Sheet2!O118="","",LEFT(Sheet2!O118, FIND(" ", Sheet2!O118)-1))</f>
        <v/>
      </c>
      <c r="I118" s="15" t="str">
        <f>IF(Sheet2!S118&lt;19,ROUND(Sheet2!I118,2)&amp;"'",IF(Sheet2!S118&lt;25,ROUND(Sheet2!J118,2)&amp;"'",IF(Sheet2!S118&lt;31,ROUND(Sheet2!K118,2)&amp;"'",IF(Sheet2!S118&lt;37,ROUND(Sheet2!L118,2)&amp;"'",""))))</f>
        <v/>
      </c>
      <c r="L118" s="15" t="str">
        <f>IF(Sheet2!D118="","",Sheet2!D118&amp;"''")</f>
        <v/>
      </c>
      <c r="O118" s="16" t="str">
        <f>IF(Sheet2!H118="","",ROUND(Sheet2!H118,2)&amp;"'")</f>
        <v/>
      </c>
      <c r="P118" s="18" t="str">
        <f>IF(Sheet2!E118="","",Sheet2!E118&amp;"''")</f>
        <v/>
      </c>
      <c r="Q118" s="12" t="str" cm="1">
        <f t="array" ref="Q118">IF(P118="","",_xlfn.XLOOKUP(G118,[1]Sheet1!$G:$G,[1]Sheet1!$Q:$S))</f>
        <v/>
      </c>
      <c r="T118" s="15" t="str">
        <f>IF(Sheet2!F118="","",Sheet2!F118&amp;"''")</f>
        <v/>
      </c>
      <c r="U118" s="12" t="str" cm="1">
        <f t="array" ref="U118">IF(T118="","",_xlfn.XLOOKUP(G118,[1]Sheet1!$G:$G,[1]Sheet1!$U:$W))</f>
        <v/>
      </c>
      <c r="X118" s="15" t="str">
        <f>IF(Sheet2!G118="","",Sheet2!G118&amp;"''")</f>
        <v/>
      </c>
    </row>
    <row r="119" spans="7:24" x14ac:dyDescent="0.25">
      <c r="G119" s="15" t="str">
        <f>IF(Sheet2!A119="","",Sheet2!A119)</f>
        <v/>
      </c>
      <c r="H119" s="18" t="str">
        <f>IF(Sheet2!O119="","",LEFT(Sheet2!O119, FIND(" ", Sheet2!O119)-1))</f>
        <v/>
      </c>
      <c r="I119" s="15" t="str">
        <f>IF(Sheet2!S119&lt;19,ROUND(Sheet2!I119,2)&amp;"'",IF(Sheet2!S119&lt;25,ROUND(Sheet2!J119,2)&amp;"'",IF(Sheet2!S119&lt;31,ROUND(Sheet2!K119,2)&amp;"'",IF(Sheet2!S119&lt;37,ROUND(Sheet2!L119,2)&amp;"'",""))))</f>
        <v/>
      </c>
      <c r="L119" s="15" t="str">
        <f>IF(Sheet2!D119="","",Sheet2!D119&amp;"''")</f>
        <v/>
      </c>
      <c r="O119" s="16" t="str">
        <f>IF(Sheet2!H119="","",ROUND(Sheet2!H119,2)&amp;"'")</f>
        <v/>
      </c>
      <c r="P119" s="18" t="str">
        <f>IF(Sheet2!E119="","",Sheet2!E119&amp;"''")</f>
        <v/>
      </c>
      <c r="Q119" s="12" t="str" cm="1">
        <f t="array" ref="Q119">IF(P119="","",_xlfn.XLOOKUP(G119,[1]Sheet1!$G:$G,[1]Sheet1!$Q:$S))</f>
        <v/>
      </c>
      <c r="T119" s="15" t="str">
        <f>IF(Sheet2!F119="","",Sheet2!F119&amp;"''")</f>
        <v/>
      </c>
      <c r="U119" s="12" t="str" cm="1">
        <f t="array" ref="U119">IF(T119="","",_xlfn.XLOOKUP(G119,[1]Sheet1!$G:$G,[1]Sheet1!$U:$W))</f>
        <v/>
      </c>
      <c r="X119" s="15" t="str">
        <f>IF(Sheet2!G119="","",Sheet2!G119&amp;"''")</f>
        <v/>
      </c>
    </row>
    <row r="120" spans="7:24" x14ac:dyDescent="0.25">
      <c r="G120" s="15" t="str">
        <f>IF(Sheet2!A120="","",Sheet2!A120)</f>
        <v/>
      </c>
      <c r="H120" s="18" t="str">
        <f>IF(Sheet2!O120="","",LEFT(Sheet2!O120, FIND(" ", Sheet2!O120)-1))</f>
        <v/>
      </c>
      <c r="I120" s="15" t="str">
        <f>IF(Sheet2!S120&lt;19,ROUND(Sheet2!I120,2)&amp;"'",IF(Sheet2!S120&lt;25,ROUND(Sheet2!J120,2)&amp;"'",IF(Sheet2!S120&lt;31,ROUND(Sheet2!K120,2)&amp;"'",IF(Sheet2!S120&lt;37,ROUND(Sheet2!L120,2)&amp;"'",""))))</f>
        <v/>
      </c>
      <c r="L120" s="15" t="str">
        <f>IF(Sheet2!D120="","",Sheet2!D120&amp;"''")</f>
        <v/>
      </c>
      <c r="O120" s="16" t="str">
        <f>IF(Sheet2!H120="","",ROUND(Sheet2!H120,2)&amp;"'")</f>
        <v/>
      </c>
      <c r="P120" s="18" t="str">
        <f>IF(Sheet2!E120="","",Sheet2!E120&amp;"''")</f>
        <v/>
      </c>
      <c r="Q120" s="12" t="str" cm="1">
        <f t="array" ref="Q120">IF(P120="","",_xlfn.XLOOKUP(G120,[1]Sheet1!$G:$G,[1]Sheet1!$Q:$S))</f>
        <v/>
      </c>
      <c r="T120" s="15" t="str">
        <f>IF(Sheet2!F120="","",Sheet2!F120&amp;"''")</f>
        <v/>
      </c>
      <c r="U120" s="12" t="str" cm="1">
        <f t="array" ref="U120">IF(T120="","",_xlfn.XLOOKUP(G120,[1]Sheet1!$G:$G,[1]Sheet1!$U:$W))</f>
        <v/>
      </c>
      <c r="X120" s="15" t="str">
        <f>IF(Sheet2!G120="","",Sheet2!G120&amp;"''")</f>
        <v/>
      </c>
    </row>
    <row r="121" spans="7:24" x14ac:dyDescent="0.25">
      <c r="G121" s="15" t="str">
        <f>IF(Sheet2!A121="","",Sheet2!A121)</f>
        <v/>
      </c>
      <c r="H121" s="18" t="str">
        <f>IF(Sheet2!O121="","",LEFT(Sheet2!O121, FIND(" ", Sheet2!O121)-1))</f>
        <v/>
      </c>
      <c r="I121" s="15" t="str">
        <f>IF(Sheet2!S121&lt;19,ROUND(Sheet2!I121,2)&amp;"'",IF(Sheet2!S121&lt;25,ROUND(Sheet2!J121,2)&amp;"'",IF(Sheet2!S121&lt;31,ROUND(Sheet2!K121,2)&amp;"'",IF(Sheet2!S121&lt;37,ROUND(Sheet2!L121,2)&amp;"'",""))))</f>
        <v/>
      </c>
      <c r="L121" s="15" t="str">
        <f>IF(Sheet2!D121="","",Sheet2!D121&amp;"''")</f>
        <v/>
      </c>
      <c r="O121" s="16" t="str">
        <f>IF(Sheet2!H121="","",ROUND(Sheet2!H121,2)&amp;"'")</f>
        <v/>
      </c>
      <c r="P121" s="18" t="str">
        <f>IF(Sheet2!E121="","",Sheet2!E121&amp;"''")</f>
        <v/>
      </c>
      <c r="Q121" s="12" t="str" cm="1">
        <f t="array" ref="Q121">IF(P121="","",_xlfn.XLOOKUP(G121,[1]Sheet1!$G:$G,[1]Sheet1!$Q:$S))</f>
        <v/>
      </c>
      <c r="T121" s="15" t="str">
        <f>IF(Sheet2!F121="","",Sheet2!F121&amp;"''")</f>
        <v/>
      </c>
      <c r="U121" s="12" t="str" cm="1">
        <f t="array" ref="U121">IF(T121="","",_xlfn.XLOOKUP(G121,[1]Sheet1!$G:$G,[1]Sheet1!$U:$W))</f>
        <v/>
      </c>
      <c r="X121" s="15" t="str">
        <f>IF(Sheet2!G121="","",Sheet2!G121&amp;"''")</f>
        <v/>
      </c>
    </row>
    <row r="122" spans="7:24" x14ac:dyDescent="0.25">
      <c r="G122" s="15" t="str">
        <f>IF(Sheet2!A122="","",Sheet2!A122)</f>
        <v/>
      </c>
      <c r="H122" s="18" t="str">
        <f>IF(Sheet2!O122="","",LEFT(Sheet2!O122, FIND(" ", Sheet2!O122)-1))</f>
        <v/>
      </c>
      <c r="I122" s="15" t="str">
        <f>IF(Sheet2!S122&lt;19,ROUND(Sheet2!I122,2)&amp;"'",IF(Sheet2!S122&lt;25,ROUND(Sheet2!J122,2)&amp;"'",IF(Sheet2!S122&lt;31,ROUND(Sheet2!K122,2)&amp;"'",IF(Sheet2!S122&lt;37,ROUND(Sheet2!L122,2)&amp;"'",""))))</f>
        <v/>
      </c>
      <c r="L122" s="15" t="str">
        <f>IF(Sheet2!D122="","",Sheet2!D122&amp;"''")</f>
        <v/>
      </c>
      <c r="O122" s="16" t="str">
        <f>IF(Sheet2!H122="","",ROUND(Sheet2!H122,2)&amp;"'")</f>
        <v/>
      </c>
      <c r="P122" s="18" t="str">
        <f>IF(Sheet2!E122="","",Sheet2!E122&amp;"''")</f>
        <v/>
      </c>
      <c r="Q122" s="12" t="str" cm="1">
        <f t="array" ref="Q122">IF(P122="","",_xlfn.XLOOKUP(G122,[1]Sheet1!$G:$G,[1]Sheet1!$Q:$S))</f>
        <v/>
      </c>
      <c r="T122" s="15" t="str">
        <f>IF(Sheet2!F122="","",Sheet2!F122&amp;"''")</f>
        <v/>
      </c>
      <c r="U122" s="12" t="str" cm="1">
        <f t="array" ref="U122">IF(T122="","",_xlfn.XLOOKUP(G122,[1]Sheet1!$G:$G,[1]Sheet1!$U:$W))</f>
        <v/>
      </c>
      <c r="X122" s="15" t="str">
        <f>IF(Sheet2!G122="","",Sheet2!G122&amp;"''")</f>
        <v/>
      </c>
    </row>
    <row r="123" spans="7:24" x14ac:dyDescent="0.25">
      <c r="G123" s="15" t="str">
        <f>IF(Sheet2!A123="","",Sheet2!A123)</f>
        <v/>
      </c>
      <c r="H123" s="18" t="str">
        <f>IF(Sheet2!O123="","",LEFT(Sheet2!O123, FIND(" ", Sheet2!O123)-1))</f>
        <v/>
      </c>
      <c r="I123" s="15" t="str">
        <f>IF(Sheet2!S123&lt;19,ROUND(Sheet2!I123,2)&amp;"'",IF(Sheet2!S123&lt;25,ROUND(Sheet2!J123,2)&amp;"'",IF(Sheet2!S123&lt;31,ROUND(Sheet2!K123,2)&amp;"'",IF(Sheet2!S123&lt;37,ROUND(Sheet2!L123,2)&amp;"'",""))))</f>
        <v/>
      </c>
      <c r="L123" s="15" t="str">
        <f>IF(Sheet2!D123="","",Sheet2!D123&amp;"''")</f>
        <v/>
      </c>
      <c r="O123" s="16" t="str">
        <f>IF(Sheet2!H123="","",ROUND(Sheet2!H123,2)&amp;"'")</f>
        <v/>
      </c>
      <c r="P123" s="18" t="str">
        <f>IF(Sheet2!E123="","",Sheet2!E123&amp;"''")</f>
        <v/>
      </c>
      <c r="Q123" s="12" t="str" cm="1">
        <f t="array" ref="Q123">IF(P123="","",_xlfn.XLOOKUP(G123,[1]Sheet1!$G:$G,[1]Sheet1!$Q:$S))</f>
        <v/>
      </c>
      <c r="T123" s="15" t="str">
        <f>IF(Sheet2!F123="","",Sheet2!F123&amp;"''")</f>
        <v/>
      </c>
      <c r="U123" s="12" t="str" cm="1">
        <f t="array" ref="U123">IF(T123="","",_xlfn.XLOOKUP(G123,[1]Sheet1!$G:$G,[1]Sheet1!$U:$W))</f>
        <v/>
      </c>
      <c r="X123" s="15" t="str">
        <f>IF(Sheet2!G123="","",Sheet2!G123&amp;"''")</f>
        <v/>
      </c>
    </row>
    <row r="124" spans="7:24" x14ac:dyDescent="0.25">
      <c r="G124" s="15" t="str">
        <f>IF(Sheet2!A124="","",Sheet2!A124)</f>
        <v/>
      </c>
      <c r="H124" s="18" t="str">
        <f>IF(Sheet2!O124="","",LEFT(Sheet2!O124, FIND(" ", Sheet2!O124)-1))</f>
        <v/>
      </c>
      <c r="I124" s="15" t="str">
        <f>IF(Sheet2!S124&lt;19,ROUND(Sheet2!I124,2)&amp;"'",IF(Sheet2!S124&lt;25,ROUND(Sheet2!J124,2)&amp;"'",IF(Sheet2!S124&lt;31,ROUND(Sheet2!K124,2)&amp;"'",IF(Sheet2!S124&lt;37,ROUND(Sheet2!L124,2)&amp;"'",""))))</f>
        <v/>
      </c>
      <c r="L124" s="15" t="str">
        <f>IF(Sheet2!D124="","",Sheet2!D124&amp;"''")</f>
        <v/>
      </c>
      <c r="O124" s="16" t="str">
        <f>IF(Sheet2!H124="","",ROUND(Sheet2!H124,2)&amp;"'")</f>
        <v/>
      </c>
      <c r="P124" s="18" t="str">
        <f>IF(Sheet2!E124="","",Sheet2!E124&amp;"''")</f>
        <v/>
      </c>
      <c r="Q124" s="12" t="str" cm="1">
        <f t="array" ref="Q124">IF(P124="","",_xlfn.XLOOKUP(G124,[1]Sheet1!$G:$G,[1]Sheet1!$Q:$S))</f>
        <v/>
      </c>
      <c r="T124" s="15" t="str">
        <f>IF(Sheet2!F124="","",Sheet2!F124&amp;"''")</f>
        <v/>
      </c>
      <c r="U124" s="12" t="str" cm="1">
        <f t="array" ref="U124">IF(T124="","",_xlfn.XLOOKUP(G124,[1]Sheet1!$G:$G,[1]Sheet1!$U:$W))</f>
        <v/>
      </c>
      <c r="X124" s="15" t="str">
        <f>IF(Sheet2!G124="","",Sheet2!G124&amp;"''")</f>
        <v/>
      </c>
    </row>
    <row r="125" spans="7:24" x14ac:dyDescent="0.25">
      <c r="G125" s="15" t="str">
        <f>IF(Sheet2!A125="","",Sheet2!A125)</f>
        <v/>
      </c>
      <c r="H125" s="18" t="str">
        <f>IF(Sheet2!O125="","",LEFT(Sheet2!O125, FIND(" ", Sheet2!O125)-1))</f>
        <v/>
      </c>
      <c r="I125" s="15" t="str">
        <f>IF(Sheet2!S125&lt;19,ROUND(Sheet2!I125,2)&amp;"'",IF(Sheet2!S125&lt;25,ROUND(Sheet2!J125,2)&amp;"'",IF(Sheet2!S125&lt;31,ROUND(Sheet2!K125,2)&amp;"'",IF(Sheet2!S125&lt;37,ROUND(Sheet2!L125,2)&amp;"'",""))))</f>
        <v/>
      </c>
      <c r="L125" s="15" t="str">
        <f>IF(Sheet2!D125="","",Sheet2!D125&amp;"''")</f>
        <v/>
      </c>
      <c r="O125" s="16" t="str">
        <f>IF(Sheet2!H125="","",ROUND(Sheet2!H125,2)&amp;"'")</f>
        <v/>
      </c>
      <c r="P125" s="18" t="str">
        <f>IF(Sheet2!E125="","",Sheet2!E125&amp;"''")</f>
        <v/>
      </c>
      <c r="Q125" s="12" t="str" cm="1">
        <f t="array" ref="Q125">IF(P125="","",_xlfn.XLOOKUP(G125,[1]Sheet1!$G:$G,[1]Sheet1!$Q:$S))</f>
        <v/>
      </c>
      <c r="T125" s="15" t="str">
        <f>IF(Sheet2!F125="","",Sheet2!F125&amp;"''")</f>
        <v/>
      </c>
      <c r="U125" s="12" t="str" cm="1">
        <f t="array" ref="U125">IF(T125="","",_xlfn.XLOOKUP(G125,[1]Sheet1!$G:$G,[1]Sheet1!$U:$W))</f>
        <v/>
      </c>
      <c r="X125" s="15" t="str">
        <f>IF(Sheet2!G125="","",Sheet2!G125&amp;"''")</f>
        <v/>
      </c>
    </row>
    <row r="126" spans="7:24" x14ac:dyDescent="0.25">
      <c r="G126" s="15" t="str">
        <f>IF(Sheet2!A126="","",Sheet2!A126)</f>
        <v/>
      </c>
      <c r="H126" s="18" t="str">
        <f>IF(Sheet2!O126="","",LEFT(Sheet2!O126, FIND(" ", Sheet2!O126)-1))</f>
        <v/>
      </c>
      <c r="I126" s="15" t="str">
        <f>IF(Sheet2!S126&lt;19,ROUND(Sheet2!I126,2)&amp;"'",IF(Sheet2!S126&lt;25,ROUND(Sheet2!J126,2)&amp;"'",IF(Sheet2!S126&lt;31,ROUND(Sheet2!K126,2)&amp;"'",IF(Sheet2!S126&lt;37,ROUND(Sheet2!L126,2)&amp;"'",""))))</f>
        <v/>
      </c>
      <c r="L126" s="15" t="str">
        <f>IF(Sheet2!D126="","",Sheet2!D126&amp;"''")</f>
        <v/>
      </c>
      <c r="O126" s="16" t="str">
        <f>IF(Sheet2!H126="","",ROUND(Sheet2!H126,2)&amp;"'")</f>
        <v/>
      </c>
      <c r="P126" s="18" t="str">
        <f>IF(Sheet2!E126="","",Sheet2!E126&amp;"''")</f>
        <v/>
      </c>
      <c r="Q126" s="12" t="str" cm="1">
        <f t="array" ref="Q126">IF(P126="","",_xlfn.XLOOKUP(G126,[1]Sheet1!$G:$G,[1]Sheet1!$Q:$S))</f>
        <v/>
      </c>
      <c r="T126" s="15" t="str">
        <f>IF(Sheet2!F126="","",Sheet2!F126&amp;"''")</f>
        <v/>
      </c>
      <c r="U126" s="12" t="str" cm="1">
        <f t="array" ref="U126">IF(T126="","",_xlfn.XLOOKUP(G126,[1]Sheet1!$G:$G,[1]Sheet1!$U:$W))</f>
        <v/>
      </c>
      <c r="X126" s="15" t="str">
        <f>IF(Sheet2!G126="","",Sheet2!G126&amp;"''")</f>
        <v/>
      </c>
    </row>
    <row r="127" spans="7:24" x14ac:dyDescent="0.25">
      <c r="G127" s="15" t="str">
        <f>IF(Sheet2!A127="","",Sheet2!A127)</f>
        <v/>
      </c>
      <c r="H127" s="18" t="str">
        <f>IF(Sheet2!O127="","",LEFT(Sheet2!O127, FIND(" ", Sheet2!O127)-1))</f>
        <v/>
      </c>
      <c r="I127" s="15" t="str">
        <f>IF(Sheet2!S127&lt;19,ROUND(Sheet2!I127,2)&amp;"'",IF(Sheet2!S127&lt;25,ROUND(Sheet2!J127,2)&amp;"'",IF(Sheet2!S127&lt;31,ROUND(Sheet2!K127,2)&amp;"'",IF(Sheet2!S127&lt;37,ROUND(Sheet2!L127,2)&amp;"'",""))))</f>
        <v/>
      </c>
      <c r="L127" s="15" t="str">
        <f>IF(Sheet2!D127="","",Sheet2!D127&amp;"''")</f>
        <v/>
      </c>
      <c r="O127" s="16" t="str">
        <f>IF(Sheet2!H127="","",ROUND(Sheet2!H127,2)&amp;"'")</f>
        <v/>
      </c>
      <c r="P127" s="18" t="str">
        <f>IF(Sheet2!E127="","",Sheet2!E127&amp;"''")</f>
        <v/>
      </c>
      <c r="Q127" s="12" t="str" cm="1">
        <f t="array" ref="Q127">IF(P127="","",_xlfn.XLOOKUP(G127,[1]Sheet1!$G:$G,[1]Sheet1!$Q:$S))</f>
        <v/>
      </c>
      <c r="T127" s="15" t="str">
        <f>IF(Sheet2!F127="","",Sheet2!F127&amp;"''")</f>
        <v/>
      </c>
      <c r="U127" s="12" t="str" cm="1">
        <f t="array" ref="U127">IF(T127="","",_xlfn.XLOOKUP(G127,[1]Sheet1!$G:$G,[1]Sheet1!$U:$W))</f>
        <v/>
      </c>
      <c r="X127" s="15" t="str">
        <f>IF(Sheet2!G127="","",Sheet2!G127&amp;"''")</f>
        <v/>
      </c>
    </row>
    <row r="128" spans="7:24" x14ac:dyDescent="0.25">
      <c r="G128" s="15" t="str">
        <f>IF(Sheet2!A128="","",Sheet2!A128)</f>
        <v/>
      </c>
      <c r="H128" s="18" t="str">
        <f>IF(Sheet2!O128="","",LEFT(Sheet2!O128, FIND(" ", Sheet2!O128)-1))</f>
        <v/>
      </c>
      <c r="I128" s="15" t="str">
        <f>IF(Sheet2!S128&lt;19,ROUND(Sheet2!I128,2)&amp;"'",IF(Sheet2!S128&lt;25,ROUND(Sheet2!J128,2)&amp;"'",IF(Sheet2!S128&lt;31,ROUND(Sheet2!K128,2)&amp;"'",IF(Sheet2!S128&lt;37,ROUND(Sheet2!L128,2)&amp;"'",""))))</f>
        <v/>
      </c>
      <c r="L128" s="15" t="str">
        <f>IF(Sheet2!D128="","",Sheet2!D128&amp;"''")</f>
        <v/>
      </c>
      <c r="O128" s="16" t="str">
        <f>IF(Sheet2!H128="","",ROUND(Sheet2!H128,2)&amp;"'")</f>
        <v/>
      </c>
      <c r="P128" s="18" t="str">
        <f>IF(Sheet2!E128="","",Sheet2!E128&amp;"''")</f>
        <v/>
      </c>
      <c r="Q128" s="12" t="str" cm="1">
        <f t="array" ref="Q128">IF(P128="","",_xlfn.XLOOKUP(G128,[1]Sheet1!$G:$G,[1]Sheet1!$Q:$S))</f>
        <v/>
      </c>
      <c r="T128" s="15" t="str">
        <f>IF(Sheet2!F128="","",Sheet2!F128&amp;"''")</f>
        <v/>
      </c>
      <c r="U128" s="12" t="str" cm="1">
        <f t="array" ref="U128">IF(T128="","",_xlfn.XLOOKUP(G128,[1]Sheet1!$G:$G,[1]Sheet1!$U:$W))</f>
        <v/>
      </c>
      <c r="X128" s="15" t="str">
        <f>IF(Sheet2!G128="","",Sheet2!G128&amp;"''")</f>
        <v/>
      </c>
    </row>
    <row r="129" spans="7:24" x14ac:dyDescent="0.25">
      <c r="G129" s="15" t="str">
        <f>IF(Sheet2!A129="","",Sheet2!A129)</f>
        <v/>
      </c>
      <c r="H129" s="18" t="str">
        <f>IF(Sheet2!O129="","",LEFT(Sheet2!O129, FIND(" ", Sheet2!O129)-1))</f>
        <v/>
      </c>
      <c r="I129" s="15" t="str">
        <f>IF(Sheet2!S129&lt;19,ROUND(Sheet2!I129,2)&amp;"'",IF(Sheet2!S129&lt;25,ROUND(Sheet2!J129,2)&amp;"'",IF(Sheet2!S129&lt;31,ROUND(Sheet2!K129,2)&amp;"'",IF(Sheet2!S129&lt;37,ROUND(Sheet2!L129,2)&amp;"'",""))))</f>
        <v/>
      </c>
      <c r="L129" s="15" t="str">
        <f>IF(Sheet2!D129="","",Sheet2!D129&amp;"''")</f>
        <v/>
      </c>
      <c r="O129" s="16" t="str">
        <f>IF(Sheet2!H129="","",ROUND(Sheet2!H129,2)&amp;"'")</f>
        <v/>
      </c>
      <c r="P129" s="18" t="str">
        <f>IF(Sheet2!E129="","",Sheet2!E129&amp;"''")</f>
        <v/>
      </c>
      <c r="Q129" s="12" t="str" cm="1">
        <f t="array" ref="Q129">IF(P129="","",_xlfn.XLOOKUP(G129,[1]Sheet1!$G:$G,[1]Sheet1!$Q:$S))</f>
        <v/>
      </c>
      <c r="T129" s="15" t="str">
        <f>IF(Sheet2!F129="","",Sheet2!F129&amp;"''")</f>
        <v/>
      </c>
      <c r="U129" s="12" t="str" cm="1">
        <f t="array" ref="U129">IF(T129="","",_xlfn.XLOOKUP(G129,[1]Sheet1!$G:$G,[1]Sheet1!$U:$W))</f>
        <v/>
      </c>
      <c r="X129" s="15" t="str">
        <f>IF(Sheet2!G129="","",Sheet2!G129&amp;"''")</f>
        <v/>
      </c>
    </row>
    <row r="130" spans="7:24" x14ac:dyDescent="0.25">
      <c r="G130" s="15" t="str">
        <f>IF(Sheet2!A130="","",Sheet2!A130)</f>
        <v/>
      </c>
      <c r="H130" s="18" t="str">
        <f>IF(Sheet2!O130="","",LEFT(Sheet2!O130, FIND(" ", Sheet2!O130)-1))</f>
        <v/>
      </c>
      <c r="I130" s="15" t="str">
        <f>IF(Sheet2!S130&lt;19,ROUND(Sheet2!I130,2)&amp;"'",IF(Sheet2!S130&lt;25,ROUND(Sheet2!J130,2)&amp;"'",IF(Sheet2!S130&lt;31,ROUND(Sheet2!K130,2)&amp;"'",IF(Sheet2!S130&lt;37,ROUND(Sheet2!L130,2)&amp;"'",""))))</f>
        <v/>
      </c>
      <c r="L130" s="15" t="str">
        <f>IF(Sheet2!D130="","",Sheet2!D130&amp;"''")</f>
        <v/>
      </c>
      <c r="O130" s="16" t="str">
        <f>IF(Sheet2!H130="","",ROUND(Sheet2!H130,2)&amp;"'")</f>
        <v/>
      </c>
      <c r="P130" s="18" t="str">
        <f>IF(Sheet2!E130="","",Sheet2!E130&amp;"''")</f>
        <v/>
      </c>
      <c r="Q130" s="12" t="str" cm="1">
        <f t="array" ref="Q130">IF(P130="","",_xlfn.XLOOKUP(G130,[1]Sheet1!$G:$G,[1]Sheet1!$Q:$S))</f>
        <v/>
      </c>
      <c r="T130" s="15" t="str">
        <f>IF(Sheet2!F130="","",Sheet2!F130&amp;"''")</f>
        <v/>
      </c>
      <c r="U130" s="12" t="str" cm="1">
        <f t="array" ref="U130">IF(T130="","",_xlfn.XLOOKUP(G130,[1]Sheet1!$G:$G,[1]Sheet1!$U:$W))</f>
        <v/>
      </c>
      <c r="X130" s="15" t="str">
        <f>IF(Sheet2!G130="","",Sheet2!G130&amp;"''")</f>
        <v/>
      </c>
    </row>
    <row r="131" spans="7:24" x14ac:dyDescent="0.25">
      <c r="G131" s="15" t="str">
        <f>IF(Sheet2!A131="","",Sheet2!A131)</f>
        <v/>
      </c>
      <c r="H131" s="18" t="str">
        <f>IF(Sheet2!O131="","",LEFT(Sheet2!O131, FIND(" ", Sheet2!O131)-1))</f>
        <v/>
      </c>
      <c r="I131" s="15" t="str">
        <f>IF(Sheet2!S131&lt;19,ROUND(Sheet2!I131,2)&amp;"'",IF(Sheet2!S131&lt;25,ROUND(Sheet2!J131,2)&amp;"'",IF(Sheet2!S131&lt;31,ROUND(Sheet2!K131,2)&amp;"'",IF(Sheet2!S131&lt;37,ROUND(Sheet2!L131,2)&amp;"'",""))))</f>
        <v/>
      </c>
      <c r="L131" s="15" t="str">
        <f>IF(Sheet2!D131="","",Sheet2!D131&amp;"''")</f>
        <v/>
      </c>
      <c r="O131" s="16" t="str">
        <f>IF(Sheet2!H131="","",ROUND(Sheet2!H131,2)&amp;"'")</f>
        <v/>
      </c>
      <c r="P131" s="18" t="str">
        <f>IF(Sheet2!E131="","",Sheet2!E131&amp;"''")</f>
        <v/>
      </c>
      <c r="Q131" s="12" t="str" cm="1">
        <f t="array" ref="Q131">IF(P131="","",_xlfn.XLOOKUP(G131,[1]Sheet1!$G:$G,[1]Sheet1!$Q:$S))</f>
        <v/>
      </c>
      <c r="T131" s="15" t="str">
        <f>IF(Sheet2!F131="","",Sheet2!F131&amp;"''")</f>
        <v/>
      </c>
      <c r="U131" s="12" t="str" cm="1">
        <f t="array" ref="U131">IF(T131="","",_xlfn.XLOOKUP(G131,[1]Sheet1!$G:$G,[1]Sheet1!$U:$W))</f>
        <v/>
      </c>
      <c r="X131" s="15" t="str">
        <f>IF(Sheet2!G131="","",Sheet2!G131&amp;"''")</f>
        <v/>
      </c>
    </row>
    <row r="132" spans="7:24" x14ac:dyDescent="0.25">
      <c r="G132" s="15" t="str">
        <f>IF(Sheet2!A132="","",Sheet2!A132)</f>
        <v/>
      </c>
      <c r="H132" s="18" t="str">
        <f>IF(Sheet2!O132="","",LEFT(Sheet2!O132, FIND(" ", Sheet2!O132)-1))</f>
        <v/>
      </c>
      <c r="I132" s="15" t="str">
        <f>IF(Sheet2!S132&lt;19,ROUND(Sheet2!I132,2)&amp;"'",IF(Sheet2!S132&lt;25,ROUND(Sheet2!J132,2)&amp;"'",IF(Sheet2!S132&lt;31,ROUND(Sheet2!K132,2)&amp;"'",IF(Sheet2!S132&lt;37,ROUND(Sheet2!L132,2)&amp;"'",""))))</f>
        <v/>
      </c>
      <c r="L132" s="15" t="str">
        <f>IF(Sheet2!D132="","",Sheet2!D132&amp;"''")</f>
        <v/>
      </c>
      <c r="O132" s="16" t="str">
        <f>IF(Sheet2!H132="","",ROUND(Sheet2!H132,2)&amp;"'")</f>
        <v/>
      </c>
      <c r="P132" s="18" t="str">
        <f>IF(Sheet2!E132="","",Sheet2!E132&amp;"''")</f>
        <v/>
      </c>
      <c r="Q132" s="12" t="str" cm="1">
        <f t="array" ref="Q132">IF(P132="","",_xlfn.XLOOKUP(G132,[1]Sheet1!$G:$G,[1]Sheet1!$Q:$S))</f>
        <v/>
      </c>
      <c r="T132" s="15" t="str">
        <f>IF(Sheet2!F132="","",Sheet2!F132&amp;"''")</f>
        <v/>
      </c>
      <c r="U132" s="12" t="str" cm="1">
        <f t="array" ref="U132">IF(T132="","",_xlfn.XLOOKUP(G132,[1]Sheet1!$G:$G,[1]Sheet1!$U:$W))</f>
        <v/>
      </c>
      <c r="X132" s="15" t="str">
        <f>IF(Sheet2!G132="","",Sheet2!G132&amp;"''")</f>
        <v/>
      </c>
    </row>
    <row r="133" spans="7:24" x14ac:dyDescent="0.25">
      <c r="G133" s="15" t="str">
        <f>IF(Sheet2!A133="","",Sheet2!A133)</f>
        <v/>
      </c>
      <c r="H133" s="18" t="str">
        <f>IF(Sheet2!O133="","",LEFT(Sheet2!O133, FIND(" ", Sheet2!O133)-1))</f>
        <v/>
      </c>
      <c r="I133" s="15" t="str">
        <f>IF(Sheet2!S133&lt;19,ROUND(Sheet2!I133,2)&amp;"'",IF(Sheet2!S133&lt;25,ROUND(Sheet2!J133,2)&amp;"'",IF(Sheet2!S133&lt;31,ROUND(Sheet2!K133,2)&amp;"'",IF(Sheet2!S133&lt;37,ROUND(Sheet2!L133,2)&amp;"'",""))))</f>
        <v/>
      </c>
      <c r="L133" s="15" t="str">
        <f>IF(Sheet2!D133="","",Sheet2!D133&amp;"''")</f>
        <v/>
      </c>
      <c r="O133" s="16" t="str">
        <f>IF(Sheet2!H133="","",ROUND(Sheet2!H133,2)&amp;"'")</f>
        <v/>
      </c>
      <c r="P133" s="18" t="str">
        <f>IF(Sheet2!E133="","",Sheet2!E133&amp;"''")</f>
        <v/>
      </c>
      <c r="Q133" s="12" t="str" cm="1">
        <f t="array" ref="Q133">IF(P133="","",_xlfn.XLOOKUP(G133,[1]Sheet1!$G:$G,[1]Sheet1!$Q:$S))</f>
        <v/>
      </c>
      <c r="T133" s="15" t="str">
        <f>IF(Sheet2!F133="","",Sheet2!F133&amp;"''")</f>
        <v/>
      </c>
      <c r="U133" s="12" t="str" cm="1">
        <f t="array" ref="U133">IF(T133="","",_xlfn.XLOOKUP(G133,[1]Sheet1!$G:$G,[1]Sheet1!$U:$W))</f>
        <v/>
      </c>
      <c r="X133" s="15" t="str">
        <f>IF(Sheet2!G133="","",Sheet2!G133&amp;"''")</f>
        <v/>
      </c>
    </row>
    <row r="134" spans="7:24" x14ac:dyDescent="0.25">
      <c r="G134" s="15" t="str">
        <f>IF(Sheet2!A134="","",Sheet2!A134)</f>
        <v/>
      </c>
      <c r="H134" s="18" t="str">
        <f>IF(Sheet2!O134="","",LEFT(Sheet2!O134, FIND(" ", Sheet2!O134)-1))</f>
        <v/>
      </c>
      <c r="I134" s="15" t="str">
        <f>IF(Sheet2!S134&lt;19,ROUND(Sheet2!I134,2)&amp;"'",IF(Sheet2!S134&lt;25,ROUND(Sheet2!J134,2)&amp;"'",IF(Sheet2!S134&lt;31,ROUND(Sheet2!K134,2)&amp;"'",IF(Sheet2!S134&lt;37,ROUND(Sheet2!L134,2)&amp;"'",""))))</f>
        <v/>
      </c>
      <c r="L134" s="15" t="str">
        <f>IF(Sheet2!D134="","",Sheet2!D134&amp;"''")</f>
        <v/>
      </c>
      <c r="O134" s="16" t="str">
        <f>IF(Sheet2!H134="","",ROUND(Sheet2!H134,2)&amp;"'")</f>
        <v/>
      </c>
      <c r="P134" s="18" t="str">
        <f>IF(Sheet2!E134="","",Sheet2!E134&amp;"''")</f>
        <v/>
      </c>
      <c r="Q134" s="12" t="str" cm="1">
        <f t="array" ref="Q134">IF(P134="","",_xlfn.XLOOKUP(G134,[1]Sheet1!$G:$G,[1]Sheet1!$Q:$S))</f>
        <v/>
      </c>
      <c r="T134" s="15" t="str">
        <f>IF(Sheet2!F134="","",Sheet2!F134&amp;"''")</f>
        <v/>
      </c>
      <c r="U134" s="12" t="str" cm="1">
        <f t="array" ref="U134">IF(T134="","",_xlfn.XLOOKUP(G134,[1]Sheet1!$G:$G,[1]Sheet1!$U:$W))</f>
        <v/>
      </c>
      <c r="X134" s="15" t="str">
        <f>IF(Sheet2!G134="","",Sheet2!G134&amp;"''")</f>
        <v/>
      </c>
    </row>
    <row r="135" spans="7:24" x14ac:dyDescent="0.25">
      <c r="G135" s="15" t="str">
        <f>IF(Sheet2!A135="","",Sheet2!A135)</f>
        <v/>
      </c>
      <c r="H135" s="18" t="str">
        <f>IF(Sheet2!O135="","",LEFT(Sheet2!O135, FIND(" ", Sheet2!O135)-1))</f>
        <v/>
      </c>
      <c r="I135" s="15" t="str">
        <f>IF(Sheet2!S135&lt;19,ROUND(Sheet2!I135,2)&amp;"'",IF(Sheet2!S135&lt;25,ROUND(Sheet2!J135,2)&amp;"'",IF(Sheet2!S135&lt;31,ROUND(Sheet2!K135,2)&amp;"'",IF(Sheet2!S135&lt;37,ROUND(Sheet2!L135,2)&amp;"'",""))))</f>
        <v/>
      </c>
      <c r="L135" s="15" t="str">
        <f>IF(Sheet2!D135="","",Sheet2!D135&amp;"''")</f>
        <v/>
      </c>
      <c r="O135" s="16" t="str">
        <f>IF(Sheet2!H135="","",ROUND(Sheet2!H135,2)&amp;"'")</f>
        <v/>
      </c>
      <c r="P135" s="18" t="str">
        <f>IF(Sheet2!E135="","",Sheet2!E135&amp;"''")</f>
        <v/>
      </c>
      <c r="Q135" s="12" t="str" cm="1">
        <f t="array" ref="Q135">IF(P135="","",_xlfn.XLOOKUP(G135,[1]Sheet1!$G:$G,[1]Sheet1!$Q:$S))</f>
        <v/>
      </c>
      <c r="T135" s="15" t="str">
        <f>IF(Sheet2!F135="","",Sheet2!F135&amp;"''")</f>
        <v/>
      </c>
      <c r="U135" s="12" t="str" cm="1">
        <f t="array" ref="U135">IF(T135="","",_xlfn.XLOOKUP(G135,[1]Sheet1!$G:$G,[1]Sheet1!$U:$W))</f>
        <v/>
      </c>
      <c r="X135" s="15" t="str">
        <f>IF(Sheet2!G135="","",Sheet2!G135&amp;"''")</f>
        <v/>
      </c>
    </row>
    <row r="136" spans="7:24" x14ac:dyDescent="0.25">
      <c r="G136" s="15" t="str">
        <f>IF(Sheet2!A136="","",Sheet2!A136)</f>
        <v/>
      </c>
      <c r="H136" s="18" t="str">
        <f>IF(Sheet2!O136="","",LEFT(Sheet2!O136, FIND(" ", Sheet2!O136)-1))</f>
        <v/>
      </c>
      <c r="I136" s="15" t="str">
        <f>IF(Sheet2!S136&lt;19,ROUND(Sheet2!I136,2)&amp;"'",IF(Sheet2!S136&lt;25,ROUND(Sheet2!J136,2)&amp;"'",IF(Sheet2!S136&lt;31,ROUND(Sheet2!K136,2)&amp;"'",IF(Sheet2!S136&lt;37,ROUND(Sheet2!L136,2)&amp;"'",""))))</f>
        <v/>
      </c>
      <c r="L136" s="15" t="str">
        <f>IF(Sheet2!D136="","",Sheet2!D136&amp;"''")</f>
        <v/>
      </c>
      <c r="O136" s="16" t="str">
        <f>IF(Sheet2!H136="","",ROUND(Sheet2!H136,2)&amp;"'")</f>
        <v/>
      </c>
      <c r="P136" s="18" t="str">
        <f>IF(Sheet2!E136="","",Sheet2!E136&amp;"''")</f>
        <v/>
      </c>
      <c r="Q136" s="12" t="str" cm="1">
        <f t="array" ref="Q136">IF(P136="","",_xlfn.XLOOKUP(G136,[1]Sheet1!$G:$G,[1]Sheet1!$Q:$S))</f>
        <v/>
      </c>
      <c r="T136" s="15" t="str">
        <f>IF(Sheet2!F136="","",Sheet2!F136&amp;"''")</f>
        <v/>
      </c>
      <c r="U136" s="12" t="str" cm="1">
        <f t="array" ref="U136">IF(T136="","",_xlfn.XLOOKUP(G136,[1]Sheet1!$G:$G,[1]Sheet1!$U:$W))</f>
        <v/>
      </c>
      <c r="X136" s="15" t="str">
        <f>IF(Sheet2!G136="","",Sheet2!G136&amp;"''")</f>
        <v/>
      </c>
    </row>
    <row r="137" spans="7:24" x14ac:dyDescent="0.25">
      <c r="G137" s="15" t="str">
        <f>IF(Sheet2!A137="","",Sheet2!A137)</f>
        <v/>
      </c>
      <c r="H137" s="18" t="str">
        <f>IF(Sheet2!O137="","",LEFT(Sheet2!O137, FIND(" ", Sheet2!O137)-1))</f>
        <v/>
      </c>
      <c r="I137" s="15" t="str">
        <f>IF(Sheet2!S137&lt;19,ROUND(Sheet2!I137,2)&amp;"'",IF(Sheet2!S137&lt;25,ROUND(Sheet2!J137,2)&amp;"'",IF(Sheet2!S137&lt;31,ROUND(Sheet2!K137,2)&amp;"'",IF(Sheet2!S137&lt;37,ROUND(Sheet2!L137,2)&amp;"'",""))))</f>
        <v/>
      </c>
      <c r="L137" s="15" t="str">
        <f>IF(Sheet2!D137="","",Sheet2!D137&amp;"''")</f>
        <v/>
      </c>
      <c r="O137" s="16" t="str">
        <f>IF(Sheet2!H137="","",ROUND(Sheet2!H137,2)&amp;"'")</f>
        <v/>
      </c>
      <c r="P137" s="18" t="str">
        <f>IF(Sheet2!E137="","",Sheet2!E137&amp;"''")</f>
        <v/>
      </c>
      <c r="Q137" s="12" t="str" cm="1">
        <f t="array" ref="Q137">IF(P137="","",_xlfn.XLOOKUP(G137,[1]Sheet1!$G:$G,[1]Sheet1!$Q:$S))</f>
        <v/>
      </c>
      <c r="T137" s="15" t="str">
        <f>IF(Sheet2!F137="","",Sheet2!F137&amp;"''")</f>
        <v/>
      </c>
      <c r="U137" s="12" t="str" cm="1">
        <f t="array" ref="U137">IF(T137="","",_xlfn.XLOOKUP(G137,[1]Sheet1!$G:$G,[1]Sheet1!$U:$W))</f>
        <v/>
      </c>
      <c r="X137" s="15" t="str">
        <f>IF(Sheet2!G137="","",Sheet2!G137&amp;"''")</f>
        <v/>
      </c>
    </row>
    <row r="138" spans="7:24" x14ac:dyDescent="0.25">
      <c r="G138" s="15" t="str">
        <f>IF(Sheet2!A138="","",Sheet2!A138)</f>
        <v/>
      </c>
      <c r="H138" s="18" t="str">
        <f>IF(Sheet2!O138="","",LEFT(Sheet2!O138, FIND(" ", Sheet2!O138)-1))</f>
        <v/>
      </c>
      <c r="I138" s="15" t="str">
        <f>IF(Sheet2!S138&lt;19,ROUND(Sheet2!I138,2)&amp;"'",IF(Sheet2!S138&lt;25,ROUND(Sheet2!J138,2)&amp;"'",IF(Sheet2!S138&lt;31,ROUND(Sheet2!K138,2)&amp;"'",IF(Sheet2!S138&lt;37,ROUND(Sheet2!L138,2)&amp;"'",""))))</f>
        <v/>
      </c>
      <c r="L138" s="15" t="str">
        <f>IF(Sheet2!D138="","",Sheet2!D138&amp;"''")</f>
        <v/>
      </c>
      <c r="O138" s="16" t="str">
        <f>IF(Sheet2!H138="","",ROUND(Sheet2!H138,2)&amp;"'")</f>
        <v/>
      </c>
      <c r="P138" s="18" t="str">
        <f>IF(Sheet2!E138="","",Sheet2!E138&amp;"''")</f>
        <v/>
      </c>
      <c r="Q138" s="12" t="str" cm="1">
        <f t="array" ref="Q138">IF(P138="","",_xlfn.XLOOKUP(G138,[1]Sheet1!$G:$G,[1]Sheet1!$Q:$S))</f>
        <v/>
      </c>
      <c r="T138" s="15" t="str">
        <f>IF(Sheet2!F138="","",Sheet2!F138&amp;"''")</f>
        <v/>
      </c>
      <c r="U138" s="12" t="str" cm="1">
        <f t="array" ref="U138">IF(T138="","",_xlfn.XLOOKUP(G138,[1]Sheet1!$G:$G,[1]Sheet1!$U:$W))</f>
        <v/>
      </c>
      <c r="X138" s="15" t="str">
        <f>IF(Sheet2!G138="","",Sheet2!G138&amp;"''")</f>
        <v/>
      </c>
    </row>
    <row r="139" spans="7:24" x14ac:dyDescent="0.25">
      <c r="G139" s="15" t="str">
        <f>IF(Sheet2!A139="","",Sheet2!A139)</f>
        <v/>
      </c>
      <c r="H139" s="18" t="str">
        <f>IF(Sheet2!O139="","",LEFT(Sheet2!O139, FIND(" ", Sheet2!O139)-1))</f>
        <v/>
      </c>
      <c r="I139" s="15" t="str">
        <f>IF(Sheet2!S139&lt;19,ROUND(Sheet2!I139,2)&amp;"'",IF(Sheet2!S139&lt;25,ROUND(Sheet2!J139,2)&amp;"'",IF(Sheet2!S139&lt;31,ROUND(Sheet2!K139,2)&amp;"'",IF(Sheet2!S139&lt;37,ROUND(Sheet2!L139,2)&amp;"'",""))))</f>
        <v/>
      </c>
      <c r="L139" s="15" t="str">
        <f>IF(Sheet2!D139="","",Sheet2!D139&amp;"''")</f>
        <v/>
      </c>
      <c r="O139" s="16" t="str">
        <f>IF(Sheet2!H139="","",ROUND(Sheet2!H139,2)&amp;"'")</f>
        <v/>
      </c>
      <c r="P139" s="18" t="str">
        <f>IF(Sheet2!E139="","",Sheet2!E139&amp;"''")</f>
        <v/>
      </c>
      <c r="Q139" s="12" t="str" cm="1">
        <f t="array" ref="Q139">IF(P139="","",_xlfn.XLOOKUP(G139,[1]Sheet1!$G:$G,[1]Sheet1!$Q:$S))</f>
        <v/>
      </c>
      <c r="T139" s="15" t="str">
        <f>IF(Sheet2!F139="","",Sheet2!F139&amp;"""")</f>
        <v/>
      </c>
      <c r="U139" s="12" t="str" cm="1">
        <f t="array" ref="U139">IF(T139="","",_xlfn.XLOOKUP(G139,[1]Sheet1!$G:$G,[1]Sheet1!$U:$W))</f>
        <v/>
      </c>
      <c r="X139" s="15" t="str">
        <f>IF(Sheet2!G139="","",Sheet2!G139&amp;"''")</f>
        <v/>
      </c>
    </row>
    <row r="140" spans="7:24" x14ac:dyDescent="0.25">
      <c r="G140" s="15" t="str">
        <f>IF(Sheet2!A140="","",Sheet2!A140)</f>
        <v/>
      </c>
      <c r="H140" s="18" t="str">
        <f>IF(Sheet2!O140="","",LEFT(Sheet2!O140, FIND(" ", Sheet2!O140)-1))</f>
        <v/>
      </c>
      <c r="I140" s="15" t="str">
        <f>IF(Sheet2!S140&lt;19,ROUND(Sheet2!I140,2)&amp;"'",IF(Sheet2!S140&lt;25,ROUND(Sheet2!J140,2)&amp;"'",IF(Sheet2!S140&lt;31,ROUND(Sheet2!K140,2)&amp;"'",IF(Sheet2!S140&lt;37,ROUND(Sheet2!L140,2)&amp;"'",""))))</f>
        <v/>
      </c>
      <c r="L140" s="15" t="str">
        <f>IF(Sheet2!D140="","",Sheet2!D140&amp;"''")</f>
        <v/>
      </c>
      <c r="O140" s="16" t="str">
        <f>IF(Sheet2!H140="","",ROUND(Sheet2!H140,2)&amp;"'")</f>
        <v/>
      </c>
      <c r="P140" s="18" t="str">
        <f>IF(Sheet2!E140="","",Sheet2!E140&amp;"''")</f>
        <v/>
      </c>
      <c r="Q140" s="12" t="str" cm="1">
        <f t="array" ref="Q140">IF(P140="","",_xlfn.XLOOKUP(G140,[1]Sheet1!$G:$G,[1]Sheet1!$Q:$S))</f>
        <v/>
      </c>
      <c r="T140" s="15" t="str">
        <f>IF(Sheet2!F140="","",Sheet2!F140&amp;"""")</f>
        <v/>
      </c>
      <c r="U140" s="12" t="str" cm="1">
        <f t="array" ref="U140">IF(T140="","",_xlfn.XLOOKUP(G140,[1]Sheet1!$G:$G,[1]Sheet1!$U:$W))</f>
        <v/>
      </c>
      <c r="X140" s="15" t="str">
        <f>IF(Sheet2!G140="","",Sheet2!G140&amp;"''")</f>
        <v/>
      </c>
    </row>
    <row r="141" spans="7:24" x14ac:dyDescent="0.25">
      <c r="G141" s="15" t="str">
        <f>IF(Sheet2!A141="","",Sheet2!A141)</f>
        <v/>
      </c>
      <c r="H141" s="18" t="str">
        <f>IF(Sheet2!O141="","",LEFT(Sheet2!O141, FIND(" ", Sheet2!O141)-1))</f>
        <v/>
      </c>
      <c r="I141" s="15" t="str">
        <f>IF(Sheet2!S141&lt;19,ROUND(Sheet2!I141,2)&amp;"'",IF(Sheet2!S141&lt;25,ROUND(Sheet2!J141,2)&amp;"'",IF(Sheet2!S141&lt;31,ROUND(Sheet2!K141,2)&amp;"'",IF(Sheet2!S141&lt;37,ROUND(Sheet2!L141,2)&amp;"'",""))))</f>
        <v/>
      </c>
      <c r="L141" s="15" t="str">
        <f>IF(Sheet2!D141="","",Sheet2!D141&amp;"''")</f>
        <v/>
      </c>
      <c r="O141" s="16" t="str">
        <f>IF(Sheet2!H141="","",ROUND(Sheet2!H141,2)&amp;"'")</f>
        <v/>
      </c>
      <c r="P141" s="18" t="str">
        <f>IF(Sheet2!E141="","",Sheet2!E141&amp;"''")</f>
        <v/>
      </c>
      <c r="Q141" s="12" t="str" cm="1">
        <f t="array" ref="Q141">IF(P141="","",_xlfn.XLOOKUP(G141,[1]Sheet1!$G:$G,[1]Sheet1!$Q:$S))</f>
        <v/>
      </c>
      <c r="T141" s="15" t="str">
        <f>IF(Sheet2!F141="","",Sheet2!F141&amp;"""")</f>
        <v/>
      </c>
      <c r="U141" s="12" t="str" cm="1">
        <f t="array" ref="U141">IF(T141="","",_xlfn.XLOOKUP(G141,[1]Sheet1!$G:$G,[1]Sheet1!$U:$W))</f>
        <v/>
      </c>
      <c r="X141" s="15" t="str">
        <f>IF(Sheet2!G141="","",Sheet2!G141&amp;"''")</f>
        <v/>
      </c>
    </row>
    <row r="142" spans="7:24" x14ac:dyDescent="0.25">
      <c r="G142" s="15" t="str">
        <f>IF(Sheet2!A142="","",Sheet2!A142)</f>
        <v/>
      </c>
      <c r="H142" s="18" t="str">
        <f>IF(Sheet2!O142="","",LEFT(Sheet2!O142, FIND(" ", Sheet2!O142)-1))</f>
        <v/>
      </c>
      <c r="I142" s="15" t="str">
        <f>IF(Sheet2!S142&lt;19,ROUND(Sheet2!I142,2)&amp;"'",IF(Sheet2!S142&lt;25,ROUND(Sheet2!J142,2)&amp;"'",IF(Sheet2!S142&lt;31,ROUND(Sheet2!K142,2)&amp;"'",IF(Sheet2!S142&lt;37,ROUND(Sheet2!L142,2)&amp;"'",""))))</f>
        <v/>
      </c>
      <c r="L142" s="15" t="str">
        <f>IF(Sheet2!D142="","",Sheet2!D142&amp;"''")</f>
        <v/>
      </c>
      <c r="O142" s="16" t="str">
        <f>IF(Sheet2!H142="","",ROUND(Sheet2!H142,2)&amp;"'")</f>
        <v/>
      </c>
      <c r="P142" s="18" t="str">
        <f>IF(Sheet2!E142="","",Sheet2!E142&amp;"''")</f>
        <v/>
      </c>
      <c r="Q142" s="12" t="str" cm="1">
        <f t="array" ref="Q142">IF(P142="","",_xlfn.XLOOKUP(G142,[1]Sheet1!$G:$G,[1]Sheet1!$Q:$S))</f>
        <v/>
      </c>
      <c r="T142" s="15" t="str">
        <f>IF(Sheet2!F142="","",Sheet2!F142&amp;"""")</f>
        <v/>
      </c>
      <c r="U142" s="12" t="str" cm="1">
        <f t="array" ref="U142">IF(T142="","",_xlfn.XLOOKUP(G142,[1]Sheet1!$G:$G,[1]Sheet1!$U:$W))</f>
        <v/>
      </c>
      <c r="X142" s="15" t="str">
        <f>IF(Sheet2!G142="","",Sheet2!G142&amp;"''")</f>
        <v/>
      </c>
    </row>
    <row r="143" spans="7:24" x14ac:dyDescent="0.25">
      <c r="G143" s="15" t="str">
        <f>IF(Sheet2!A143="","",Sheet2!A143)</f>
        <v/>
      </c>
      <c r="H143" s="18" t="str">
        <f>IF(Sheet2!O143="","",LEFT(Sheet2!O143, FIND(" ", Sheet2!O143)-1))</f>
        <v/>
      </c>
      <c r="I143" s="15" t="str">
        <f>IF(Sheet2!S143&lt;19,ROUND(Sheet2!I143,2)&amp;"'",IF(Sheet2!S143&lt;25,ROUND(Sheet2!J143,2)&amp;"'",IF(Sheet2!S143&lt;31,ROUND(Sheet2!K143,2)&amp;"'",IF(Sheet2!S143&lt;37,ROUND(Sheet2!L143,2)&amp;"'",""))))</f>
        <v/>
      </c>
      <c r="L143" s="15" t="str">
        <f>IF(Sheet2!D143="","",Sheet2!D143&amp;"''")</f>
        <v/>
      </c>
      <c r="O143" s="16" t="str">
        <f>IF(Sheet2!H143="","",ROUND(Sheet2!H143,2)&amp;"'")</f>
        <v/>
      </c>
      <c r="P143" s="18" t="str">
        <f>IF(Sheet2!E143="","",Sheet2!E143&amp;"''")</f>
        <v/>
      </c>
      <c r="Q143" s="12" t="str" cm="1">
        <f t="array" ref="Q143">IF(P143="","",_xlfn.XLOOKUP(G143,[1]Sheet1!$G:$G,[1]Sheet1!$Q:$S))</f>
        <v/>
      </c>
      <c r="T143" s="15" t="str">
        <f>IF(Sheet2!F143="","",Sheet2!F143&amp;"""")</f>
        <v/>
      </c>
      <c r="U143" s="12" t="str" cm="1">
        <f t="array" ref="U143">IF(T143="","",_xlfn.XLOOKUP(G143,[1]Sheet1!$G:$G,[1]Sheet1!$U:$W))</f>
        <v/>
      </c>
      <c r="X143" s="15" t="str">
        <f>IF(Sheet2!G143="","",Sheet2!G143&amp;"''")</f>
        <v/>
      </c>
    </row>
    <row r="144" spans="7:24" x14ac:dyDescent="0.25">
      <c r="G144" s="15" t="str">
        <f>IF(Sheet2!A144="","",Sheet2!A144)</f>
        <v/>
      </c>
      <c r="H144" s="18" t="str">
        <f>IF(Sheet2!O144="","",LEFT(Sheet2!O144, FIND(" ", Sheet2!O144)-1))</f>
        <v/>
      </c>
      <c r="I144" s="15" t="str">
        <f>IF(Sheet2!S144&lt;19,ROUND(Sheet2!I144,2)&amp;"'",IF(Sheet2!S144&lt;25,ROUND(Sheet2!J144,2)&amp;"'",IF(Sheet2!S144&lt;31,ROUND(Sheet2!K144,2)&amp;"'",IF(Sheet2!S144&lt;37,ROUND(Sheet2!L144,2)&amp;"'",""))))</f>
        <v/>
      </c>
      <c r="L144" s="15" t="str">
        <f>IF(Sheet2!D144="","",Sheet2!D144&amp;"''")</f>
        <v/>
      </c>
      <c r="O144" s="16" t="str">
        <f>IF(Sheet2!H144="","",ROUND(Sheet2!H144,2)&amp;"'")</f>
        <v/>
      </c>
      <c r="P144" s="18" t="str">
        <f>IF(Sheet2!E144="","",Sheet2!E144&amp;"''")</f>
        <v/>
      </c>
      <c r="Q144" s="12" t="str" cm="1">
        <f t="array" ref="Q144">IF(P144="","",_xlfn.XLOOKUP(G144,[1]Sheet1!$G:$G,[1]Sheet1!$Q:$S))</f>
        <v/>
      </c>
      <c r="T144" s="15" t="str">
        <f>IF(Sheet2!F144="","",Sheet2!F144&amp;"""")</f>
        <v/>
      </c>
      <c r="U144" s="12" t="str" cm="1">
        <f t="array" ref="U144">IF(T144="","",_xlfn.XLOOKUP(G144,[1]Sheet1!$G:$G,[1]Sheet1!$U:$W))</f>
        <v/>
      </c>
      <c r="X144" s="15" t="str">
        <f>IF(Sheet2!G144="","",Sheet2!G144&amp;"''")</f>
        <v/>
      </c>
    </row>
    <row r="145" spans="7:24" x14ac:dyDescent="0.25">
      <c r="G145" s="15" t="str">
        <f>IF(Sheet2!A145="","",Sheet2!A145)</f>
        <v/>
      </c>
      <c r="H145" s="18" t="str">
        <f>IF(Sheet2!O145="","",LEFT(Sheet2!O145, FIND(" ", Sheet2!O145)-1))</f>
        <v/>
      </c>
      <c r="I145" s="15" t="str">
        <f>IF(Sheet2!S145&lt;19,ROUND(Sheet2!I145,2)&amp;"'",IF(Sheet2!S145&lt;25,ROUND(Sheet2!J145,2)&amp;"'",IF(Sheet2!S145&lt;31,ROUND(Sheet2!K145,2)&amp;"'",IF(Sheet2!S145&lt;37,ROUND(Sheet2!L145,2)&amp;"'",""))))</f>
        <v/>
      </c>
      <c r="L145" s="15" t="str">
        <f>IF(Sheet2!D145="","",Sheet2!D145&amp;"''")</f>
        <v/>
      </c>
      <c r="O145" s="16" t="str">
        <f>IF(Sheet2!H145="","",ROUND(Sheet2!H145,2)&amp;"'")</f>
        <v/>
      </c>
      <c r="P145" s="18" t="str">
        <f>IF(Sheet2!E145="","",Sheet2!E145&amp;"''")</f>
        <v/>
      </c>
      <c r="Q145" s="12" t="str" cm="1">
        <f t="array" ref="Q145">IF(P145="","",_xlfn.XLOOKUP(G145,[1]Sheet1!$G:$G,[1]Sheet1!$Q:$S))</f>
        <v/>
      </c>
      <c r="T145" s="15" t="str">
        <f>IF(Sheet2!F145="","",Sheet2!F145&amp;"""")</f>
        <v/>
      </c>
      <c r="U145" s="12" t="str" cm="1">
        <f t="array" ref="U145">IF(T145="","",_xlfn.XLOOKUP(G145,[1]Sheet1!$G:$G,[1]Sheet1!$U:$W))</f>
        <v/>
      </c>
      <c r="X145" s="15" t="str">
        <f>IF(Sheet2!G145="","",Sheet2!G145&amp;"''")</f>
        <v/>
      </c>
    </row>
    <row r="146" spans="7:24" x14ac:dyDescent="0.25">
      <c r="G146" s="15" t="str">
        <f>IF(Sheet2!A146="","",Sheet2!A146)</f>
        <v/>
      </c>
      <c r="H146" s="18" t="str">
        <f>IF(Sheet2!O146="","",LEFT(Sheet2!O146, FIND(" ", Sheet2!O146)-1))</f>
        <v/>
      </c>
      <c r="I146" s="15" t="str">
        <f>IF(Sheet2!S146&lt;19,ROUND(Sheet2!I146,2)&amp;"'",IF(Sheet2!S146&lt;25,ROUND(Sheet2!J146,2)&amp;"'",IF(Sheet2!S146&lt;31,ROUND(Sheet2!K146,2)&amp;"'",IF(Sheet2!S146&lt;37,ROUND(Sheet2!L146,2)&amp;"'",""))))</f>
        <v/>
      </c>
      <c r="L146" s="15" t="str">
        <f>IF(Sheet2!D146="","",Sheet2!D146&amp;"''")</f>
        <v/>
      </c>
      <c r="O146" s="16" t="str">
        <f>IF(Sheet2!H146="","",ROUND(Sheet2!H146,2)&amp;"'")</f>
        <v/>
      </c>
      <c r="P146" s="18" t="str">
        <f>IF(Sheet2!E146="","",Sheet2!E146&amp;"''")</f>
        <v/>
      </c>
      <c r="Q146" s="12" t="str" cm="1">
        <f t="array" ref="Q146">IF(P146="","",_xlfn.XLOOKUP(G146,[1]Sheet1!$G:$G,[1]Sheet1!$Q:$S))</f>
        <v/>
      </c>
      <c r="T146" s="15" t="str">
        <f>IF(Sheet2!F146="","",Sheet2!F146&amp;"""")</f>
        <v/>
      </c>
      <c r="U146" s="12" t="str" cm="1">
        <f t="array" ref="U146">IF(T146="","",_xlfn.XLOOKUP(G146,[1]Sheet1!$G:$G,[1]Sheet1!$U:$W))</f>
        <v/>
      </c>
      <c r="X146" s="15" t="str">
        <f>IF(Sheet2!G146="","",Sheet2!G146&amp;"''")</f>
        <v/>
      </c>
    </row>
    <row r="147" spans="7:24" x14ac:dyDescent="0.25">
      <c r="G147" s="15" t="str">
        <f>IF(Sheet2!A147="","",Sheet2!A147)</f>
        <v/>
      </c>
      <c r="H147" s="18" t="str">
        <f>IF(Sheet2!O147="","",LEFT(Sheet2!O147, FIND(" ", Sheet2!O147)-1))</f>
        <v/>
      </c>
      <c r="I147" s="15" t="str">
        <f>IF(Sheet2!S147&lt;19,ROUND(Sheet2!I147,2)&amp;"'",IF(Sheet2!S147&lt;25,ROUND(Sheet2!J147,2)&amp;"'",IF(Sheet2!S147&lt;31,ROUND(Sheet2!K147,2)&amp;"'",IF(Sheet2!S147&lt;37,ROUND(Sheet2!L147,2)&amp;"'",""))))</f>
        <v/>
      </c>
      <c r="L147" s="15" t="str">
        <f>IF(Sheet2!D147="","",Sheet2!D147&amp;"''")</f>
        <v/>
      </c>
      <c r="O147" s="16" t="str">
        <f>IF(Sheet2!H147="","",ROUND(Sheet2!H147,2)&amp;"'")</f>
        <v/>
      </c>
      <c r="P147" s="18" t="str">
        <f>IF(Sheet2!E147="","",Sheet2!E147&amp;"''")</f>
        <v/>
      </c>
      <c r="Q147" s="12" t="str" cm="1">
        <f t="array" ref="Q147">IF(P147="","",_xlfn.XLOOKUP(G147,[1]Sheet1!$G:$G,[1]Sheet1!$Q:$S))</f>
        <v/>
      </c>
      <c r="T147" s="15" t="str">
        <f>IF(Sheet2!F147="","",Sheet2!F147&amp;"""")</f>
        <v/>
      </c>
      <c r="U147" s="12" t="str" cm="1">
        <f t="array" ref="U147">IF(T147="","",_xlfn.XLOOKUP(G147,[1]Sheet1!$G:$G,[1]Sheet1!$U:$W))</f>
        <v/>
      </c>
      <c r="X147" s="15" t="str">
        <f>IF(Sheet2!G147="","",Sheet2!G147&amp;"''")</f>
        <v/>
      </c>
    </row>
    <row r="148" spans="7:24" x14ac:dyDescent="0.25">
      <c r="G148" s="15" t="str">
        <f>IF(Sheet2!A148="","",Sheet2!A148)</f>
        <v/>
      </c>
      <c r="H148" s="18" t="str">
        <f>IF(Sheet2!O148="","",LEFT(Sheet2!O148, FIND(" ", Sheet2!O148)-1))</f>
        <v/>
      </c>
      <c r="I148" s="15" t="str">
        <f>IF(Sheet2!S148&lt;19,ROUND(Sheet2!I148,2)&amp;"'",IF(Sheet2!S148&lt;25,ROUND(Sheet2!J148,2)&amp;"'",IF(Sheet2!S148&lt;31,ROUND(Sheet2!K148,2)&amp;"'",IF(Sheet2!S148&lt;37,ROUND(Sheet2!L148,2)&amp;"'",""))))</f>
        <v/>
      </c>
      <c r="L148" s="15" t="str">
        <f>IF(Sheet2!D148="","",Sheet2!D148&amp;"''")</f>
        <v/>
      </c>
      <c r="O148" s="16" t="str">
        <f>IF(Sheet2!H148="","",ROUND(Sheet2!H148,2)&amp;"'")</f>
        <v/>
      </c>
      <c r="P148" s="18" t="str">
        <f>IF(Sheet2!E148="","",Sheet2!E148&amp;"''")</f>
        <v/>
      </c>
      <c r="Q148" s="12" t="str" cm="1">
        <f t="array" ref="Q148">IF(P148="","",_xlfn.XLOOKUP(G148,[1]Sheet1!$G:$G,[1]Sheet1!$Q:$S))</f>
        <v/>
      </c>
      <c r="T148" s="15" t="str">
        <f>IF(Sheet2!F148="","",Sheet2!F148&amp;"""")</f>
        <v/>
      </c>
      <c r="U148" s="12" t="str" cm="1">
        <f t="array" ref="U148">IF(T148="","",_xlfn.XLOOKUP(G148,[1]Sheet1!$G:$G,[1]Sheet1!$U:$W))</f>
        <v/>
      </c>
      <c r="X148" s="15" t="str">
        <f>IF(Sheet2!G148="","",Sheet2!G148&amp;"''")</f>
        <v/>
      </c>
    </row>
    <row r="149" spans="7:24" x14ac:dyDescent="0.25">
      <c r="G149" s="15" t="str">
        <f>IF(Sheet2!A149="","",Sheet2!A149)</f>
        <v/>
      </c>
      <c r="H149" s="18" t="str">
        <f>IF(Sheet2!O149="","",LEFT(Sheet2!O149, FIND(" ", Sheet2!O149)-1))</f>
        <v/>
      </c>
      <c r="I149" s="15" t="str">
        <f>IF(Sheet2!S149&lt;19,ROUND(Sheet2!I149,2)&amp;"'",IF(Sheet2!S149&lt;25,ROUND(Sheet2!J149,2)&amp;"'",IF(Sheet2!S149&lt;31,ROUND(Sheet2!K149,2)&amp;"'",IF(Sheet2!S149&lt;37,ROUND(Sheet2!L149,2)&amp;"'",""))))</f>
        <v/>
      </c>
      <c r="L149" s="15" t="str">
        <f>IF(Sheet2!D149="","",Sheet2!D149&amp;"''")</f>
        <v/>
      </c>
      <c r="O149" s="16" t="str">
        <f>IF(Sheet2!H149="","",ROUND(Sheet2!H149,2)&amp;"'")</f>
        <v/>
      </c>
      <c r="P149" s="18" t="str">
        <f>IF(Sheet2!E149="","",Sheet2!E149&amp;"''")</f>
        <v/>
      </c>
      <c r="Q149" s="12" t="str" cm="1">
        <f t="array" ref="Q149">IF(P149="","",_xlfn.XLOOKUP(G149,[1]Sheet1!$G:$G,[1]Sheet1!$Q:$S))</f>
        <v/>
      </c>
      <c r="T149" s="15" t="str">
        <f>IF(Sheet2!F149="","",Sheet2!F149&amp;"""")</f>
        <v/>
      </c>
      <c r="U149" s="12" t="str" cm="1">
        <f t="array" ref="U149">IF(T149="","",_xlfn.XLOOKUP(G149,[1]Sheet1!$G:$G,[1]Sheet1!$U:$W))</f>
        <v/>
      </c>
      <c r="X149" s="15" t="str">
        <f>IF(Sheet2!G149="","",Sheet2!G149&amp;"''")</f>
        <v/>
      </c>
    </row>
    <row r="150" spans="7:24" x14ac:dyDescent="0.25">
      <c r="G150" s="15" t="str">
        <f>IF(Sheet2!A150="","",Sheet2!A150)</f>
        <v/>
      </c>
      <c r="H150" s="18" t="str">
        <f>IF(Sheet2!O150="","",LEFT(Sheet2!O150, FIND(" ", Sheet2!O150)-1))</f>
        <v/>
      </c>
      <c r="I150" s="15" t="str">
        <f>IF(Sheet2!S150&lt;19,ROUND(Sheet2!I150,2)&amp;"'",IF(Sheet2!S150&lt;25,ROUND(Sheet2!J150,2)&amp;"'",IF(Sheet2!S150&lt;31,ROUND(Sheet2!K150,2)&amp;"'",IF(Sheet2!S150&lt;37,ROUND(Sheet2!L150,2)&amp;"'",""))))</f>
        <v/>
      </c>
      <c r="L150" s="15" t="str">
        <f>IF(Sheet2!D150="","",Sheet2!D150&amp;"''")</f>
        <v/>
      </c>
      <c r="O150" s="16" t="str">
        <f>IF(Sheet2!H150="","",ROUND(Sheet2!H150,2)&amp;"'")</f>
        <v/>
      </c>
      <c r="P150" s="18" t="str">
        <f>IF(Sheet2!E150="","",Sheet2!E150&amp;"''")</f>
        <v/>
      </c>
      <c r="Q150" s="12" t="str" cm="1">
        <f t="array" ref="Q150">IF(P150="","",_xlfn.XLOOKUP(G150,[1]Sheet1!$G:$G,[1]Sheet1!$Q:$S))</f>
        <v/>
      </c>
      <c r="T150" s="15" t="str">
        <f>IF(Sheet2!F150="","",Sheet2!F150&amp;"""")</f>
        <v/>
      </c>
      <c r="U150" s="12" t="str" cm="1">
        <f t="array" ref="U150">IF(T150="","",_xlfn.XLOOKUP(G150,[1]Sheet1!$G:$G,[1]Sheet1!$U:$W))</f>
        <v/>
      </c>
      <c r="X150" s="15" t="str">
        <f>IF(Sheet2!G150="","",Sheet2!G150&amp;"''")</f>
        <v/>
      </c>
    </row>
    <row r="151" spans="7:24" x14ac:dyDescent="0.25">
      <c r="G151" s="15" t="str">
        <f>IF(Sheet2!A151="","",Sheet2!A151)</f>
        <v/>
      </c>
      <c r="H151" s="18" t="str">
        <f>IF(Sheet2!O151="","",LEFT(Sheet2!O151, FIND(" ", Sheet2!O151)-1))</f>
        <v/>
      </c>
      <c r="I151" s="15" t="str">
        <f>IF(Sheet2!S151&lt;19,ROUND(Sheet2!I151,2)&amp;"'",IF(Sheet2!S151&lt;25,ROUND(Sheet2!J151,2)&amp;"'",IF(Sheet2!S151&lt;31,ROUND(Sheet2!K151,2)&amp;"'",IF(Sheet2!S151&lt;37,ROUND(Sheet2!L151,2)&amp;"'",""))))</f>
        <v/>
      </c>
      <c r="L151" s="15" t="str">
        <f>IF(Sheet2!D151="","",Sheet2!D151&amp;"''")</f>
        <v/>
      </c>
      <c r="O151" s="16" t="str">
        <f>IF(Sheet2!H151="","",ROUND(Sheet2!H151,2)&amp;"'")</f>
        <v/>
      </c>
      <c r="P151" s="18" t="str">
        <f>IF(Sheet2!E151="","",Sheet2!E151&amp;"''")</f>
        <v/>
      </c>
      <c r="Q151" s="12" t="str" cm="1">
        <f t="array" ref="Q151">IF(P151="","",_xlfn.XLOOKUP(G151,[1]Sheet1!$G:$G,[1]Sheet1!$Q:$S))</f>
        <v/>
      </c>
      <c r="T151" s="15" t="str">
        <f>IF(Sheet2!F151="","",Sheet2!F151&amp;"""")</f>
        <v/>
      </c>
      <c r="U151" s="12" t="str" cm="1">
        <f t="array" ref="U151">IF(T151="","",_xlfn.XLOOKUP(G151,[1]Sheet1!$G:$G,[1]Sheet1!$U:$W))</f>
        <v/>
      </c>
      <c r="X151" s="15" t="str">
        <f>IF(Sheet2!G151="","",Sheet2!G151&amp;"''")</f>
        <v/>
      </c>
    </row>
    <row r="152" spans="7:24" x14ac:dyDescent="0.25">
      <c r="G152" s="15" t="str">
        <f>IF(Sheet2!A152="","",Sheet2!A152)</f>
        <v/>
      </c>
      <c r="H152" s="18" t="str">
        <f>IF(Sheet2!O152="","",LEFT(Sheet2!O152, FIND(" ", Sheet2!O152)-1))</f>
        <v/>
      </c>
      <c r="I152" s="15" t="str">
        <f>IF(Sheet2!S152&lt;19,ROUND(Sheet2!I152,2)&amp;"'",IF(Sheet2!S152&lt;25,ROUND(Sheet2!J152,2)&amp;"'",IF(Sheet2!S152&lt;31,ROUND(Sheet2!K152,2)&amp;"'",IF(Sheet2!S152&lt;37,ROUND(Sheet2!L152,2)&amp;"'",""))))</f>
        <v/>
      </c>
      <c r="L152" s="15" t="str">
        <f>IF(Sheet2!D152="","",Sheet2!D152&amp;"''")</f>
        <v/>
      </c>
      <c r="O152" s="16" t="str">
        <f>IF(Sheet2!H152="","",ROUND(Sheet2!H152,2)&amp;"'")</f>
        <v/>
      </c>
      <c r="P152" s="18" t="str">
        <f>IF(Sheet2!E152="","",Sheet2!E152&amp;"''")</f>
        <v/>
      </c>
      <c r="Q152" s="12" t="str" cm="1">
        <f t="array" ref="Q152">IF(P152="","",_xlfn.XLOOKUP(G152,[1]Sheet1!$G:$G,[1]Sheet1!$Q:$S))</f>
        <v/>
      </c>
      <c r="T152" s="15" t="str">
        <f>IF(Sheet2!F152="","",Sheet2!F152&amp;"""")</f>
        <v/>
      </c>
      <c r="U152" s="12" t="str" cm="1">
        <f t="array" ref="U152">IF(T152="","",_xlfn.XLOOKUP(G152,[1]Sheet1!$G:$G,[1]Sheet1!$U:$W))</f>
        <v/>
      </c>
      <c r="X152" s="15" t="str">
        <f>IF(Sheet2!G152="","",Sheet2!G152&amp;"''")</f>
        <v/>
      </c>
    </row>
    <row r="153" spans="7:24" x14ac:dyDescent="0.25">
      <c r="G153" s="15" t="str">
        <f>IF(Sheet2!A153="","",Sheet2!A153)</f>
        <v/>
      </c>
      <c r="H153" s="18" t="str">
        <f>IF(Sheet2!O153="","",LEFT(Sheet2!O153, FIND(" ", Sheet2!O153)-1))</f>
        <v/>
      </c>
      <c r="I153" s="15" t="str">
        <f>IF(Sheet2!S153&lt;19,ROUND(Sheet2!I153,2)&amp;"'",IF(Sheet2!S153&lt;25,ROUND(Sheet2!J153,2)&amp;"'",IF(Sheet2!S153&lt;31,ROUND(Sheet2!K153,2)&amp;"'",IF(Sheet2!S153&lt;37,ROUND(Sheet2!L153,2)&amp;"'",""))))</f>
        <v/>
      </c>
      <c r="L153" s="15" t="str">
        <f>IF(Sheet2!D153="","",Sheet2!D153&amp;"''")</f>
        <v/>
      </c>
      <c r="O153" s="16" t="str">
        <f>IF(Sheet2!H153="","",ROUND(Sheet2!H153,2)&amp;"'")</f>
        <v/>
      </c>
      <c r="P153" s="18" t="str">
        <f>IF(Sheet2!E153="","",Sheet2!E153&amp;"''")</f>
        <v/>
      </c>
      <c r="Q153" s="12" t="str" cm="1">
        <f t="array" ref="Q153">IF(P153="","",_xlfn.XLOOKUP(G153,[1]Sheet1!$G:$G,[1]Sheet1!$Q:$S))</f>
        <v/>
      </c>
      <c r="T153" s="15" t="str">
        <f>IF(Sheet2!F153="","",Sheet2!F153&amp;"""")</f>
        <v/>
      </c>
      <c r="U153" s="12" t="str" cm="1">
        <f t="array" ref="U153">IF(T153="","",_xlfn.XLOOKUP(G153,[1]Sheet1!$G:$G,[1]Sheet1!$U:$W))</f>
        <v/>
      </c>
      <c r="X153" s="15" t="str">
        <f>IF(Sheet2!G153="","",Sheet2!G153&amp;"''")</f>
        <v/>
      </c>
    </row>
    <row r="154" spans="7:24" x14ac:dyDescent="0.25">
      <c r="G154" s="15" t="str">
        <f>IF(Sheet2!A154="","",Sheet2!A154)</f>
        <v/>
      </c>
      <c r="H154" s="18" t="str">
        <f>IF(Sheet2!O154="","",LEFT(Sheet2!O154, FIND(" ", Sheet2!O154)-1))</f>
        <v/>
      </c>
      <c r="I154" s="15" t="str">
        <f>IF(Sheet2!S154&lt;19,ROUND(Sheet2!I154,2)&amp;"'",IF(Sheet2!S154&lt;25,ROUND(Sheet2!J154,2)&amp;"'",IF(Sheet2!S154&lt;31,ROUND(Sheet2!K154,2)&amp;"'",IF(Sheet2!S154&lt;37,ROUND(Sheet2!L154,2)&amp;"'",""))))</f>
        <v/>
      </c>
      <c r="L154" s="15" t="str">
        <f>IF(Sheet2!D154="","",Sheet2!D154&amp;"''")</f>
        <v/>
      </c>
      <c r="O154" s="16" t="str">
        <f>IF(Sheet2!H154="","",ROUND(Sheet2!H154,2)&amp;"'")</f>
        <v/>
      </c>
      <c r="P154" s="18" t="str">
        <f>IF(Sheet2!E154="","",Sheet2!E154&amp;"''")</f>
        <v/>
      </c>
      <c r="Q154" s="12" t="str" cm="1">
        <f t="array" ref="Q154">IF(P154="","",_xlfn.XLOOKUP(G154,[1]Sheet1!$G:$G,[1]Sheet1!$Q:$S))</f>
        <v/>
      </c>
      <c r="T154" s="15" t="str">
        <f>IF(Sheet2!F154="","",Sheet2!F154&amp;"""")</f>
        <v/>
      </c>
      <c r="U154" s="12" t="str" cm="1">
        <f t="array" ref="U154">IF(T154="","",_xlfn.XLOOKUP(G154,[1]Sheet1!$G:$G,[1]Sheet1!$U:$W))</f>
        <v/>
      </c>
      <c r="X154" s="15" t="str">
        <f>IF(Sheet2!G154="","",Sheet2!G154&amp;"''")</f>
        <v/>
      </c>
    </row>
    <row r="155" spans="7:24" x14ac:dyDescent="0.25">
      <c r="G155" s="15" t="str">
        <f>IF(Sheet2!A155="","",Sheet2!A155)</f>
        <v/>
      </c>
      <c r="H155" s="18" t="str">
        <f>IF(Sheet2!O155="","",LEFT(Sheet2!O155, FIND(" ", Sheet2!O155)-1))</f>
        <v/>
      </c>
      <c r="I155" s="15" t="str">
        <f>IF(Sheet2!S155&lt;19,ROUND(Sheet2!I155,2)&amp;"'",IF(Sheet2!S155&lt;25,ROUND(Sheet2!J155,2)&amp;"'",IF(Sheet2!S155&lt;31,ROUND(Sheet2!K155,2)&amp;"'",IF(Sheet2!S155&lt;37,ROUND(Sheet2!L155,2)&amp;"'",""))))</f>
        <v/>
      </c>
      <c r="L155" s="15" t="str">
        <f>IF(Sheet2!D155="","",Sheet2!D155&amp;"''")</f>
        <v/>
      </c>
      <c r="O155" s="16" t="str">
        <f>IF(Sheet2!H155="","",ROUND(Sheet2!H155,2)&amp;"'")</f>
        <v/>
      </c>
      <c r="P155" s="18" t="str">
        <f>IF(Sheet2!E155="","",Sheet2!E155&amp;"''")</f>
        <v/>
      </c>
      <c r="Q155" s="12" t="str" cm="1">
        <f t="array" ref="Q155">IF(P155="","",_xlfn.XLOOKUP(G155,[1]Sheet1!$G:$G,[1]Sheet1!$Q:$S))</f>
        <v/>
      </c>
      <c r="T155" s="15" t="str">
        <f>IF(Sheet2!F155="","",Sheet2!F155&amp;"""")</f>
        <v/>
      </c>
      <c r="U155" s="12" t="str" cm="1">
        <f t="array" ref="U155">IF(T155="","",_xlfn.XLOOKUP(G155,[1]Sheet1!$G:$G,[1]Sheet1!$U:$W))</f>
        <v/>
      </c>
      <c r="X155" s="15" t="str">
        <f>IF(Sheet2!G155="","",Sheet2!G155&amp;"''")</f>
        <v/>
      </c>
    </row>
    <row r="156" spans="7:24" x14ac:dyDescent="0.25">
      <c r="G156" s="15" t="str">
        <f>IF(Sheet2!A156="","",Sheet2!A156)</f>
        <v/>
      </c>
      <c r="H156" s="18" t="str">
        <f>IF(Sheet2!O156="","",LEFT(Sheet2!O156, FIND(" ", Sheet2!O156)-1))</f>
        <v/>
      </c>
      <c r="I156" s="15" t="str">
        <f>IF(Sheet2!S156&lt;19,ROUND(Sheet2!I156,2)&amp;"'",IF(Sheet2!S156&lt;25,ROUND(Sheet2!J156,2)&amp;"'",IF(Sheet2!S156&lt;31,ROUND(Sheet2!K156,2)&amp;"'",IF(Sheet2!S156&lt;37,ROUND(Sheet2!L156,2)&amp;"'",""))))</f>
        <v/>
      </c>
      <c r="L156" s="15" t="str">
        <f>IF(Sheet2!D156="","",Sheet2!D156&amp;"''")</f>
        <v/>
      </c>
      <c r="O156" s="16" t="str">
        <f>IF(Sheet2!H156="","",ROUND(Sheet2!H156,2)&amp;"'")</f>
        <v/>
      </c>
      <c r="P156" s="18" t="str">
        <f>IF(Sheet2!E156="","",Sheet2!E156&amp;"''")</f>
        <v/>
      </c>
      <c r="Q156" s="12" t="str" cm="1">
        <f t="array" ref="Q156">IF(P156="","",_xlfn.XLOOKUP(G156,[1]Sheet1!$G:$G,[1]Sheet1!$Q:$S))</f>
        <v/>
      </c>
      <c r="T156" s="15" t="str">
        <f>IF(Sheet2!F156="","",Sheet2!F156&amp;"""")</f>
        <v/>
      </c>
      <c r="U156" s="12" t="str" cm="1">
        <f t="array" ref="U156">IF(T156="","",_xlfn.XLOOKUP(G156,[1]Sheet1!$G:$G,[1]Sheet1!$U:$W))</f>
        <v/>
      </c>
      <c r="X156" s="15" t="str">
        <f>IF(Sheet2!G156="","",Sheet2!G156&amp;"''")</f>
        <v/>
      </c>
    </row>
    <row r="157" spans="7:24" x14ac:dyDescent="0.25">
      <c r="G157" s="15" t="str">
        <f>IF(Sheet2!A157="","",Sheet2!A157)</f>
        <v/>
      </c>
      <c r="H157" s="18" t="str">
        <f>IF(Sheet2!O157="","",LEFT(Sheet2!O157, FIND(" ", Sheet2!O157)-1))</f>
        <v/>
      </c>
      <c r="I157" s="15" t="str">
        <f>IF(Sheet2!S157&lt;19,ROUND(Sheet2!I157,2)&amp;"'",IF(Sheet2!S157&lt;25,ROUND(Sheet2!J157,2)&amp;"'",IF(Sheet2!S157&lt;31,ROUND(Sheet2!K157,2)&amp;"'",IF(Sheet2!S157&lt;37,ROUND(Sheet2!L157,2)&amp;"'",""))))</f>
        <v/>
      </c>
      <c r="L157" s="15" t="str">
        <f>IF(Sheet2!D157="","",Sheet2!D157&amp;"''")</f>
        <v/>
      </c>
      <c r="O157" s="16" t="str">
        <f>IF(Sheet2!H157="","",ROUND(Sheet2!H157,2)&amp;"'")</f>
        <v/>
      </c>
      <c r="P157" s="18" t="str">
        <f>IF(Sheet2!E157="","",Sheet2!E157&amp;"''")</f>
        <v/>
      </c>
      <c r="Q157" s="12" t="str" cm="1">
        <f t="array" ref="Q157">IF(P157="","",_xlfn.XLOOKUP(G157,[1]Sheet1!$G:$G,[1]Sheet1!$Q:$S))</f>
        <v/>
      </c>
      <c r="T157" s="15" t="str">
        <f>IF(Sheet2!F157="","",Sheet2!F157&amp;"""")</f>
        <v/>
      </c>
      <c r="U157" s="12" t="str" cm="1">
        <f t="array" ref="U157">IF(T157="","",_xlfn.XLOOKUP(G157,[1]Sheet1!$G:$G,[1]Sheet1!$U:$W))</f>
        <v/>
      </c>
      <c r="X157" s="15" t="str">
        <f>IF(Sheet2!G157="","",Sheet2!G157&amp;"''")</f>
        <v/>
      </c>
    </row>
    <row r="158" spans="7:24" x14ac:dyDescent="0.25">
      <c r="G158" s="15" t="str">
        <f>IF(Sheet2!A158="","",Sheet2!A158)</f>
        <v/>
      </c>
      <c r="H158" s="18" t="str">
        <f>IF(Sheet2!O158="","",LEFT(Sheet2!O158, FIND(" ", Sheet2!O158)-1))</f>
        <v/>
      </c>
      <c r="I158" s="15" t="str">
        <f>IF(Sheet2!S158&lt;19,ROUND(Sheet2!I158,2)&amp;"'",IF(Sheet2!S158&lt;25,ROUND(Sheet2!J158,2)&amp;"'",IF(Sheet2!S158&lt;31,ROUND(Sheet2!K158,2)&amp;"'",IF(Sheet2!S158&lt;37,ROUND(Sheet2!L158,2)&amp;"'",""))))</f>
        <v/>
      </c>
      <c r="L158" s="15" t="str">
        <f>IF(Sheet2!D158="","",Sheet2!D158&amp;"''")</f>
        <v/>
      </c>
      <c r="O158" s="16" t="str">
        <f>IF(Sheet2!H158="","",ROUND(Sheet2!H158,2)&amp;"'")</f>
        <v/>
      </c>
      <c r="P158" s="18" t="str">
        <f>IF(Sheet2!E158="","",Sheet2!E158&amp;"''")</f>
        <v/>
      </c>
      <c r="Q158" s="12" t="str" cm="1">
        <f t="array" ref="Q158">IF(P158="","",_xlfn.XLOOKUP(G158,[1]Sheet1!$G:$G,[1]Sheet1!$Q:$S))</f>
        <v/>
      </c>
      <c r="T158" s="15" t="str">
        <f>IF(Sheet2!F158="","",Sheet2!F158&amp;"""")</f>
        <v/>
      </c>
      <c r="U158" s="12" t="str" cm="1">
        <f t="array" ref="U158">IF(T158="","",_xlfn.XLOOKUP(G158,[1]Sheet1!$G:$G,[1]Sheet1!$U:$W))</f>
        <v/>
      </c>
      <c r="X158" s="15" t="str">
        <f>IF(Sheet2!G158="","",Sheet2!G158&amp;"''")</f>
        <v/>
      </c>
    </row>
    <row r="159" spans="7:24" x14ac:dyDescent="0.25">
      <c r="G159" s="15" t="str">
        <f>IF(Sheet2!A159="","",Sheet2!A159)</f>
        <v/>
      </c>
      <c r="H159" s="18" t="str">
        <f>IF(Sheet2!O159="","",LEFT(Sheet2!O159, FIND(" ", Sheet2!O159)-1))</f>
        <v/>
      </c>
      <c r="I159" s="15" t="str">
        <f>IF(Sheet2!S159&lt;19,ROUND(Sheet2!I159,2)&amp;"'",IF(Sheet2!S159&lt;25,ROUND(Sheet2!J159,2)&amp;"'",IF(Sheet2!S159&lt;31,ROUND(Sheet2!K159,2)&amp;"'",IF(Sheet2!S159&lt;37,ROUND(Sheet2!L159,2)&amp;"'",""))))</f>
        <v/>
      </c>
      <c r="L159" s="15" t="str">
        <f>IF(Sheet2!D159="","",Sheet2!D159&amp;"''")</f>
        <v/>
      </c>
      <c r="O159" s="16" t="str">
        <f>IF(Sheet2!H159="","",ROUND(Sheet2!H159,2)&amp;"'")</f>
        <v/>
      </c>
      <c r="P159" s="18" t="str">
        <f>IF(Sheet2!E159="","",Sheet2!E159&amp;"''")</f>
        <v/>
      </c>
      <c r="Q159" s="12" t="str" cm="1">
        <f t="array" ref="Q159">IF(P159="","",_xlfn.XLOOKUP(G159,[1]Sheet1!$G:$G,[1]Sheet1!$Q:$S))</f>
        <v/>
      </c>
      <c r="T159" s="15" t="str">
        <f>IF(Sheet2!F159="","",Sheet2!F159&amp;"""")</f>
        <v/>
      </c>
      <c r="U159" s="12" t="str" cm="1">
        <f t="array" ref="U159">IF(T159="","",_xlfn.XLOOKUP(G159,[1]Sheet1!$G:$G,[1]Sheet1!$U:$W))</f>
        <v/>
      </c>
      <c r="X159" s="15" t="str">
        <f>IF(Sheet2!G159="","",Sheet2!G159&amp;"''")</f>
        <v/>
      </c>
    </row>
    <row r="160" spans="7:24" x14ac:dyDescent="0.25">
      <c r="G160" s="15" t="str">
        <f>IF(Sheet2!A160="","",Sheet2!A160)</f>
        <v/>
      </c>
      <c r="H160" s="18" t="str">
        <f>IF(Sheet2!O160="","",LEFT(Sheet2!O160, FIND(" ", Sheet2!O160)-1))</f>
        <v/>
      </c>
      <c r="I160" s="15" t="str">
        <f>IF(Sheet2!S160&lt;19,ROUND(Sheet2!I160,2)&amp;"'",IF(Sheet2!S160&lt;25,ROUND(Sheet2!J160,2)&amp;"'",IF(Sheet2!S160&lt;31,ROUND(Sheet2!K160,2)&amp;"'",IF(Sheet2!S160&lt;37,ROUND(Sheet2!L160,2)&amp;"'",""))))</f>
        <v/>
      </c>
      <c r="L160" s="15" t="str">
        <f>IF(Sheet2!D160="","",Sheet2!D160&amp;"''")</f>
        <v/>
      </c>
      <c r="O160" s="16" t="str">
        <f>IF(Sheet2!H160="","",ROUND(Sheet2!H160,2)&amp;"'")</f>
        <v/>
      </c>
      <c r="P160" s="18" t="str">
        <f>IF(Sheet2!E160="","",Sheet2!E160&amp;"''")</f>
        <v/>
      </c>
      <c r="Q160" s="12" t="str" cm="1">
        <f t="array" ref="Q160">IF(P160="","",_xlfn.XLOOKUP(G160,[1]Sheet1!$G:$G,[1]Sheet1!$Q:$S))</f>
        <v/>
      </c>
      <c r="T160" s="15" t="str">
        <f>IF(Sheet2!F160="","",Sheet2!F160&amp;"""")</f>
        <v/>
      </c>
      <c r="U160" s="12" t="str" cm="1">
        <f t="array" ref="U160">IF(T160="","",_xlfn.XLOOKUP(G160,[1]Sheet1!$G:$G,[1]Sheet1!$U:$W))</f>
        <v/>
      </c>
      <c r="X160" s="15" t="str">
        <f>IF(Sheet2!G160="","",Sheet2!G160&amp;"''")</f>
        <v/>
      </c>
    </row>
    <row r="161" spans="7:24" x14ac:dyDescent="0.25">
      <c r="G161" s="15" t="str">
        <f>IF(Sheet2!A161="","",Sheet2!A161)</f>
        <v/>
      </c>
      <c r="H161" s="18" t="str">
        <f>IF(Sheet2!O161="","",LEFT(Sheet2!O161, FIND(" ", Sheet2!O161)-1))</f>
        <v/>
      </c>
      <c r="I161" s="15" t="str">
        <f>IF(Sheet2!S161&lt;19,ROUND(Sheet2!I161,2)&amp;"'",IF(Sheet2!S161&lt;25,ROUND(Sheet2!J161,2)&amp;"'",IF(Sheet2!S161&lt;31,ROUND(Sheet2!K161,2)&amp;"'",IF(Sheet2!S161&lt;37,ROUND(Sheet2!L161,2)&amp;"'",""))))</f>
        <v/>
      </c>
      <c r="L161" s="15" t="str">
        <f>IF(Sheet2!D161="","",Sheet2!D161&amp;"''")</f>
        <v/>
      </c>
      <c r="O161" s="16" t="str">
        <f>IF(Sheet2!H161="","",ROUND(Sheet2!H161,2)&amp;"'")</f>
        <v/>
      </c>
      <c r="P161" s="18" t="str">
        <f>IF(Sheet2!E161="","",Sheet2!E161&amp;"''")</f>
        <v/>
      </c>
      <c r="Q161" s="12" t="str" cm="1">
        <f t="array" ref="Q161">IF(P161="","",_xlfn.XLOOKUP(G161,[1]Sheet1!$G:$G,[1]Sheet1!$Q:$S))</f>
        <v/>
      </c>
      <c r="T161" s="15" t="str">
        <f>IF(Sheet2!F161="","",Sheet2!F161&amp;"""")</f>
        <v/>
      </c>
      <c r="U161" s="12" t="str" cm="1">
        <f t="array" ref="U161">IF(T161="","",_xlfn.XLOOKUP(G161,[1]Sheet1!$G:$G,[1]Sheet1!$U:$W))</f>
        <v/>
      </c>
      <c r="X161" s="15" t="str">
        <f>IF(Sheet2!G161="","",Sheet2!G161&amp;"''")</f>
        <v/>
      </c>
    </row>
    <row r="162" spans="7:24" x14ac:dyDescent="0.25">
      <c r="G162" s="15" t="str">
        <f>IF(Sheet2!A162="","",Sheet2!A162)</f>
        <v/>
      </c>
      <c r="H162" s="18" t="str">
        <f>IF(Sheet2!O162="","",LEFT(Sheet2!O162, FIND(" ", Sheet2!O162)-1))</f>
        <v/>
      </c>
      <c r="I162" s="15" t="str">
        <f>IF(Sheet2!S162&lt;19,ROUND(Sheet2!I162,2)&amp;"'",IF(Sheet2!S162&lt;25,ROUND(Sheet2!J162,2)&amp;"'",IF(Sheet2!S162&lt;31,ROUND(Sheet2!K162,2)&amp;"'",IF(Sheet2!S162&lt;37,ROUND(Sheet2!L162,2)&amp;"'",""))))</f>
        <v/>
      </c>
      <c r="L162" s="15" t="str">
        <f>IF(Sheet2!D162="","",Sheet2!D162&amp;"''")</f>
        <v/>
      </c>
      <c r="O162" s="16" t="str">
        <f>IF(Sheet2!H162="","",ROUND(Sheet2!H162,2)&amp;"'")</f>
        <v/>
      </c>
      <c r="P162" s="18" t="str">
        <f>IF(Sheet2!E162="","",Sheet2!E162&amp;"''")</f>
        <v/>
      </c>
      <c r="Q162" s="12" t="str" cm="1">
        <f t="array" ref="Q162">IF(P162="","",_xlfn.XLOOKUP(G162,[1]Sheet1!$G:$G,[1]Sheet1!$Q:$S))</f>
        <v/>
      </c>
      <c r="T162" s="15" t="str">
        <f>IF(Sheet2!F162="","",Sheet2!F162&amp;"""")</f>
        <v/>
      </c>
      <c r="U162" s="12" t="str" cm="1">
        <f t="array" ref="U162">IF(T162="","",_xlfn.XLOOKUP(G162,[1]Sheet1!$G:$G,[1]Sheet1!$U:$W))</f>
        <v/>
      </c>
      <c r="X162" s="15" t="str">
        <f>IF(Sheet2!G162="","",Sheet2!G162&amp;"''")</f>
        <v/>
      </c>
    </row>
    <row r="163" spans="7:24" x14ac:dyDescent="0.25">
      <c r="G163" s="15" t="str">
        <f>IF(Sheet2!A163="","",Sheet2!A163)</f>
        <v/>
      </c>
      <c r="H163" s="18" t="str">
        <f>IF(Sheet2!O163="","",LEFT(Sheet2!O163, FIND(" ", Sheet2!O163)-1))</f>
        <v/>
      </c>
      <c r="I163" s="15" t="str">
        <f>IF(Sheet2!S163&lt;19,ROUND(Sheet2!I163,2)&amp;"'",IF(Sheet2!S163&lt;25,ROUND(Sheet2!J163,2)&amp;"'",IF(Sheet2!S163&lt;31,ROUND(Sheet2!K163,2)&amp;"'",IF(Sheet2!S163&lt;37,ROUND(Sheet2!L163,2)&amp;"'",""))))</f>
        <v/>
      </c>
      <c r="L163" s="15" t="str">
        <f>IF(Sheet2!D163="","",Sheet2!D163&amp;"''")</f>
        <v/>
      </c>
      <c r="O163" s="16" t="str">
        <f>IF(Sheet2!H163="","",ROUND(Sheet2!H163,2)&amp;"'")</f>
        <v/>
      </c>
      <c r="P163" s="18" t="str">
        <f>IF(Sheet2!E163="","",Sheet2!E163&amp;"''")</f>
        <v/>
      </c>
      <c r="Q163" s="12" t="str" cm="1">
        <f t="array" ref="Q163">IF(P163="","",_xlfn.XLOOKUP(G163,[1]Sheet1!$G:$G,[1]Sheet1!$Q:$S))</f>
        <v/>
      </c>
      <c r="T163" s="15" t="str">
        <f>IF(Sheet2!F163="","",Sheet2!F163&amp;"""")</f>
        <v/>
      </c>
      <c r="U163" s="12" t="str" cm="1">
        <f t="array" ref="U163">IF(T163="","",_xlfn.XLOOKUP(G163,[1]Sheet1!$G:$G,[1]Sheet1!$U:$W))</f>
        <v/>
      </c>
      <c r="X163" s="15" t="str">
        <f>IF(Sheet2!G163="","",Sheet2!G163&amp;"''")</f>
        <v/>
      </c>
    </row>
    <row r="164" spans="7:24" x14ac:dyDescent="0.25">
      <c r="G164" s="15" t="str">
        <f>IF(Sheet2!A164="","",Sheet2!A164)</f>
        <v/>
      </c>
      <c r="H164" s="18" t="str">
        <f>IF(Sheet2!O164="","",LEFT(Sheet2!O164, FIND(" ", Sheet2!O164)-1))</f>
        <v/>
      </c>
      <c r="I164" s="15" t="str">
        <f>IF(Sheet2!S164&lt;19,ROUND(Sheet2!I164,2)&amp;"'",IF(Sheet2!S164&lt;25,ROUND(Sheet2!J164,2)&amp;"'",IF(Sheet2!S164&lt;31,ROUND(Sheet2!K164,2)&amp;"'",IF(Sheet2!S164&lt;37,ROUND(Sheet2!L164,2)&amp;"'",""))))</f>
        <v/>
      </c>
      <c r="L164" s="15" t="str">
        <f>IF(Sheet2!D164="","",Sheet2!D164&amp;"''")</f>
        <v/>
      </c>
      <c r="O164" s="16" t="str">
        <f>IF(Sheet2!H164="","",ROUND(Sheet2!H164,2)&amp;"'")</f>
        <v/>
      </c>
      <c r="P164" s="18" t="str">
        <f>IF(Sheet2!E164="","",Sheet2!E164&amp;"''")</f>
        <v/>
      </c>
      <c r="Q164" s="12" t="str" cm="1">
        <f t="array" ref="Q164">IF(P164="","",_xlfn.XLOOKUP(G164,[1]Sheet1!$G:$G,[1]Sheet1!$Q:$S))</f>
        <v/>
      </c>
      <c r="T164" s="15" t="str">
        <f>IF(Sheet2!F164="","",Sheet2!F164&amp;"""")</f>
        <v/>
      </c>
      <c r="U164" s="12" t="str" cm="1">
        <f t="array" ref="U164">IF(T164="","",_xlfn.XLOOKUP(G164,[1]Sheet1!$G:$G,[1]Sheet1!$U:$W))</f>
        <v/>
      </c>
      <c r="X164" s="15" t="str">
        <f>IF(Sheet2!G164="","",Sheet2!G164&amp;"''")</f>
        <v/>
      </c>
    </row>
    <row r="165" spans="7:24" x14ac:dyDescent="0.25">
      <c r="G165" s="15" t="str">
        <f>IF(Sheet2!A165="","",Sheet2!A165)</f>
        <v/>
      </c>
      <c r="H165" s="18" t="str">
        <f>IF(Sheet2!O165="","",LEFT(Sheet2!O165, FIND(" ", Sheet2!O165)-1))</f>
        <v/>
      </c>
      <c r="I165" s="15" t="str">
        <f>IF(Sheet2!S165&lt;19,ROUND(Sheet2!I165,2)&amp;"'",IF(Sheet2!S165&lt;25,ROUND(Sheet2!J165,2)&amp;"'",IF(Sheet2!S165&lt;31,ROUND(Sheet2!K165,2)&amp;"'",IF(Sheet2!S165&lt;37,ROUND(Sheet2!L165,2)&amp;"'",""))))</f>
        <v/>
      </c>
      <c r="L165" s="15" t="str">
        <f>IF(Sheet2!D165="","",Sheet2!D165&amp;"''")</f>
        <v/>
      </c>
      <c r="O165" s="16" t="str">
        <f>IF(Sheet2!H165="","",ROUND(Sheet2!H165,2)&amp;"'")</f>
        <v/>
      </c>
      <c r="P165" s="18" t="str">
        <f>IF(Sheet2!E165="","",Sheet2!E165&amp;"''")</f>
        <v/>
      </c>
      <c r="Q165" s="12" t="str" cm="1">
        <f t="array" ref="Q165">IF(P165="","",_xlfn.XLOOKUP(G165,[1]Sheet1!$G:$G,[1]Sheet1!$Q:$S))</f>
        <v/>
      </c>
      <c r="T165" s="15" t="str">
        <f>IF(Sheet2!F165="","",Sheet2!F165&amp;"""")</f>
        <v/>
      </c>
      <c r="U165" s="12" t="str" cm="1">
        <f t="array" ref="U165">IF(T165="","",_xlfn.XLOOKUP(G165,[1]Sheet1!$G:$G,[1]Sheet1!$U:$W))</f>
        <v/>
      </c>
      <c r="X165" s="15" t="str">
        <f>IF(Sheet2!G165="","",Sheet2!G165&amp;"''")</f>
        <v/>
      </c>
    </row>
    <row r="166" spans="7:24" x14ac:dyDescent="0.25">
      <c r="G166" s="15" t="str">
        <f>IF(Sheet2!A166="","",Sheet2!A166)</f>
        <v/>
      </c>
      <c r="H166" s="18" t="str">
        <f>IF(Sheet2!O166="","",LEFT(Sheet2!O166, FIND(" ", Sheet2!O166)-1))</f>
        <v/>
      </c>
      <c r="I166" s="15" t="str">
        <f>IF(Sheet2!S166&lt;19,ROUND(Sheet2!I166,2)&amp;"'",IF(Sheet2!S166&lt;25,ROUND(Sheet2!J166,2)&amp;"'",IF(Sheet2!S166&lt;31,ROUND(Sheet2!K166,2)&amp;"'",IF(Sheet2!S166&lt;37,ROUND(Sheet2!L166,2)&amp;"'",""))))</f>
        <v/>
      </c>
      <c r="L166" s="15" t="str">
        <f>IF(Sheet2!D166="","",Sheet2!D166&amp;"''")</f>
        <v/>
      </c>
      <c r="O166" s="16" t="str">
        <f>IF(Sheet2!H166="","",ROUND(Sheet2!H166,2)&amp;"'")</f>
        <v/>
      </c>
      <c r="P166" s="18" t="str">
        <f>IF(Sheet2!E166="","",Sheet2!E166&amp;"''")</f>
        <v/>
      </c>
      <c r="Q166" s="12" t="str" cm="1">
        <f t="array" ref="Q166">IF(P166="","",_xlfn.XLOOKUP(G166,[1]Sheet1!$G:$G,[1]Sheet1!$Q:$S))</f>
        <v/>
      </c>
      <c r="T166" s="15" t="str">
        <f>IF(Sheet2!F166="","",Sheet2!F166&amp;"""")</f>
        <v/>
      </c>
      <c r="U166" s="12" t="str" cm="1">
        <f t="array" ref="U166">IF(T166="","",_xlfn.XLOOKUP(G166,[1]Sheet1!$G:$G,[1]Sheet1!$U:$W))</f>
        <v/>
      </c>
      <c r="X166" s="15" t="str">
        <f>IF(Sheet2!G166="","",Sheet2!G166&amp;"''")</f>
        <v/>
      </c>
    </row>
    <row r="167" spans="7:24" x14ac:dyDescent="0.25">
      <c r="G167" s="15" t="str">
        <f>IF(Sheet2!A167="","",Sheet2!A167)</f>
        <v/>
      </c>
      <c r="H167" s="18" t="str">
        <f>IF(Sheet2!O167="","",LEFT(Sheet2!O167, FIND(" ", Sheet2!O167)-1))</f>
        <v/>
      </c>
      <c r="I167" s="15" t="str">
        <f>IF(Sheet2!S167&lt;19,ROUND(Sheet2!I167,2)&amp;"'",IF(Sheet2!S167&lt;25,ROUND(Sheet2!J167,2)&amp;"'",IF(Sheet2!S167&lt;31,ROUND(Sheet2!K167,2)&amp;"'",IF(Sheet2!S167&lt;37,ROUND(Sheet2!L167,2)&amp;"'",""))))</f>
        <v/>
      </c>
      <c r="L167" s="15" t="str">
        <f>IF(Sheet2!D167="","",Sheet2!D167&amp;"''")</f>
        <v/>
      </c>
      <c r="O167" s="16" t="str">
        <f>IF(Sheet2!H167="","",ROUND(Sheet2!H167,2)&amp;"'")</f>
        <v/>
      </c>
      <c r="P167" s="18" t="str">
        <f>IF(Sheet2!E167="","",Sheet2!E167&amp;"''")</f>
        <v/>
      </c>
      <c r="Q167" s="12" t="str" cm="1">
        <f t="array" ref="Q167">IF(P167="","",_xlfn.XLOOKUP(G167,[1]Sheet1!$G:$G,[1]Sheet1!$Q:$S))</f>
        <v/>
      </c>
      <c r="T167" s="15" t="str">
        <f>IF(Sheet2!F167="","",Sheet2!F167&amp;"""")</f>
        <v/>
      </c>
      <c r="U167" s="12" t="str" cm="1">
        <f t="array" ref="U167">IF(T167="","",_xlfn.XLOOKUP(G167,[1]Sheet1!$G:$G,[1]Sheet1!$U:$W))</f>
        <v/>
      </c>
      <c r="X167" s="15" t="str">
        <f>IF(Sheet2!G167="","",Sheet2!G167&amp;"''")</f>
        <v/>
      </c>
    </row>
    <row r="168" spans="7:24" x14ac:dyDescent="0.25">
      <c r="G168" s="15" t="str">
        <f>IF(Sheet2!A168="","",Sheet2!A168)</f>
        <v/>
      </c>
      <c r="H168" s="18" t="str">
        <f>IF(Sheet2!O168="","",LEFT(Sheet2!O168, FIND(" ", Sheet2!O168)-1))</f>
        <v/>
      </c>
      <c r="I168" s="15" t="str">
        <f>IF(Sheet2!S168&lt;19,ROUND(Sheet2!I168,2)&amp;"'",IF(Sheet2!S168&lt;25,ROUND(Sheet2!J168,2)&amp;"'",IF(Sheet2!S168&lt;31,ROUND(Sheet2!K168,2)&amp;"'",IF(Sheet2!S168&lt;37,ROUND(Sheet2!L168,2)&amp;"'",""))))</f>
        <v/>
      </c>
      <c r="L168" s="15" t="str">
        <f>IF(Sheet2!D168="","",Sheet2!D168&amp;"''")</f>
        <v/>
      </c>
      <c r="O168" s="16" t="str">
        <f>IF(Sheet2!H168="","",ROUND(Sheet2!H168,2)&amp;"'")</f>
        <v/>
      </c>
      <c r="P168" s="18" t="str">
        <f>IF(Sheet2!E168="","",Sheet2!E168&amp;"''")</f>
        <v/>
      </c>
      <c r="Q168" s="12" t="str" cm="1">
        <f t="array" ref="Q168">IF(P168="","",_xlfn.XLOOKUP(G168,[1]Sheet1!$G:$G,[1]Sheet1!$Q:$S))</f>
        <v/>
      </c>
      <c r="T168" s="15" t="str">
        <f>IF(Sheet2!F168="","",Sheet2!F168&amp;"""")</f>
        <v/>
      </c>
      <c r="U168" s="12" t="str" cm="1">
        <f t="array" ref="U168">IF(T168="","",_xlfn.XLOOKUP(G168,[1]Sheet1!$G:$G,[1]Sheet1!$U:$W))</f>
        <v/>
      </c>
      <c r="X168" s="15" t="str">
        <f>IF(Sheet2!G168="","",Sheet2!G168&amp;"''")</f>
        <v/>
      </c>
    </row>
    <row r="169" spans="7:24" x14ac:dyDescent="0.25">
      <c r="G169" s="15" t="str">
        <f>IF(Sheet2!A169="","",Sheet2!A169)</f>
        <v/>
      </c>
      <c r="H169" s="18" t="str">
        <f>IF(Sheet2!O169="","",LEFT(Sheet2!O169, FIND(" ", Sheet2!O169)-1))</f>
        <v/>
      </c>
      <c r="I169" s="15" t="str">
        <f>IF(Sheet2!S169&lt;19,ROUND(Sheet2!I169,2)&amp;"'",IF(Sheet2!S169&lt;25,ROUND(Sheet2!J169,2)&amp;"'",IF(Sheet2!S169&lt;31,ROUND(Sheet2!K169,2)&amp;"'",IF(Sheet2!S169&lt;37,ROUND(Sheet2!L169,2)&amp;"'",""))))</f>
        <v/>
      </c>
      <c r="L169" s="15" t="str">
        <f>IF(Sheet2!D169="","",Sheet2!D169&amp;"''")</f>
        <v/>
      </c>
      <c r="O169" s="16" t="str">
        <f>IF(Sheet2!H169="","",ROUND(Sheet2!H169,2)&amp;"'")</f>
        <v/>
      </c>
      <c r="P169" s="18" t="str">
        <f>IF(Sheet2!E169="","",Sheet2!E169&amp;"''")</f>
        <v/>
      </c>
      <c r="Q169" s="12" t="str" cm="1">
        <f t="array" ref="Q169">IF(P169="","",_xlfn.XLOOKUP(G169,[1]Sheet1!$G:$G,[1]Sheet1!$Q:$S))</f>
        <v/>
      </c>
      <c r="T169" s="15" t="str">
        <f>IF(Sheet2!F169="","",Sheet2!F169&amp;"""")</f>
        <v/>
      </c>
      <c r="U169" s="12" t="str" cm="1">
        <f t="array" ref="U169">IF(T169="","",_xlfn.XLOOKUP(G169,[1]Sheet1!$G:$G,[1]Sheet1!$U:$W))</f>
        <v/>
      </c>
      <c r="X169" s="15" t="str">
        <f>IF(Sheet2!G169="","",Sheet2!G169&amp;"''")</f>
        <v/>
      </c>
    </row>
    <row r="170" spans="7:24" x14ac:dyDescent="0.25">
      <c r="G170" s="15" t="str">
        <f>IF(Sheet2!A170="","",Sheet2!A170)</f>
        <v/>
      </c>
      <c r="H170" s="18" t="str">
        <f>IF(Sheet2!O170="","",LEFT(Sheet2!O170, FIND(" ", Sheet2!O170)-1))</f>
        <v/>
      </c>
      <c r="I170" s="15" t="str">
        <f>IF(Sheet2!S170&lt;19,ROUND(Sheet2!I170,2)&amp;"'",IF(Sheet2!S170&lt;25,ROUND(Sheet2!J170,2)&amp;"'",IF(Sheet2!S170&lt;31,ROUND(Sheet2!K170,2)&amp;"'",IF(Sheet2!S170&lt;37,ROUND(Sheet2!L170,2)&amp;"'",""))))</f>
        <v/>
      </c>
      <c r="L170" s="15" t="str">
        <f>IF(Sheet2!D170="","",Sheet2!D170&amp;"''")</f>
        <v/>
      </c>
      <c r="O170" s="16" t="str">
        <f>IF(Sheet2!H170="","",ROUND(Sheet2!H170,2)&amp;"'")</f>
        <v/>
      </c>
      <c r="P170" s="18" t="str">
        <f>IF(Sheet2!E170="","",Sheet2!E170&amp;"''")</f>
        <v/>
      </c>
      <c r="Q170" s="12" t="str" cm="1">
        <f t="array" ref="Q170">IF(P170="","",_xlfn.XLOOKUP(G170,[1]Sheet1!$G:$G,[1]Sheet1!$Q:$S))</f>
        <v/>
      </c>
      <c r="T170" s="15" t="str">
        <f>IF(Sheet2!F170="","",Sheet2!F170&amp;"""")</f>
        <v/>
      </c>
      <c r="U170" s="12" t="str" cm="1">
        <f t="array" ref="U170">IF(T170="","",_xlfn.XLOOKUP(G170,[1]Sheet1!$G:$G,[1]Sheet1!$U:$W))</f>
        <v/>
      </c>
      <c r="X170" s="15" t="str">
        <f>IF(Sheet2!G170="","",Sheet2!G170&amp;"''")</f>
        <v/>
      </c>
    </row>
    <row r="171" spans="7:24" x14ac:dyDescent="0.25">
      <c r="G171" s="15" t="str">
        <f>IF(Sheet2!A171="","",Sheet2!A171)</f>
        <v/>
      </c>
      <c r="H171" s="18" t="str">
        <f>IF(Sheet2!O171="","",LEFT(Sheet2!O171, FIND(" ", Sheet2!O171)-1))</f>
        <v/>
      </c>
      <c r="I171" s="15" t="str">
        <f>IF(Sheet2!S171&lt;19,ROUND(Sheet2!I171,2)&amp;"'",IF(Sheet2!S171&lt;25,ROUND(Sheet2!J171,2)&amp;"'",IF(Sheet2!S171&lt;31,ROUND(Sheet2!K171,2)&amp;"'",IF(Sheet2!S171&lt;37,ROUND(Sheet2!L171,2)&amp;"'",""))))</f>
        <v/>
      </c>
      <c r="L171" s="15" t="str">
        <f>IF(Sheet2!D171="","",Sheet2!D171&amp;"''")</f>
        <v/>
      </c>
      <c r="O171" s="16" t="str">
        <f>IF(Sheet2!H171="","",ROUND(Sheet2!H171,2)&amp;"'")</f>
        <v/>
      </c>
      <c r="P171" s="18" t="str">
        <f>IF(Sheet2!E171="","",Sheet2!E171&amp;"''")</f>
        <v/>
      </c>
      <c r="Q171" s="12" t="str" cm="1">
        <f t="array" ref="Q171">IF(P171="","",_xlfn.XLOOKUP(G171,[1]Sheet1!$G:$G,[1]Sheet1!$Q:$S))</f>
        <v/>
      </c>
      <c r="T171" s="15" t="str">
        <f>IF(Sheet2!F171="","",Sheet2!F171&amp;"""")</f>
        <v/>
      </c>
      <c r="U171" s="12" t="str" cm="1">
        <f t="array" ref="U171">IF(T171="","",_xlfn.XLOOKUP(G171,[1]Sheet1!$G:$G,[1]Sheet1!$U:$W))</f>
        <v/>
      </c>
      <c r="X171" s="15" t="str">
        <f>IF(Sheet2!G171="","",Sheet2!G171&amp;"''")</f>
        <v/>
      </c>
    </row>
    <row r="172" spans="7:24" x14ac:dyDescent="0.25">
      <c r="G172" s="15" t="str">
        <f>IF(Sheet2!A172="","",Sheet2!A172)</f>
        <v/>
      </c>
      <c r="H172" s="18" t="str">
        <f>IF(Sheet2!O172="","",LEFT(Sheet2!O172, FIND(" ", Sheet2!O172)-1))</f>
        <v/>
      </c>
      <c r="I172" s="15" t="str">
        <f>IF(Sheet2!S172&lt;19,ROUND(Sheet2!I172,2)&amp;"'",IF(Sheet2!S172&lt;25,ROUND(Sheet2!J172,2)&amp;"'",IF(Sheet2!S172&lt;31,ROUND(Sheet2!K172,2)&amp;"'",IF(Sheet2!S172&lt;37,ROUND(Sheet2!L172,2)&amp;"'",""))))</f>
        <v/>
      </c>
      <c r="L172" s="15" t="str">
        <f>IF(Sheet2!D172="","",Sheet2!D172&amp;"''")</f>
        <v/>
      </c>
      <c r="O172" s="16" t="str">
        <f>IF(Sheet2!H172="","",ROUND(Sheet2!H172,2)&amp;"'")</f>
        <v/>
      </c>
      <c r="P172" s="18" t="str">
        <f>IF(Sheet2!E172="","",Sheet2!E172&amp;"''")</f>
        <v/>
      </c>
      <c r="Q172" s="12" t="str" cm="1">
        <f t="array" ref="Q172">IF(P172="","",_xlfn.XLOOKUP(G172,[1]Sheet1!$G:$G,[1]Sheet1!$Q:$S))</f>
        <v/>
      </c>
      <c r="T172" s="15" t="str">
        <f>IF(Sheet2!F172="","",Sheet2!F172&amp;"""")</f>
        <v/>
      </c>
      <c r="U172" s="12" t="str" cm="1">
        <f t="array" ref="U172">IF(T172="","",_xlfn.XLOOKUP(G172,[1]Sheet1!$G:$G,[1]Sheet1!$U:$W))</f>
        <v/>
      </c>
      <c r="X172" s="15" t="str">
        <f>IF(Sheet2!G172="","",Sheet2!G172&amp;"''")</f>
        <v/>
      </c>
    </row>
    <row r="173" spans="7:24" x14ac:dyDescent="0.25">
      <c r="G173" s="15" t="str">
        <f>IF(Sheet2!A173="","",Sheet2!A173)</f>
        <v/>
      </c>
      <c r="H173" s="18" t="str">
        <f>IF(Sheet2!O173="","",LEFT(Sheet2!O173, FIND(" ", Sheet2!O173)-1))</f>
        <v/>
      </c>
      <c r="I173" s="15" t="str">
        <f>IF(Sheet2!S173&lt;19,ROUND(Sheet2!I173,2)&amp;"'",IF(Sheet2!S173&lt;25,ROUND(Sheet2!J173,2)&amp;"'",IF(Sheet2!S173&lt;31,ROUND(Sheet2!K173,2)&amp;"'",IF(Sheet2!S173&lt;37,ROUND(Sheet2!L173,2)&amp;"'",""))))</f>
        <v/>
      </c>
      <c r="L173" s="15" t="str">
        <f>IF(Sheet2!D173="","",Sheet2!D173&amp;"''")</f>
        <v/>
      </c>
      <c r="O173" s="16" t="str">
        <f>IF(Sheet2!H173="","",ROUND(Sheet2!H173,2)&amp;"'")</f>
        <v/>
      </c>
      <c r="P173" s="18" t="str">
        <f>IF(Sheet2!E173="","",Sheet2!E173&amp;"''")</f>
        <v/>
      </c>
      <c r="Q173" s="12" t="str" cm="1">
        <f t="array" ref="Q173">IF(P173="","",_xlfn.XLOOKUP(G173,[1]Sheet1!$G:$G,[1]Sheet1!$Q:$S))</f>
        <v/>
      </c>
      <c r="T173" s="15" t="str">
        <f>IF(Sheet2!F173="","",Sheet2!F173&amp;"""")</f>
        <v/>
      </c>
      <c r="U173" s="12" t="str" cm="1">
        <f t="array" ref="U173">IF(T173="","",_xlfn.XLOOKUP(G173,[1]Sheet1!$G:$G,[1]Sheet1!$U:$W))</f>
        <v/>
      </c>
      <c r="X173" s="15" t="str">
        <f>IF(Sheet2!G173="","",Sheet2!G173&amp;"''")</f>
        <v/>
      </c>
    </row>
    <row r="174" spans="7:24" x14ac:dyDescent="0.25">
      <c r="G174" s="15" t="str">
        <f>IF(Sheet2!A174="","",Sheet2!A174)</f>
        <v/>
      </c>
      <c r="H174" s="18" t="str">
        <f>IF(Sheet2!O174="","",LEFT(Sheet2!O174, FIND(" ", Sheet2!O174)-1))</f>
        <v/>
      </c>
      <c r="I174" s="15" t="str">
        <f>IF(Sheet2!S174&lt;19,ROUND(Sheet2!I174,2)&amp;"'",IF(Sheet2!S174&lt;25,ROUND(Sheet2!J174,2)&amp;"'",IF(Sheet2!S174&lt;31,ROUND(Sheet2!K174,2)&amp;"'",IF(Sheet2!S174&lt;37,ROUND(Sheet2!L174,2)&amp;"'",""))))</f>
        <v/>
      </c>
      <c r="L174" s="15" t="str">
        <f>IF(Sheet2!D174="","",Sheet2!D174&amp;"''")</f>
        <v/>
      </c>
      <c r="O174" s="16" t="str">
        <f>IF(Sheet2!H174="","",ROUND(Sheet2!H174,2)&amp;"'")</f>
        <v/>
      </c>
      <c r="P174" s="18" t="str">
        <f>IF(Sheet2!E174="","",Sheet2!E174&amp;"''")</f>
        <v/>
      </c>
      <c r="Q174" s="12" t="str" cm="1">
        <f t="array" ref="Q174">IF(P174="","",_xlfn.XLOOKUP(G174,[1]Sheet1!$G:$G,[1]Sheet1!$Q:$S))</f>
        <v/>
      </c>
      <c r="T174" s="15" t="str">
        <f>IF(Sheet2!F174="","",Sheet2!F174&amp;"""")</f>
        <v/>
      </c>
      <c r="U174" s="12" t="str" cm="1">
        <f t="array" ref="U174">IF(T174="","",_xlfn.XLOOKUP(G174,[1]Sheet1!$G:$G,[1]Sheet1!$U:$W))</f>
        <v/>
      </c>
      <c r="X174" s="15" t="str">
        <f>IF(Sheet2!G174="","",Sheet2!G174&amp;"''")</f>
        <v/>
      </c>
    </row>
    <row r="175" spans="7:24" x14ac:dyDescent="0.25">
      <c r="G175" s="15" t="str">
        <f>IF(Sheet2!A175="","",Sheet2!A175)</f>
        <v/>
      </c>
      <c r="H175" s="18" t="str">
        <f>IF(Sheet2!O175="","",LEFT(Sheet2!O175, FIND(" ", Sheet2!O175)-1))</f>
        <v/>
      </c>
      <c r="I175" s="15" t="str">
        <f>IF(Sheet2!S175&lt;19,ROUND(Sheet2!I175,2)&amp;"'",IF(Sheet2!S175&lt;25,ROUND(Sheet2!J175,2)&amp;"'",IF(Sheet2!S175&lt;31,ROUND(Sheet2!K175,2)&amp;"'",IF(Sheet2!S175&lt;37,ROUND(Sheet2!L175,2)&amp;"'",""))))</f>
        <v/>
      </c>
      <c r="L175" s="15" t="str">
        <f>IF(Sheet2!D175="","",Sheet2!D175&amp;"''")</f>
        <v/>
      </c>
      <c r="O175" s="16" t="str">
        <f>IF(Sheet2!H175="","",ROUND(Sheet2!H175,2)&amp;"'")</f>
        <v/>
      </c>
      <c r="P175" s="18" t="str">
        <f>IF(Sheet2!E175="","",Sheet2!E175&amp;"''")</f>
        <v/>
      </c>
      <c r="Q175" s="12" t="str" cm="1">
        <f t="array" ref="Q175">IF(P175="","",_xlfn.XLOOKUP(G175,[1]Sheet1!$G:$G,[1]Sheet1!$Q:$S))</f>
        <v/>
      </c>
      <c r="T175" s="15" t="str">
        <f>IF(Sheet2!F175="","",Sheet2!F175&amp;"""")</f>
        <v/>
      </c>
      <c r="U175" s="12" t="str" cm="1">
        <f t="array" ref="U175">IF(T175="","",_xlfn.XLOOKUP(G175,[1]Sheet1!$G:$G,[1]Sheet1!$U:$W))</f>
        <v/>
      </c>
      <c r="X175" s="15" t="str">
        <f>IF(Sheet2!G175="","",Sheet2!G175&amp;"''")</f>
        <v/>
      </c>
    </row>
    <row r="176" spans="7:24" x14ac:dyDescent="0.25">
      <c r="G176" s="15" t="str">
        <f>IF(Sheet2!A176="","",Sheet2!A176)</f>
        <v/>
      </c>
      <c r="H176" s="18" t="str">
        <f>IF(Sheet2!O176="","",LEFT(Sheet2!O176, FIND(" ", Sheet2!O176)-1))</f>
        <v/>
      </c>
      <c r="I176" s="15" t="str">
        <f>IF(Sheet2!S176&lt;19,ROUND(Sheet2!I176,2)&amp;"'",IF(Sheet2!S176&lt;25,ROUND(Sheet2!J176,2)&amp;"'",IF(Sheet2!S176&lt;31,ROUND(Sheet2!K176,2)&amp;"'",IF(Sheet2!S176&lt;37,ROUND(Sheet2!L176,2)&amp;"'",""))))</f>
        <v/>
      </c>
      <c r="L176" s="15" t="str">
        <f>IF(Sheet2!D176="","",Sheet2!D176&amp;"''")</f>
        <v/>
      </c>
      <c r="O176" s="16" t="str">
        <f>IF(Sheet2!H176="","",ROUND(Sheet2!H176,2)&amp;"'")</f>
        <v/>
      </c>
      <c r="P176" s="18" t="str">
        <f>IF(Sheet2!E176="","",Sheet2!E176&amp;"''")</f>
        <v/>
      </c>
      <c r="Q176" s="12" t="str" cm="1">
        <f t="array" ref="Q176">IF(P176="","",_xlfn.XLOOKUP(G176,[1]Sheet1!$G:$G,[1]Sheet1!$Q:$S))</f>
        <v/>
      </c>
      <c r="T176" s="15" t="str">
        <f>IF(Sheet2!F176="","",Sheet2!F176&amp;"""")</f>
        <v/>
      </c>
      <c r="U176" s="12" t="str" cm="1">
        <f t="array" ref="U176">IF(T176="","",_xlfn.XLOOKUP(G176,[1]Sheet1!$G:$G,[1]Sheet1!$U:$W))</f>
        <v/>
      </c>
      <c r="X176" s="15" t="str">
        <f>IF(Sheet2!G176="","",Sheet2!G176&amp;"''")</f>
        <v/>
      </c>
    </row>
    <row r="177" spans="7:24" x14ac:dyDescent="0.25">
      <c r="G177" s="15" t="str">
        <f>IF(Sheet2!A177="","",Sheet2!A177)</f>
        <v/>
      </c>
      <c r="H177" s="18" t="str">
        <f>IF(Sheet2!O177="","",LEFT(Sheet2!O177, FIND(" ", Sheet2!O177)-1))</f>
        <v/>
      </c>
      <c r="I177" s="15" t="str">
        <f>IF(Sheet2!S177&lt;19,ROUND(Sheet2!I177,2)&amp;"'",IF(Sheet2!S177&lt;25,ROUND(Sheet2!J177,2)&amp;"'",IF(Sheet2!S177&lt;31,ROUND(Sheet2!K177,2)&amp;"'",IF(Sheet2!S177&lt;37,ROUND(Sheet2!L177,2)&amp;"'",""))))</f>
        <v/>
      </c>
      <c r="L177" s="15" t="str">
        <f>IF(Sheet2!D177="","",Sheet2!D177&amp;"''")</f>
        <v/>
      </c>
      <c r="O177" s="16" t="str">
        <f>IF(Sheet2!H177="","",ROUND(Sheet2!H177,2)&amp;"'")</f>
        <v/>
      </c>
      <c r="P177" s="18" t="str">
        <f>IF(Sheet2!E177="","",Sheet2!E177&amp;"''")</f>
        <v/>
      </c>
      <c r="Q177" s="12" t="str" cm="1">
        <f t="array" ref="Q177">IF(P177="","",_xlfn.XLOOKUP(G177,[1]Sheet1!$G:$G,[1]Sheet1!$Q:$S))</f>
        <v/>
      </c>
      <c r="T177" s="15" t="str">
        <f>IF(Sheet2!F177="","",Sheet2!F177&amp;"""")</f>
        <v/>
      </c>
      <c r="U177" s="12" t="str" cm="1">
        <f t="array" ref="U177">IF(T177="","",_xlfn.XLOOKUP(G177,[1]Sheet1!$G:$G,[1]Sheet1!$U:$W))</f>
        <v/>
      </c>
      <c r="X177" s="15" t="str">
        <f>IF(Sheet2!G177="","",Sheet2!G177&amp;"''")</f>
        <v/>
      </c>
    </row>
    <row r="178" spans="7:24" x14ac:dyDescent="0.25">
      <c r="G178" s="15" t="str">
        <f>IF(Sheet2!A178="","",Sheet2!A178)</f>
        <v/>
      </c>
      <c r="H178" s="18" t="str">
        <f>IF(Sheet2!O178="","",LEFT(Sheet2!O178, FIND(" ", Sheet2!O178)-1))</f>
        <v/>
      </c>
      <c r="I178" s="15" t="str">
        <f>IF(Sheet2!S178&lt;19,ROUND(Sheet2!I178,2)&amp;"'",IF(Sheet2!S178&lt;25,ROUND(Sheet2!J178,2)&amp;"'",IF(Sheet2!S178&lt;31,ROUND(Sheet2!K178,2)&amp;"'",IF(Sheet2!S178&lt;37,ROUND(Sheet2!L178,2)&amp;"'",""))))</f>
        <v/>
      </c>
      <c r="L178" s="15" t="str">
        <f>IF(Sheet2!D178="","",Sheet2!D178&amp;"''")</f>
        <v/>
      </c>
      <c r="O178" s="16" t="str">
        <f>IF(Sheet2!H178="","",ROUND(Sheet2!H178,2)&amp;"'")</f>
        <v/>
      </c>
      <c r="P178" s="18" t="str">
        <f>IF(Sheet2!E178="","",Sheet2!E178&amp;"''")</f>
        <v/>
      </c>
      <c r="Q178" s="12" t="str" cm="1">
        <f t="array" ref="Q178">IF(P178="","",_xlfn.XLOOKUP(G178,[1]Sheet1!$G:$G,[1]Sheet1!$Q:$S))</f>
        <v/>
      </c>
      <c r="T178" s="15" t="str">
        <f>IF(Sheet2!F178="","",Sheet2!F178&amp;"""")</f>
        <v/>
      </c>
      <c r="U178" s="12" t="str" cm="1">
        <f t="array" ref="U178">IF(T178="","",_xlfn.XLOOKUP(G178,[1]Sheet1!$G:$G,[1]Sheet1!$U:$W))</f>
        <v/>
      </c>
      <c r="X178" s="15" t="str">
        <f>IF(Sheet2!G178="","",Sheet2!G178&amp;"''")</f>
        <v/>
      </c>
    </row>
    <row r="179" spans="7:24" x14ac:dyDescent="0.25">
      <c r="G179" s="15" t="str">
        <f>IF(Sheet2!A179="","",Sheet2!A179)</f>
        <v/>
      </c>
      <c r="H179" s="18" t="str">
        <f>IF(Sheet2!O179="","",LEFT(Sheet2!O179, FIND(" ", Sheet2!O179)-1))</f>
        <v/>
      </c>
      <c r="I179" s="15" t="str">
        <f>IF(Sheet2!S179&lt;19,ROUND(Sheet2!I179,2)&amp;"'",IF(Sheet2!S179&lt;25,ROUND(Sheet2!J179,2)&amp;"'",IF(Sheet2!S179&lt;31,ROUND(Sheet2!K179,2)&amp;"'",IF(Sheet2!S179&lt;37,ROUND(Sheet2!L179,2)&amp;"'",""))))</f>
        <v/>
      </c>
      <c r="L179" s="15" t="str">
        <f>IF(Sheet2!D179="","",Sheet2!D179&amp;"''")</f>
        <v/>
      </c>
      <c r="O179" s="16" t="str">
        <f>IF(Sheet2!H179="","",ROUND(Sheet2!H179,2)&amp;"'")</f>
        <v/>
      </c>
      <c r="P179" s="18" t="str">
        <f>IF(Sheet2!E179="","",Sheet2!E179&amp;"''")</f>
        <v/>
      </c>
      <c r="Q179" s="12" t="str" cm="1">
        <f t="array" ref="Q179">IF(P179="","",_xlfn.XLOOKUP(G179,[1]Sheet1!$G:$G,[1]Sheet1!$Q:$S))</f>
        <v/>
      </c>
      <c r="T179" s="15" t="str">
        <f>IF(Sheet2!F179="","",Sheet2!F179&amp;"""")</f>
        <v/>
      </c>
      <c r="U179" s="12" t="str" cm="1">
        <f t="array" ref="U179">IF(T179="","",_xlfn.XLOOKUP(G179,[1]Sheet1!$G:$G,[1]Sheet1!$U:$W))</f>
        <v/>
      </c>
      <c r="X179" s="15" t="str">
        <f>IF(Sheet2!G179="","",Sheet2!G179&amp;"''")</f>
        <v/>
      </c>
    </row>
    <row r="180" spans="7:24" x14ac:dyDescent="0.25">
      <c r="G180" s="15" t="str">
        <f>IF(Sheet2!A180="","",Sheet2!A180)</f>
        <v/>
      </c>
      <c r="H180" s="18" t="str">
        <f>IF(Sheet2!O180="","",LEFT(Sheet2!O180, FIND(" ", Sheet2!O180)-1))</f>
        <v/>
      </c>
      <c r="I180" s="15" t="str">
        <f>IF(Sheet2!S180&lt;19,ROUND(Sheet2!I180,2)&amp;"'",IF(Sheet2!S180&lt;25,ROUND(Sheet2!J180,2)&amp;"'",IF(Sheet2!S180&lt;31,ROUND(Sheet2!K180,2)&amp;"'",IF(Sheet2!S180&lt;37,ROUND(Sheet2!L180,2)&amp;"'",""))))</f>
        <v/>
      </c>
      <c r="L180" s="15" t="str">
        <f>IF(Sheet2!D180="","",Sheet2!D180&amp;"''")</f>
        <v/>
      </c>
      <c r="O180" s="16" t="str">
        <f>IF(Sheet2!H180="","",ROUND(Sheet2!H180,2)&amp;"'")</f>
        <v/>
      </c>
      <c r="P180" s="18" t="str">
        <f>IF(Sheet2!E180="","",Sheet2!E180&amp;"''")</f>
        <v/>
      </c>
      <c r="Q180" s="12" t="str" cm="1">
        <f t="array" ref="Q180">IF(P180="","",_xlfn.XLOOKUP(G180,[1]Sheet1!$G:$G,[1]Sheet1!$Q:$S))</f>
        <v/>
      </c>
      <c r="T180" s="15" t="str">
        <f>IF(Sheet2!F180="","",Sheet2!F180&amp;"""")</f>
        <v/>
      </c>
      <c r="U180" s="12" t="str" cm="1">
        <f t="array" ref="U180">IF(T180="","",_xlfn.XLOOKUP(G180,[1]Sheet1!$G:$G,[1]Sheet1!$U:$W))</f>
        <v/>
      </c>
      <c r="X180" s="15" t="str">
        <f>IF(Sheet2!G180="","",Sheet2!G180&amp;"''")</f>
        <v/>
      </c>
    </row>
    <row r="181" spans="7:24" x14ac:dyDescent="0.25">
      <c r="G181" s="15" t="str">
        <f>IF(Sheet2!A181="","",Sheet2!A181)</f>
        <v/>
      </c>
      <c r="H181" s="18" t="str">
        <f>IF(Sheet2!O181="","",LEFT(Sheet2!O181, FIND(" ", Sheet2!O181)-1))</f>
        <v/>
      </c>
      <c r="I181" s="15" t="str">
        <f>IF(Sheet2!S181&lt;19,ROUND(Sheet2!I181,2)&amp;"'",IF(Sheet2!S181&lt;25,ROUND(Sheet2!J181,2)&amp;"'",IF(Sheet2!S181&lt;31,ROUND(Sheet2!K181,2)&amp;"'",IF(Sheet2!S181&lt;37,ROUND(Sheet2!L181,2)&amp;"'",""))))</f>
        <v/>
      </c>
      <c r="L181" s="15" t="str">
        <f>IF(Sheet2!D181="","",Sheet2!D181&amp;"''")</f>
        <v/>
      </c>
      <c r="O181" s="16" t="str">
        <f>IF(Sheet2!H181="","",ROUND(Sheet2!H181,2)&amp;"'")</f>
        <v/>
      </c>
      <c r="P181" s="18" t="str">
        <f>IF(Sheet2!E181="","",Sheet2!E181&amp;"''")</f>
        <v/>
      </c>
      <c r="Q181" s="12" t="str" cm="1">
        <f t="array" ref="Q181">IF(P181="","",_xlfn.XLOOKUP(G181,[1]Sheet1!$G:$G,[1]Sheet1!$Q:$S))</f>
        <v/>
      </c>
      <c r="T181" s="15" t="str">
        <f>IF(Sheet2!F181="","",Sheet2!F181&amp;"""")</f>
        <v/>
      </c>
      <c r="U181" s="12" t="str" cm="1">
        <f t="array" ref="U181">IF(T181="","",_xlfn.XLOOKUP(G181,[1]Sheet1!$G:$G,[1]Sheet1!$U:$W))</f>
        <v/>
      </c>
      <c r="X181" s="15" t="str">
        <f>IF(Sheet2!G181="","",Sheet2!G181&amp;"''")</f>
        <v/>
      </c>
    </row>
    <row r="182" spans="7:24" x14ac:dyDescent="0.25">
      <c r="G182" s="15" t="str">
        <f>IF(Sheet2!A182="","",Sheet2!A182)</f>
        <v/>
      </c>
      <c r="H182" s="18" t="str">
        <f>IF(Sheet2!O182="","",LEFT(Sheet2!O182, FIND(" ", Sheet2!O182)-1))</f>
        <v/>
      </c>
      <c r="I182" s="15" t="str">
        <f>IF(Sheet2!S182&lt;19,ROUND(Sheet2!I182,2)&amp;"'",IF(Sheet2!S182&lt;25,ROUND(Sheet2!J182,2)&amp;"'",IF(Sheet2!S182&lt;31,ROUND(Sheet2!K182,2)&amp;"'",IF(Sheet2!S182&lt;37,ROUND(Sheet2!L182,2)&amp;"'",""))))</f>
        <v/>
      </c>
      <c r="L182" s="15" t="str">
        <f>IF(Sheet2!D182="","",Sheet2!D182&amp;"''")</f>
        <v/>
      </c>
      <c r="O182" s="16" t="str">
        <f>IF(Sheet2!H182="","",ROUND(Sheet2!H182,2)&amp;"'")</f>
        <v/>
      </c>
      <c r="P182" s="18" t="str">
        <f>IF(Sheet2!E182="","",Sheet2!E182&amp;"''")</f>
        <v/>
      </c>
      <c r="Q182" s="12" t="str" cm="1">
        <f t="array" ref="Q182">IF(P182="","",_xlfn.XLOOKUP(G182,[1]Sheet1!$G:$G,[1]Sheet1!$Q:$S))</f>
        <v/>
      </c>
      <c r="T182" s="15" t="str">
        <f>IF(Sheet2!F182="","",Sheet2!F182&amp;"""")</f>
        <v/>
      </c>
      <c r="U182" s="12" t="str" cm="1">
        <f t="array" ref="U182">IF(T182="","",_xlfn.XLOOKUP(G182,[1]Sheet1!$G:$G,[1]Sheet1!$U:$W))</f>
        <v/>
      </c>
      <c r="X182" s="15" t="str">
        <f>IF(Sheet2!G182="","",Sheet2!G182&amp;"''")</f>
        <v/>
      </c>
    </row>
    <row r="183" spans="7:24" x14ac:dyDescent="0.25">
      <c r="G183" s="15" t="str">
        <f>IF(Sheet2!A183="","",Sheet2!A183)</f>
        <v/>
      </c>
      <c r="H183" s="18" t="str">
        <f>IF(Sheet2!O183="","",LEFT(Sheet2!O183, FIND(" ", Sheet2!O183)-1))</f>
        <v/>
      </c>
      <c r="I183" s="15" t="str">
        <f>IF(Sheet2!S183&lt;19,ROUND(Sheet2!I183,2)&amp;"'",IF(Sheet2!S183&lt;25,ROUND(Sheet2!J183,2)&amp;"'",IF(Sheet2!S183&lt;31,ROUND(Sheet2!K183,2)&amp;"'",IF(Sheet2!S183&lt;37,ROUND(Sheet2!L183,2)&amp;"'",""))))</f>
        <v/>
      </c>
      <c r="L183" s="15" t="str">
        <f>IF(Sheet2!D183="","",Sheet2!D183&amp;"''")</f>
        <v/>
      </c>
      <c r="O183" s="16" t="str">
        <f>IF(Sheet2!H183="","",ROUND(Sheet2!H183,2)&amp;"'")</f>
        <v/>
      </c>
      <c r="P183" s="18" t="str">
        <f>IF(Sheet2!E183="","",Sheet2!E183&amp;"''")</f>
        <v/>
      </c>
      <c r="Q183" s="12" t="str" cm="1">
        <f t="array" ref="Q183">IF(P183="","",_xlfn.XLOOKUP(G183,[1]Sheet1!$G:$G,[1]Sheet1!$Q:$S))</f>
        <v/>
      </c>
      <c r="T183" s="15" t="str">
        <f>IF(Sheet2!F183="","",Sheet2!F183&amp;"""")</f>
        <v/>
      </c>
      <c r="U183" s="12" t="str" cm="1">
        <f t="array" ref="U183">IF(T183="","",_xlfn.XLOOKUP(G183,[1]Sheet1!$G:$G,[1]Sheet1!$U:$W))</f>
        <v/>
      </c>
      <c r="X183" s="15" t="str">
        <f>IF(Sheet2!G183="","",Sheet2!G183&amp;"''")</f>
        <v/>
      </c>
    </row>
    <row r="184" spans="7:24" x14ac:dyDescent="0.25">
      <c r="G184" s="15" t="str">
        <f>IF(Sheet2!A184="","",Sheet2!A184)</f>
        <v/>
      </c>
      <c r="H184" s="18" t="str">
        <f>IF(Sheet2!O184="","",LEFT(Sheet2!O184, FIND(" ", Sheet2!O184)-1))</f>
        <v/>
      </c>
      <c r="I184" s="15" t="str">
        <f>IF(Sheet2!S184&lt;19,ROUND(Sheet2!I184,2)&amp;"'",IF(Sheet2!S184&lt;25,ROUND(Sheet2!J184,2)&amp;"'",IF(Sheet2!S184&lt;31,ROUND(Sheet2!K184,2)&amp;"'",IF(Sheet2!S184&lt;37,ROUND(Sheet2!L184,2)&amp;"'",""))))</f>
        <v/>
      </c>
      <c r="L184" s="15" t="str">
        <f>IF(Sheet2!D184="","",Sheet2!D184&amp;"''")</f>
        <v/>
      </c>
      <c r="O184" s="16" t="str">
        <f>IF(Sheet2!H184="","",ROUND(Sheet2!H184,2)&amp;"'")</f>
        <v/>
      </c>
      <c r="P184" s="18" t="str">
        <f>IF(Sheet2!E184="","",Sheet2!E184&amp;"''")</f>
        <v/>
      </c>
      <c r="Q184" s="12" t="str" cm="1">
        <f t="array" ref="Q184">IF(P184="","",_xlfn.XLOOKUP(G184,[1]Sheet1!$G:$G,[1]Sheet1!$Q:$S))</f>
        <v/>
      </c>
      <c r="T184" s="15" t="str">
        <f>IF(Sheet2!F184="","",Sheet2!F184&amp;"""")</f>
        <v/>
      </c>
      <c r="U184" s="12" t="str" cm="1">
        <f t="array" ref="U184">IF(T184="","",_xlfn.XLOOKUP(G184,[1]Sheet1!$G:$G,[1]Sheet1!$U:$W))</f>
        <v/>
      </c>
      <c r="X184" s="15" t="str">
        <f>IF(Sheet2!G184="","",Sheet2!G184&amp;"''")</f>
        <v/>
      </c>
    </row>
    <row r="185" spans="7:24" x14ac:dyDescent="0.25">
      <c r="G185" s="15" t="str">
        <f>IF(Sheet2!A185="","",Sheet2!A185)</f>
        <v/>
      </c>
      <c r="H185" s="18" t="str">
        <f>IF(Sheet2!O185="","",LEFT(Sheet2!O185, FIND(" ", Sheet2!O185)-1))</f>
        <v/>
      </c>
      <c r="I185" s="15" t="str">
        <f>IF(Sheet2!S185&lt;19,ROUND(Sheet2!I185,2)&amp;"'",IF(Sheet2!S185&lt;25,ROUND(Sheet2!J185,2)&amp;"'",IF(Sheet2!S185&lt;31,ROUND(Sheet2!K185,2)&amp;"'",IF(Sheet2!S185&lt;37,ROUND(Sheet2!L185,2)&amp;"'",""))))</f>
        <v/>
      </c>
      <c r="L185" s="15" t="str">
        <f>IF(Sheet2!D185="","",Sheet2!D185&amp;"''")</f>
        <v/>
      </c>
      <c r="O185" s="16" t="str">
        <f>IF(Sheet2!H185="","",ROUND(Sheet2!H185,2)&amp;"'")</f>
        <v/>
      </c>
      <c r="P185" s="18" t="str">
        <f>IF(Sheet2!E185="","",Sheet2!E185&amp;"''")</f>
        <v/>
      </c>
      <c r="Q185" s="12" t="str" cm="1">
        <f t="array" ref="Q185">IF(P185="","",_xlfn.XLOOKUP(G185,[1]Sheet1!$G:$G,[1]Sheet1!$Q:$S))</f>
        <v/>
      </c>
      <c r="T185" s="15" t="str">
        <f>IF(Sheet2!F185="","",Sheet2!F185&amp;"""")</f>
        <v/>
      </c>
      <c r="U185" s="12" t="str" cm="1">
        <f t="array" ref="U185">IF(T185="","",_xlfn.XLOOKUP(G185,[1]Sheet1!$G:$G,[1]Sheet1!$U:$W))</f>
        <v/>
      </c>
      <c r="X185" s="15" t="str">
        <f>IF(Sheet2!G185="","",Sheet2!G185&amp;"''")</f>
        <v/>
      </c>
    </row>
    <row r="186" spans="7:24" x14ac:dyDescent="0.25">
      <c r="G186" s="15" t="str">
        <f>IF(Sheet2!A186="","",Sheet2!A186)</f>
        <v/>
      </c>
      <c r="H186" s="18" t="str">
        <f>IF(Sheet2!O186="","",LEFT(Sheet2!O186, FIND(" ", Sheet2!O186)-1))</f>
        <v/>
      </c>
      <c r="I186" s="15" t="str">
        <f>IF(Sheet2!S186&lt;19,ROUND(Sheet2!I186,2)&amp;"'",IF(Sheet2!S186&lt;25,ROUND(Sheet2!J186,2)&amp;"'",IF(Sheet2!S186&lt;31,ROUND(Sheet2!K186,2)&amp;"'",IF(Sheet2!S186&lt;37,ROUND(Sheet2!L186,2)&amp;"'",""))))</f>
        <v/>
      </c>
      <c r="L186" s="15" t="str">
        <f>IF(Sheet2!D186="","",Sheet2!D186&amp;"''")</f>
        <v/>
      </c>
      <c r="O186" s="16" t="str">
        <f>IF(Sheet2!H186="","",ROUND(Sheet2!H186,2)&amp;"'")</f>
        <v/>
      </c>
      <c r="P186" s="18" t="str">
        <f>IF(Sheet2!E186="","",Sheet2!E186&amp;"''")</f>
        <v/>
      </c>
      <c r="Q186" s="12" t="str" cm="1">
        <f t="array" ref="Q186">IF(P186="","",_xlfn.XLOOKUP(G186,[1]Sheet1!$G:$G,[1]Sheet1!$Q:$S))</f>
        <v/>
      </c>
      <c r="T186" s="15" t="str">
        <f>IF(Sheet2!F186="","",Sheet2!F186&amp;"""")</f>
        <v/>
      </c>
      <c r="U186" s="12" t="str" cm="1">
        <f t="array" ref="U186">IF(T186="","",_xlfn.XLOOKUP(G186,[1]Sheet1!$G:$G,[1]Sheet1!$U:$W))</f>
        <v/>
      </c>
      <c r="X186" s="15" t="str">
        <f>IF(Sheet2!G186="","",Sheet2!G186&amp;"''")</f>
        <v/>
      </c>
    </row>
    <row r="187" spans="7:24" x14ac:dyDescent="0.25">
      <c r="G187" s="15" t="str">
        <f>IF(Sheet2!A187="","",Sheet2!A187)</f>
        <v/>
      </c>
      <c r="H187" s="18" t="str">
        <f>IF(Sheet2!O187="","",LEFT(Sheet2!O187, FIND(" ", Sheet2!O187)-1))</f>
        <v/>
      </c>
      <c r="I187" s="15" t="str">
        <f>IF(Sheet2!S187&lt;19,ROUND(Sheet2!I187,2)&amp;"'",IF(Sheet2!S187&lt;25,ROUND(Sheet2!J187,2)&amp;"'",IF(Sheet2!S187&lt;31,ROUND(Sheet2!K187,2)&amp;"'",IF(Sheet2!S187&lt;37,ROUND(Sheet2!L187,2)&amp;"'",""))))</f>
        <v/>
      </c>
      <c r="L187" s="15" t="str">
        <f>IF(Sheet2!D187="","",Sheet2!D187&amp;"''")</f>
        <v/>
      </c>
      <c r="O187" s="16" t="str">
        <f>IF(Sheet2!H187="","",ROUND(Sheet2!H187,2)&amp;"'")</f>
        <v/>
      </c>
      <c r="P187" s="18" t="str">
        <f>IF(Sheet2!E187="","",Sheet2!E187&amp;"''")</f>
        <v/>
      </c>
      <c r="Q187" s="12" t="str" cm="1">
        <f t="array" ref="Q187">IF(P187="","",_xlfn.XLOOKUP(G187,[1]Sheet1!$G:$G,[1]Sheet1!$Q:$S))</f>
        <v/>
      </c>
      <c r="T187" s="15" t="str">
        <f>IF(Sheet2!F187="","",Sheet2!F187&amp;"""")</f>
        <v/>
      </c>
      <c r="U187" s="12" t="str" cm="1">
        <f t="array" ref="U187">IF(T187="","",_xlfn.XLOOKUP(G187,[1]Sheet1!$G:$G,[1]Sheet1!$U:$W))</f>
        <v/>
      </c>
      <c r="X187" s="15" t="str">
        <f>IF(Sheet2!G187="","",Sheet2!G187&amp;"''")</f>
        <v/>
      </c>
    </row>
    <row r="188" spans="7:24" x14ac:dyDescent="0.25">
      <c r="G188" s="15" t="str">
        <f>IF(Sheet2!A188="","",Sheet2!A188)</f>
        <v/>
      </c>
      <c r="H188" s="18" t="str">
        <f>IF(Sheet2!O188="","",LEFT(Sheet2!O188, FIND(" ", Sheet2!O188)-1))</f>
        <v/>
      </c>
      <c r="I188" s="15" t="str">
        <f>IF(Sheet2!S188&lt;19,ROUND(Sheet2!I188,2)&amp;"'",IF(Sheet2!S188&lt;25,ROUND(Sheet2!J188,2)&amp;"'",IF(Sheet2!S188&lt;31,ROUND(Sheet2!K188,2)&amp;"'",IF(Sheet2!S188&lt;37,ROUND(Sheet2!L188,2)&amp;"'",""))))</f>
        <v/>
      </c>
      <c r="L188" s="15" t="str">
        <f>IF(Sheet2!D188="","",Sheet2!D188&amp;"''")</f>
        <v/>
      </c>
      <c r="O188" s="16" t="str">
        <f>IF(Sheet2!H188="","",ROUND(Sheet2!H188,2)&amp;"'")</f>
        <v/>
      </c>
      <c r="P188" s="18" t="str">
        <f>IF(Sheet2!E188="","",Sheet2!E188&amp;"''")</f>
        <v/>
      </c>
      <c r="Q188" s="12" t="str" cm="1">
        <f t="array" ref="Q188">IF(P188="","",_xlfn.XLOOKUP(G188,[1]Sheet1!$G:$G,[1]Sheet1!$Q:$S))</f>
        <v/>
      </c>
      <c r="T188" s="15" t="str">
        <f>IF(Sheet2!F188="","",Sheet2!F188&amp;"""")</f>
        <v/>
      </c>
      <c r="U188" s="12" t="str" cm="1">
        <f t="array" ref="U188">IF(T188="","",_xlfn.XLOOKUP(G188,[1]Sheet1!$G:$G,[1]Sheet1!$U:$W))</f>
        <v/>
      </c>
      <c r="X188" s="15" t="str">
        <f>IF(Sheet2!G188="","",Sheet2!G188&amp;"''")</f>
        <v/>
      </c>
    </row>
    <row r="189" spans="7:24" x14ac:dyDescent="0.25">
      <c r="G189" s="15" t="str">
        <f>IF(Sheet2!A189="","",Sheet2!A189)</f>
        <v/>
      </c>
      <c r="H189" s="18" t="str">
        <f>IF(Sheet2!O189="","",LEFT(Sheet2!O189, FIND(" ", Sheet2!O189)-1))</f>
        <v/>
      </c>
      <c r="I189" s="15" t="str">
        <f>IF(Sheet2!S189&lt;19,ROUND(Sheet2!I189,2)&amp;"'",IF(Sheet2!S189&lt;25,ROUND(Sheet2!J189,2)&amp;"'",IF(Sheet2!S189&lt;31,ROUND(Sheet2!K189,2)&amp;"'",IF(Sheet2!S189&lt;37,ROUND(Sheet2!L189,2)&amp;"'",""))))</f>
        <v/>
      </c>
      <c r="L189" s="15" t="str">
        <f>IF(Sheet2!D189="","",Sheet2!D189&amp;"''")</f>
        <v/>
      </c>
      <c r="O189" s="16" t="str">
        <f>IF(Sheet2!H189="","",ROUND(Sheet2!H189,2)&amp;"'")</f>
        <v/>
      </c>
      <c r="P189" s="18" t="str">
        <f>IF(Sheet2!E189="","",Sheet2!E189&amp;"''")</f>
        <v/>
      </c>
      <c r="Q189" s="12" t="str" cm="1">
        <f t="array" ref="Q189">IF(P189="","",_xlfn.XLOOKUP(G189,[1]Sheet1!$G:$G,[1]Sheet1!$Q:$S))</f>
        <v/>
      </c>
      <c r="T189" s="15" t="str">
        <f>IF(Sheet2!F189="","",Sheet2!F189&amp;"""")</f>
        <v/>
      </c>
      <c r="U189" s="12" t="str" cm="1">
        <f t="array" ref="U189">IF(T189="","",_xlfn.XLOOKUP(G189,[1]Sheet1!$G:$G,[1]Sheet1!$U:$W))</f>
        <v/>
      </c>
      <c r="X189" s="15" t="str">
        <f>IF(Sheet2!G189="","",Sheet2!G189&amp;"''")</f>
        <v/>
      </c>
    </row>
    <row r="190" spans="7:24" x14ac:dyDescent="0.25">
      <c r="G190" s="15" t="str">
        <f>IF(Sheet2!A190="","",Sheet2!A190)</f>
        <v/>
      </c>
      <c r="H190" s="18" t="str">
        <f>IF(Sheet2!O190="","",LEFT(Sheet2!O190, FIND(" ", Sheet2!O190)-1))</f>
        <v/>
      </c>
      <c r="I190" s="15" t="str">
        <f>IF(Sheet2!S190&lt;19,ROUND(Sheet2!I190,2)&amp;"'",IF(Sheet2!S190&lt;25,ROUND(Sheet2!J190,2)&amp;"'",IF(Sheet2!S190&lt;31,ROUND(Sheet2!K190,2)&amp;"'",IF(Sheet2!S190&lt;37,ROUND(Sheet2!L190,2)&amp;"'",""))))</f>
        <v/>
      </c>
      <c r="L190" s="15" t="str">
        <f>IF(Sheet2!D190="","",Sheet2!D190&amp;"''")</f>
        <v/>
      </c>
      <c r="O190" s="16" t="str">
        <f>IF(Sheet2!H190="","",ROUND(Sheet2!H190,2)&amp;"'")</f>
        <v/>
      </c>
      <c r="P190" s="18" t="str">
        <f>IF(Sheet2!E190="","",Sheet2!E190&amp;"''")</f>
        <v/>
      </c>
      <c r="Q190" s="12" t="str" cm="1">
        <f t="array" ref="Q190">IF(P190="","",_xlfn.XLOOKUP(G190,[1]Sheet1!$G:$G,[1]Sheet1!$Q:$S))</f>
        <v/>
      </c>
      <c r="T190" s="15" t="str">
        <f>IF(Sheet2!F190="","",Sheet2!F190&amp;"""")</f>
        <v/>
      </c>
      <c r="U190" s="12" t="str" cm="1">
        <f t="array" ref="U190">IF(T190="","",_xlfn.XLOOKUP(G190,[1]Sheet1!$G:$G,[1]Sheet1!$U:$W))</f>
        <v/>
      </c>
      <c r="X190" s="15" t="str">
        <f>IF(Sheet2!G190="","",Sheet2!G190&amp;"''")</f>
        <v/>
      </c>
    </row>
    <row r="191" spans="7:24" x14ac:dyDescent="0.25">
      <c r="G191" s="15" t="str">
        <f>IF(Sheet2!A191="","",Sheet2!A191)</f>
        <v/>
      </c>
      <c r="H191" s="18" t="str">
        <f>IF(Sheet2!O191="","",LEFT(Sheet2!O191, FIND(" ", Sheet2!O191)-1))</f>
        <v/>
      </c>
      <c r="I191" s="15" t="str">
        <f>IF(Sheet2!S191&lt;19,ROUND(Sheet2!I191,2)&amp;"'",IF(Sheet2!S191&lt;25,ROUND(Sheet2!J191,2)&amp;"'",IF(Sheet2!S191&lt;31,ROUND(Sheet2!K191,2)&amp;"'",IF(Sheet2!S191&lt;37,ROUND(Sheet2!L191,2)&amp;"'",""))))</f>
        <v/>
      </c>
      <c r="L191" s="15" t="str">
        <f>IF(Sheet2!D191="","",Sheet2!D191&amp;"''")</f>
        <v/>
      </c>
      <c r="O191" s="16" t="str">
        <f>IF(Sheet2!H191="","",ROUND(Sheet2!H191,2)&amp;"'")</f>
        <v/>
      </c>
      <c r="P191" s="18" t="str">
        <f>IF(Sheet2!E191="","",Sheet2!E191&amp;"''")</f>
        <v/>
      </c>
      <c r="Q191" s="12" t="str" cm="1">
        <f t="array" ref="Q191">IF(P191="","",_xlfn.XLOOKUP(G191,[1]Sheet1!$G:$G,[1]Sheet1!$Q:$S))</f>
        <v/>
      </c>
      <c r="T191" s="15" t="str">
        <f>IF(Sheet2!F191="","",Sheet2!F191&amp;"""")</f>
        <v/>
      </c>
      <c r="U191" s="12" t="str" cm="1">
        <f t="array" ref="U191">IF(T191="","",_xlfn.XLOOKUP(G191,[1]Sheet1!$G:$G,[1]Sheet1!$U:$W))</f>
        <v/>
      </c>
      <c r="X191" s="15" t="str">
        <f>IF(Sheet2!G191="","",Sheet2!G191&amp;"''")</f>
        <v/>
      </c>
    </row>
    <row r="192" spans="7:24" x14ac:dyDescent="0.25">
      <c r="G192" s="15" t="str">
        <f>IF(Sheet2!A192="","",Sheet2!A192)</f>
        <v/>
      </c>
      <c r="H192" s="18" t="str">
        <f>IF(Sheet2!O192="","",LEFT(Sheet2!O192, FIND(" ", Sheet2!O192)-1))</f>
        <v/>
      </c>
      <c r="I192" s="15" t="str">
        <f>IF(Sheet2!S192&lt;19,ROUND(Sheet2!I192,2)&amp;"'",IF(Sheet2!S192&lt;25,ROUND(Sheet2!J192,2)&amp;"'",IF(Sheet2!S192&lt;31,ROUND(Sheet2!K192,2)&amp;"'",IF(Sheet2!S192&lt;37,ROUND(Sheet2!L192,2)&amp;"'",""))))</f>
        <v/>
      </c>
      <c r="L192" s="15" t="str">
        <f>IF(Sheet2!D192="","",Sheet2!D192&amp;"''")</f>
        <v/>
      </c>
      <c r="O192" s="16" t="str">
        <f>IF(Sheet2!H192="","",ROUND(Sheet2!H192,2)&amp;"'")</f>
        <v/>
      </c>
      <c r="P192" s="18" t="str">
        <f>IF(Sheet2!E192="","",Sheet2!E192&amp;"''")</f>
        <v/>
      </c>
      <c r="Q192" s="12" t="str" cm="1">
        <f t="array" ref="Q192">IF(P192="","",_xlfn.XLOOKUP(G192,[1]Sheet1!$G:$G,[1]Sheet1!$Q:$S))</f>
        <v/>
      </c>
      <c r="T192" s="15" t="str">
        <f>IF(Sheet2!F192="","",Sheet2!F192&amp;"""")</f>
        <v/>
      </c>
      <c r="U192" s="12" t="str" cm="1">
        <f t="array" ref="U192">IF(T192="","",_xlfn.XLOOKUP(G192,[1]Sheet1!$G:$G,[1]Sheet1!$U:$W))</f>
        <v/>
      </c>
      <c r="X192" s="15" t="str">
        <f>IF(Sheet2!G192="","",Sheet2!G192&amp;"''")</f>
        <v/>
      </c>
    </row>
    <row r="193" spans="7:24" x14ac:dyDescent="0.25">
      <c r="G193" s="15" t="str">
        <f>IF(Sheet2!A193="","",Sheet2!A193)</f>
        <v/>
      </c>
      <c r="H193" s="18" t="str">
        <f>IF(Sheet2!O193="","",LEFT(Sheet2!O193, FIND(" ", Sheet2!O193)-1))</f>
        <v/>
      </c>
      <c r="I193" s="15" t="str">
        <f>IF(Sheet2!S193&lt;19,ROUND(Sheet2!I193,2)&amp;"'",IF(Sheet2!S193&lt;25,ROUND(Sheet2!J193,2)&amp;"'",IF(Sheet2!S193&lt;31,ROUND(Sheet2!K193,2)&amp;"'",IF(Sheet2!S193&lt;37,ROUND(Sheet2!L193,2)&amp;"'",""))))</f>
        <v/>
      </c>
      <c r="L193" s="15" t="str">
        <f>IF(Sheet2!D193="","",Sheet2!D193&amp;"''")</f>
        <v/>
      </c>
      <c r="O193" s="16" t="str">
        <f>IF(Sheet2!H193="","",ROUND(Sheet2!H193,2)&amp;"'")</f>
        <v/>
      </c>
      <c r="P193" s="18" t="str">
        <f>IF(Sheet2!E193="","",Sheet2!E193&amp;"''")</f>
        <v/>
      </c>
      <c r="Q193" s="12" t="str" cm="1">
        <f t="array" ref="Q193">IF(P193="","",_xlfn.XLOOKUP(G193,[1]Sheet1!$G:$G,[1]Sheet1!$Q:$S))</f>
        <v/>
      </c>
      <c r="T193" s="15" t="str">
        <f>IF(Sheet2!F193="","",Sheet2!F193&amp;"""")</f>
        <v/>
      </c>
      <c r="U193" s="12" t="str" cm="1">
        <f t="array" ref="U193">IF(T193="","",_xlfn.XLOOKUP(G193,[1]Sheet1!$G:$G,[1]Sheet1!$U:$W))</f>
        <v/>
      </c>
      <c r="X193" s="15" t="str">
        <f>IF(Sheet2!G193="","",Sheet2!G193&amp;"''")</f>
        <v/>
      </c>
    </row>
    <row r="194" spans="7:24" x14ac:dyDescent="0.25">
      <c r="G194" s="15" t="str">
        <f>IF(Sheet2!A194="","",Sheet2!A194)</f>
        <v/>
      </c>
      <c r="H194" s="18" t="str">
        <f>IF(Sheet2!O194="","",LEFT(Sheet2!O194, FIND(" ", Sheet2!O194)-1))</f>
        <v/>
      </c>
      <c r="I194" s="15" t="str">
        <f>IF(Sheet2!S194&lt;19,ROUND(Sheet2!I194,2)&amp;"'",IF(Sheet2!S194&lt;25,ROUND(Sheet2!J194,2)&amp;"'",IF(Sheet2!S194&lt;31,ROUND(Sheet2!K194,2)&amp;"'",IF(Sheet2!S194&lt;37,ROUND(Sheet2!L194,2)&amp;"'",""))))</f>
        <v/>
      </c>
      <c r="L194" s="15" t="str">
        <f>IF(Sheet2!D194="","",Sheet2!D194&amp;"''")</f>
        <v/>
      </c>
      <c r="O194" s="16" t="str">
        <f>IF(Sheet2!H194="","",ROUND(Sheet2!H194,2)&amp;"'")</f>
        <v/>
      </c>
      <c r="P194" s="18" t="str">
        <f>IF(Sheet2!E194="","",Sheet2!E194&amp;"''")</f>
        <v/>
      </c>
      <c r="Q194" s="12" t="str" cm="1">
        <f t="array" ref="Q194">IF(P194="","",_xlfn.XLOOKUP(G194,[1]Sheet1!$G:$G,[1]Sheet1!$Q:$S))</f>
        <v/>
      </c>
      <c r="T194" s="15" t="str">
        <f>IF(Sheet2!F194="","",Sheet2!F194&amp;"""")</f>
        <v/>
      </c>
      <c r="U194" s="12" t="str" cm="1">
        <f t="array" ref="U194">IF(T194="","",_xlfn.XLOOKUP(G194,[1]Sheet1!$G:$G,[1]Sheet1!$U:$W))</f>
        <v/>
      </c>
      <c r="X194" s="15" t="str">
        <f>IF(Sheet2!G194="","",Sheet2!G194&amp;"''")</f>
        <v/>
      </c>
    </row>
    <row r="195" spans="7:24" x14ac:dyDescent="0.25">
      <c r="G195" s="15" t="str">
        <f>IF(Sheet2!A195="","",Sheet2!A195)</f>
        <v/>
      </c>
      <c r="H195" s="18" t="str">
        <f>IF(Sheet2!O195="","",LEFT(Sheet2!O195, FIND(" ", Sheet2!O195)-1))</f>
        <v/>
      </c>
      <c r="I195" s="15" t="str">
        <f>IF(Sheet2!S195&lt;19,ROUND(Sheet2!I195,2)&amp;"'",IF(Sheet2!S195&lt;25,ROUND(Sheet2!J195,2)&amp;"'",IF(Sheet2!S195&lt;31,ROUND(Sheet2!K195,2)&amp;"'",IF(Sheet2!S195&lt;37,ROUND(Sheet2!L195,2)&amp;"'",""))))</f>
        <v/>
      </c>
      <c r="L195" s="15" t="str">
        <f>IF(Sheet2!D195="","",Sheet2!D195&amp;"''")</f>
        <v/>
      </c>
      <c r="O195" s="16" t="str">
        <f>IF(Sheet2!H195="","",ROUND(Sheet2!H195,2)&amp;"'")</f>
        <v/>
      </c>
      <c r="P195" s="18" t="str">
        <f>IF(Sheet2!E195="","",Sheet2!E195&amp;"''")</f>
        <v/>
      </c>
      <c r="Q195" s="12" t="str" cm="1">
        <f t="array" ref="Q195">IF(P195="","",_xlfn.XLOOKUP(G195,[1]Sheet1!$G:$G,[1]Sheet1!$Q:$S))</f>
        <v/>
      </c>
      <c r="T195" s="15" t="str">
        <f>IF(Sheet2!F195="","",Sheet2!F195&amp;"""")</f>
        <v/>
      </c>
      <c r="U195" s="12" t="str" cm="1">
        <f t="array" ref="U195">IF(T195="","",_xlfn.XLOOKUP(G195,[1]Sheet1!$G:$G,[1]Sheet1!$U:$W))</f>
        <v/>
      </c>
      <c r="X195" s="15" t="str">
        <f>IF(Sheet2!G195="","",Sheet2!G195&amp;"''")</f>
        <v/>
      </c>
    </row>
    <row r="196" spans="7:24" x14ac:dyDescent="0.25">
      <c r="G196" s="15" t="str">
        <f>IF(Sheet2!A196="","",Sheet2!A196)</f>
        <v/>
      </c>
      <c r="H196" s="18" t="str">
        <f>IF(Sheet2!O196="","",LEFT(Sheet2!O196, FIND(" ", Sheet2!O196)-1))</f>
        <v/>
      </c>
      <c r="I196" s="15" t="str">
        <f>IF(Sheet2!S196&lt;19,ROUND(Sheet2!I196,2)&amp;"'",IF(Sheet2!S196&lt;25,ROUND(Sheet2!J196,2)&amp;"'",IF(Sheet2!S196&lt;31,ROUND(Sheet2!K196,2)&amp;"'",IF(Sheet2!S196&lt;37,ROUND(Sheet2!L196,2)&amp;"'",""))))</f>
        <v/>
      </c>
      <c r="L196" s="15" t="str">
        <f>IF(Sheet2!D196="","",Sheet2!D196&amp;"''")</f>
        <v/>
      </c>
      <c r="O196" s="16" t="str">
        <f>IF(Sheet2!H196="","",ROUND(Sheet2!H196,2)&amp;"'")</f>
        <v/>
      </c>
      <c r="P196" s="18" t="str">
        <f>IF(Sheet2!E196="","",Sheet2!E196&amp;"''")</f>
        <v/>
      </c>
      <c r="Q196" s="12" t="str" cm="1">
        <f t="array" ref="Q196">IF(P196="","",_xlfn.XLOOKUP(G196,[1]Sheet1!$G:$G,[1]Sheet1!$Q:$S))</f>
        <v/>
      </c>
      <c r="T196" s="15" t="str">
        <f>IF(Sheet2!F196="","",Sheet2!F196&amp;"""")</f>
        <v/>
      </c>
      <c r="U196" s="12" t="str" cm="1">
        <f t="array" ref="U196">IF(T196="","",_xlfn.XLOOKUP(G196,[1]Sheet1!$G:$G,[1]Sheet1!$U:$W))</f>
        <v/>
      </c>
      <c r="X196" s="15" t="str">
        <f>IF(Sheet2!G196="","",Sheet2!G196&amp;"''")</f>
        <v/>
      </c>
    </row>
    <row r="197" spans="7:24" x14ac:dyDescent="0.25">
      <c r="G197" s="15" t="str">
        <f>IF(Sheet2!A197="","",Sheet2!A197)</f>
        <v/>
      </c>
      <c r="H197" s="18" t="str">
        <f>IF(Sheet2!O197="","",LEFT(Sheet2!O197, FIND(" ", Sheet2!O197)-1))</f>
        <v/>
      </c>
      <c r="I197" s="15" t="str">
        <f>IF(Sheet2!S197&lt;19,ROUND(Sheet2!I197,2)&amp;"'",IF(Sheet2!S197&lt;25,ROUND(Sheet2!J197,2)&amp;"'",IF(Sheet2!S197&lt;31,ROUND(Sheet2!K197,2)&amp;"'",IF(Sheet2!S197&lt;37,ROUND(Sheet2!L197,2)&amp;"'",""))))</f>
        <v/>
      </c>
      <c r="L197" s="15" t="str">
        <f>IF(Sheet2!D197="","",Sheet2!D197&amp;"''")</f>
        <v/>
      </c>
      <c r="O197" s="16" t="str">
        <f>IF(Sheet2!H197="","",ROUND(Sheet2!H197,2)&amp;"'")</f>
        <v/>
      </c>
      <c r="P197" s="18" t="str">
        <f>IF(Sheet2!E197="","",Sheet2!E197&amp;"''")</f>
        <v/>
      </c>
      <c r="Q197" s="12" t="str" cm="1">
        <f t="array" ref="Q197">IF(P197="","",_xlfn.XLOOKUP(G197,[1]Sheet1!$G:$G,[1]Sheet1!$Q:$S))</f>
        <v/>
      </c>
      <c r="T197" s="15" t="str">
        <f>IF(Sheet2!F197="","",Sheet2!F197&amp;"""")</f>
        <v/>
      </c>
      <c r="U197" s="12" t="str" cm="1">
        <f t="array" ref="U197">IF(T197="","",_xlfn.XLOOKUP(G197,[1]Sheet1!$G:$G,[1]Sheet1!$U:$W))</f>
        <v/>
      </c>
      <c r="X197" s="15" t="str">
        <f>IF(Sheet2!G197="","",Sheet2!G197&amp;"''")</f>
        <v/>
      </c>
    </row>
    <row r="198" spans="7:24" x14ac:dyDescent="0.25">
      <c r="G198" s="15" t="str">
        <f>IF(Sheet2!A198="","",Sheet2!A198)</f>
        <v/>
      </c>
      <c r="H198" s="18" t="str">
        <f>IF(Sheet2!O198="","",LEFT(Sheet2!O198, FIND(" ", Sheet2!O198)-1))</f>
        <v/>
      </c>
      <c r="I198" s="15" t="str">
        <f>IF(Sheet2!S198&lt;19,ROUND(Sheet2!I198,2)&amp;"'",IF(Sheet2!S198&lt;25,ROUND(Sheet2!J198,2)&amp;"'",IF(Sheet2!S198&lt;31,ROUND(Sheet2!K198,2)&amp;"'",IF(Sheet2!S198&lt;37,ROUND(Sheet2!L198,2)&amp;"'",""))))</f>
        <v/>
      </c>
      <c r="L198" s="15" t="str">
        <f>IF(Sheet2!D198="","",Sheet2!D198&amp;"''")</f>
        <v/>
      </c>
      <c r="O198" s="16" t="str">
        <f>IF(Sheet2!H198="","",ROUND(Sheet2!H198,2)&amp;"'")</f>
        <v/>
      </c>
      <c r="P198" s="18" t="str">
        <f>IF(Sheet2!E198="","",Sheet2!E198&amp;"''")</f>
        <v/>
      </c>
      <c r="Q198" s="12" t="str" cm="1">
        <f t="array" ref="Q198">IF(P198="","",_xlfn.XLOOKUP(G198,[1]Sheet1!$G:$G,[1]Sheet1!$Q:$S))</f>
        <v/>
      </c>
      <c r="T198" s="15" t="str">
        <f>IF(Sheet2!F198="","",Sheet2!F198&amp;"""")</f>
        <v/>
      </c>
      <c r="U198" s="12" t="str" cm="1">
        <f t="array" ref="U198">IF(T198="","",_xlfn.XLOOKUP(G198,[1]Sheet1!$G:$G,[1]Sheet1!$U:$W))</f>
        <v/>
      </c>
      <c r="X198" s="15" t="str">
        <f>IF(Sheet2!G198="","",Sheet2!G198&amp;"''")</f>
        <v/>
      </c>
    </row>
    <row r="199" spans="7:24" x14ac:dyDescent="0.25">
      <c r="G199" s="15" t="str">
        <f>IF(Sheet2!A199="","",Sheet2!A199)</f>
        <v/>
      </c>
      <c r="H199" s="18" t="str">
        <f>IF(Sheet2!O199="","",LEFT(Sheet2!O199, FIND(" ", Sheet2!O199)-1))</f>
        <v/>
      </c>
      <c r="I199" s="15" t="str">
        <f>IF(Sheet2!S199&lt;19,ROUND(Sheet2!I199,2)&amp;"'",IF(Sheet2!S199&lt;25,ROUND(Sheet2!J199,2)&amp;"'",IF(Sheet2!S199&lt;31,ROUND(Sheet2!K199,2)&amp;"'",IF(Sheet2!S199&lt;37,ROUND(Sheet2!L199,2)&amp;"'",""))))</f>
        <v/>
      </c>
      <c r="L199" s="15" t="str">
        <f>IF(Sheet2!D199="","",Sheet2!D199&amp;"''")</f>
        <v/>
      </c>
      <c r="O199" s="16" t="str">
        <f>IF(Sheet2!H199="","",ROUND(Sheet2!H199,2)&amp;"'")</f>
        <v/>
      </c>
      <c r="P199" s="18" t="str">
        <f>IF(Sheet2!E199="","",Sheet2!E199&amp;"''")</f>
        <v/>
      </c>
      <c r="Q199" s="12" t="str" cm="1">
        <f t="array" ref="Q199">IF(P199="","",_xlfn.XLOOKUP(G199,[1]Sheet1!$G:$G,[1]Sheet1!$Q:$S))</f>
        <v/>
      </c>
      <c r="T199" s="15" t="str">
        <f>IF(Sheet2!F199="","",Sheet2!F199&amp;"""")</f>
        <v/>
      </c>
      <c r="U199" s="12" t="str" cm="1">
        <f t="array" ref="U199">IF(T199="","",_xlfn.XLOOKUP(G199,[1]Sheet1!$G:$G,[1]Sheet1!$U:$W))</f>
        <v/>
      </c>
      <c r="X199" s="15" t="str">
        <f>IF(Sheet2!G199="","",Sheet2!G199&amp;"''")</f>
        <v/>
      </c>
    </row>
    <row r="200" spans="7:24" x14ac:dyDescent="0.25">
      <c r="G200" s="15" t="str">
        <f>IF(Sheet2!A200="","",Sheet2!A200)</f>
        <v/>
      </c>
      <c r="H200" s="18" t="str">
        <f>IF(Sheet2!O200="","",LEFT(Sheet2!O200, FIND(" ", Sheet2!O200)-1))</f>
        <v/>
      </c>
      <c r="I200" s="15" t="str">
        <f>IF(Sheet2!S200&lt;19,ROUND(Sheet2!I200,2)&amp;"'",IF(Sheet2!S200&lt;25,ROUND(Sheet2!J200,2)&amp;"'",IF(Sheet2!S200&lt;31,ROUND(Sheet2!K200,2)&amp;"'",IF(Sheet2!S200&lt;37,ROUND(Sheet2!L200,2)&amp;"'",""))))</f>
        <v/>
      </c>
      <c r="L200" s="15" t="str">
        <f>IF(Sheet2!D200="","",Sheet2!D200&amp;"''")</f>
        <v/>
      </c>
      <c r="O200" s="16" t="str">
        <f>IF(Sheet2!H200="","",ROUND(Sheet2!H200,2)&amp;"'")</f>
        <v/>
      </c>
      <c r="P200" s="18" t="str">
        <f>IF(Sheet2!E200="","",Sheet2!E200&amp;"''")</f>
        <v/>
      </c>
      <c r="Q200" s="12" t="str" cm="1">
        <f t="array" ref="Q200">IF(P200="","",_xlfn.XLOOKUP(G200,[1]Sheet1!$G:$G,[1]Sheet1!$Q:$S))</f>
        <v/>
      </c>
      <c r="T200" s="15" t="str">
        <f>IF(Sheet2!F200="","",Sheet2!F200&amp;"""")</f>
        <v/>
      </c>
      <c r="U200" s="12" t="str" cm="1">
        <f t="array" ref="U200">IF(T200="","",_xlfn.XLOOKUP(G200,[1]Sheet1!$G:$G,[1]Sheet1!$U:$W))</f>
        <v/>
      </c>
      <c r="X200" s="15" t="str">
        <f>IF(Sheet2!G200="","",Sheet2!G200&amp;"''")</f>
        <v/>
      </c>
    </row>
    <row r="201" spans="7:24" x14ac:dyDescent="0.25">
      <c r="G201" s="15" t="str">
        <f>IF(Sheet2!A201="","",Sheet2!A201)</f>
        <v/>
      </c>
      <c r="H201" s="18" t="str">
        <f>IF(Sheet2!O201="","",LEFT(Sheet2!O201, FIND(" ", Sheet2!O201)-1))</f>
        <v/>
      </c>
      <c r="I201" s="15" t="str">
        <f>IF(Sheet2!S201&lt;19,ROUND(Sheet2!I201,2)&amp;"'",IF(Sheet2!S201&lt;25,ROUND(Sheet2!J201,2)&amp;"'",IF(Sheet2!S201&lt;31,ROUND(Sheet2!K201,2)&amp;"'",IF(Sheet2!S201&lt;37,ROUND(Sheet2!L201,2)&amp;"'",""))))</f>
        <v/>
      </c>
      <c r="L201" s="15" t="str">
        <f>IF(Sheet2!D201="","",Sheet2!D201&amp;"''")</f>
        <v/>
      </c>
      <c r="O201" s="16" t="str">
        <f>IF(Sheet2!H201="","",ROUND(Sheet2!H201,2)&amp;"'")</f>
        <v/>
      </c>
      <c r="P201" s="18" t="str">
        <f>IF(Sheet2!E201="","",Sheet2!E201&amp;"''")</f>
        <v/>
      </c>
      <c r="Q201" s="12" t="str" cm="1">
        <f t="array" ref="Q201">IF(P201="","",_xlfn.XLOOKUP(G201,[1]Sheet1!$G:$G,[1]Sheet1!$Q:$S))</f>
        <v/>
      </c>
      <c r="T201" s="15" t="str">
        <f>IF(Sheet2!F201="","",Sheet2!F201&amp;"""")</f>
        <v/>
      </c>
      <c r="U201" s="12" t="str" cm="1">
        <f t="array" ref="U201">IF(T201="","",_xlfn.XLOOKUP(G201,[1]Sheet1!$G:$G,[1]Sheet1!$U:$W))</f>
        <v/>
      </c>
      <c r="X201" s="15" t="str">
        <f>IF(Sheet2!G201="","",Sheet2!G201&amp;"''")</f>
        <v/>
      </c>
    </row>
    <row r="202" spans="7:24" x14ac:dyDescent="0.25">
      <c r="G202" s="15" t="str">
        <f>IF(Sheet2!A202="","",Sheet2!A202)</f>
        <v/>
      </c>
      <c r="H202" s="18" t="str">
        <f>IF(Sheet2!O202="","",LEFT(Sheet2!O202, FIND(" ", Sheet2!O202)-1))</f>
        <v/>
      </c>
      <c r="I202" s="15" t="str">
        <f>IF(Sheet2!S202&lt;19,ROUND(Sheet2!I202,2)&amp;"'",IF(Sheet2!S202&lt;25,ROUND(Sheet2!J202,2)&amp;"'",IF(Sheet2!S202&lt;31,ROUND(Sheet2!K202,2)&amp;"'",IF(Sheet2!S202&lt;37,ROUND(Sheet2!L202,2)&amp;"'",""))))</f>
        <v/>
      </c>
      <c r="L202" s="15" t="str">
        <f>IF(Sheet2!D202="","",Sheet2!D202&amp;"''")</f>
        <v/>
      </c>
      <c r="O202" s="16" t="str">
        <f>IF(Sheet2!H202="","",ROUND(Sheet2!H202,2)&amp;"'")</f>
        <v/>
      </c>
      <c r="P202" s="18" t="str">
        <f>IF(Sheet2!E202="","",Sheet2!E202&amp;"''")</f>
        <v/>
      </c>
      <c r="Q202" s="12" t="str" cm="1">
        <f t="array" ref="Q202">IF(P202="","",_xlfn.XLOOKUP(G202,[1]Sheet1!$G:$G,[1]Sheet1!$Q:$S))</f>
        <v/>
      </c>
      <c r="T202" s="15" t="str">
        <f>IF(Sheet2!F202="","",Sheet2!F202&amp;"""")</f>
        <v/>
      </c>
      <c r="U202" s="12" t="str" cm="1">
        <f t="array" ref="U202">IF(T202="","",_xlfn.XLOOKUP(G202,[1]Sheet1!$G:$G,[1]Sheet1!$U:$W))</f>
        <v/>
      </c>
      <c r="X202" s="15" t="str">
        <f>IF(Sheet2!G202="","",Sheet2!G202&amp;"''")</f>
        <v/>
      </c>
    </row>
    <row r="203" spans="7:24" x14ac:dyDescent="0.25">
      <c r="G203" s="15" t="str">
        <f>IF(Sheet2!A203="","",Sheet2!A203)</f>
        <v/>
      </c>
      <c r="H203" s="18" t="str">
        <f>IF(Sheet2!O203="","",LEFT(Sheet2!O203, FIND(" ", Sheet2!O203)-1))</f>
        <v/>
      </c>
      <c r="I203" s="15" t="str">
        <f>IF(Sheet2!S203&lt;19,ROUND(Sheet2!I203,2)&amp;"'",IF(Sheet2!S203&lt;25,ROUND(Sheet2!J203,2)&amp;"'",IF(Sheet2!S203&lt;31,ROUND(Sheet2!K203,2)&amp;"'",IF(Sheet2!S203&lt;37,ROUND(Sheet2!L203,2)&amp;"'",""))))</f>
        <v/>
      </c>
      <c r="L203" s="15" t="str">
        <f>IF(Sheet2!D203="","",Sheet2!D203&amp;"''")</f>
        <v/>
      </c>
      <c r="O203" s="16" t="str">
        <f>IF(Sheet2!H203="","",ROUND(Sheet2!H203,2)&amp;"'")</f>
        <v/>
      </c>
      <c r="P203" s="18" t="str">
        <f>IF(Sheet2!E203="","",Sheet2!E203&amp;"''")</f>
        <v/>
      </c>
      <c r="Q203" s="12" t="str" cm="1">
        <f t="array" ref="Q203">IF(P203="","",_xlfn.XLOOKUP(G203,[1]Sheet1!$G:$G,[1]Sheet1!$Q:$S))</f>
        <v/>
      </c>
      <c r="T203" s="15" t="str">
        <f>IF(Sheet2!F203="","",Sheet2!F203&amp;"""")</f>
        <v/>
      </c>
      <c r="U203" s="12" t="str" cm="1">
        <f t="array" ref="U203">IF(T203="","",_xlfn.XLOOKUP(G203,[1]Sheet1!$G:$G,[1]Sheet1!$U:$W))</f>
        <v/>
      </c>
      <c r="X203" s="15" t="str">
        <f>IF(Sheet2!G203="","",Sheet2!G203&amp;"''")</f>
        <v/>
      </c>
    </row>
    <row r="204" spans="7:24" x14ac:dyDescent="0.25">
      <c r="G204" s="15" t="str">
        <f>IF(Sheet2!A204="","",Sheet2!A204)</f>
        <v/>
      </c>
      <c r="H204" s="18" t="str">
        <f>IF(Sheet2!O204="","",LEFT(Sheet2!O204, FIND(" ", Sheet2!O204)-1))</f>
        <v/>
      </c>
      <c r="I204" s="15" t="str">
        <f>IF(Sheet2!S204&lt;19,ROUND(Sheet2!I204,2)&amp;"'",IF(Sheet2!S204&lt;25,ROUND(Sheet2!J204,2)&amp;"'",IF(Sheet2!S204&lt;31,ROUND(Sheet2!K204,2)&amp;"'",IF(Sheet2!S204&lt;37,ROUND(Sheet2!L204,2)&amp;"'",""))))</f>
        <v/>
      </c>
      <c r="L204" s="15" t="str">
        <f>IF(Sheet2!D204="","",Sheet2!D204&amp;"''")</f>
        <v/>
      </c>
      <c r="O204" s="16" t="str">
        <f>IF(Sheet2!H204="","",ROUND(Sheet2!H204,2)&amp;"'")</f>
        <v/>
      </c>
      <c r="P204" s="18" t="str">
        <f>IF(Sheet2!E204="","",Sheet2!E204&amp;"''")</f>
        <v/>
      </c>
      <c r="Q204" s="12" t="str" cm="1">
        <f t="array" ref="Q204">IF(P204="","",_xlfn.XLOOKUP(G204,[1]Sheet1!$G:$G,[1]Sheet1!$Q:$S))</f>
        <v/>
      </c>
      <c r="T204" s="15" t="str">
        <f>IF(Sheet2!F204="","",Sheet2!F204&amp;"""")</f>
        <v/>
      </c>
      <c r="U204" s="12" t="str" cm="1">
        <f t="array" ref="U204">IF(T204="","",_xlfn.XLOOKUP(G204,[1]Sheet1!$G:$G,[1]Sheet1!$U:$W))</f>
        <v/>
      </c>
      <c r="X204" s="15" t="str">
        <f>IF(Sheet2!G204="","",Sheet2!G204&amp;"''")</f>
        <v/>
      </c>
    </row>
    <row r="205" spans="7:24" x14ac:dyDescent="0.25">
      <c r="G205" s="15" t="str">
        <f>IF(Sheet2!A205="","",Sheet2!A205)</f>
        <v/>
      </c>
      <c r="H205" s="18" t="str">
        <f>IF(Sheet2!O205="","",LEFT(Sheet2!O205, FIND(" ", Sheet2!O205)-1))</f>
        <v/>
      </c>
      <c r="I205" s="15" t="str">
        <f>IF(Sheet2!S205&lt;19,ROUND(Sheet2!I205,2)&amp;"'",IF(Sheet2!S205&lt;25,ROUND(Sheet2!J205,2)&amp;"'",IF(Sheet2!S205&lt;31,ROUND(Sheet2!K205,2)&amp;"'",IF(Sheet2!S205&lt;37,ROUND(Sheet2!L205,2)&amp;"'",""))))</f>
        <v/>
      </c>
      <c r="L205" s="15" t="str">
        <f>IF(Sheet2!D205="","",Sheet2!D205&amp;"''")</f>
        <v/>
      </c>
      <c r="O205" s="16" t="str">
        <f>IF(Sheet2!H205="","",ROUND(Sheet2!H205,2)&amp;"'")</f>
        <v/>
      </c>
      <c r="P205" s="18" t="str">
        <f>IF(Sheet2!E205="","",Sheet2!E205&amp;"''")</f>
        <v/>
      </c>
      <c r="Q205" s="12" t="str" cm="1">
        <f t="array" ref="Q205">IF(P205="","",_xlfn.XLOOKUP(G205,[1]Sheet1!$G:$G,[1]Sheet1!$Q:$S))</f>
        <v/>
      </c>
      <c r="T205" s="15" t="str">
        <f>IF(Sheet2!F205="","",Sheet2!F205&amp;"""")</f>
        <v/>
      </c>
      <c r="U205" s="12" t="str" cm="1">
        <f t="array" ref="U205">IF(T205="","",_xlfn.XLOOKUP(G205,[1]Sheet1!$G:$G,[1]Sheet1!$U:$W))</f>
        <v/>
      </c>
      <c r="X205" s="15" t="str">
        <f>IF(Sheet2!G205="","",Sheet2!G205&amp;"''")</f>
        <v/>
      </c>
    </row>
    <row r="206" spans="7:24" x14ac:dyDescent="0.25">
      <c r="G206" s="15" t="str">
        <f>IF(Sheet2!A206="","",Sheet2!A206)</f>
        <v/>
      </c>
      <c r="H206" s="18" t="str">
        <f>IF(Sheet2!O206="","",LEFT(Sheet2!O206, FIND(" ", Sheet2!O206)-1))</f>
        <v/>
      </c>
      <c r="I206" s="15" t="str">
        <f>IF(Sheet2!S206&lt;19,ROUND(Sheet2!I206,2)&amp;"'",IF(Sheet2!S206&lt;25,ROUND(Sheet2!J206,2)&amp;"'",IF(Sheet2!S206&lt;31,ROUND(Sheet2!K206,2)&amp;"'",IF(Sheet2!S206&lt;37,ROUND(Sheet2!L206,2)&amp;"'",""))))</f>
        <v/>
      </c>
      <c r="L206" s="15" t="str">
        <f>IF(Sheet2!D206="","",Sheet2!D206&amp;"''")</f>
        <v/>
      </c>
      <c r="O206" s="16" t="str">
        <f>IF(Sheet2!H206="","",ROUND(Sheet2!H206,2)&amp;"'")</f>
        <v/>
      </c>
      <c r="P206" s="18" t="str">
        <f>IF(Sheet2!E206="","",Sheet2!E206&amp;"''")</f>
        <v/>
      </c>
      <c r="Q206" s="12" t="str" cm="1">
        <f t="array" ref="Q206">IF(P206="","",_xlfn.XLOOKUP(G206,[1]Sheet1!$G:$G,[1]Sheet1!$Q:$S))</f>
        <v/>
      </c>
      <c r="T206" s="15" t="str">
        <f>IF(Sheet2!F206="","",Sheet2!F206&amp;"""")</f>
        <v/>
      </c>
      <c r="U206" s="12" t="str" cm="1">
        <f t="array" ref="U206">IF(T206="","",_xlfn.XLOOKUP(G206,[1]Sheet1!$G:$G,[1]Sheet1!$U:$W))</f>
        <v/>
      </c>
      <c r="X206" s="15" t="str">
        <f>IF(Sheet2!G206="","",Sheet2!G206&amp;"''")</f>
        <v/>
      </c>
    </row>
    <row r="207" spans="7:24" x14ac:dyDescent="0.25">
      <c r="G207" s="15" t="str">
        <f>IF(Sheet2!A207="","",Sheet2!A207)</f>
        <v/>
      </c>
      <c r="H207" s="18" t="str">
        <f>IF(Sheet2!O207="","",LEFT(Sheet2!O207, FIND(" ", Sheet2!O207)-1))</f>
        <v/>
      </c>
      <c r="I207" s="15" t="str">
        <f>IF(Sheet2!S207&lt;19,ROUND(Sheet2!I207,2)&amp;"'",IF(Sheet2!S207&lt;25,ROUND(Sheet2!J207,2)&amp;"'",IF(Sheet2!S207&lt;31,ROUND(Sheet2!K207,2)&amp;"'",IF(Sheet2!S207&lt;37,ROUND(Sheet2!L207,2)&amp;"'",""))))</f>
        <v/>
      </c>
      <c r="L207" s="15" t="str">
        <f>IF(Sheet2!D207="","",Sheet2!D207&amp;"''")</f>
        <v/>
      </c>
      <c r="O207" s="16" t="str">
        <f>IF(Sheet2!H207="","",ROUND(Sheet2!H207,2)&amp;"'")</f>
        <v/>
      </c>
      <c r="P207" s="18" t="str">
        <f>IF(Sheet2!E207="","",Sheet2!E207&amp;"''")</f>
        <v/>
      </c>
      <c r="Q207" s="12" t="str" cm="1">
        <f t="array" ref="Q207">IF(P207="","",_xlfn.XLOOKUP(G207,[1]Sheet1!$G:$G,[1]Sheet1!$Q:$S))</f>
        <v/>
      </c>
      <c r="T207" s="15" t="str">
        <f>IF(Sheet2!F207="","",Sheet2!F207&amp;"""")</f>
        <v/>
      </c>
      <c r="U207" s="12" t="str" cm="1">
        <f t="array" ref="U207">IF(T207="","",_xlfn.XLOOKUP(G207,[1]Sheet1!$G:$G,[1]Sheet1!$U:$W))</f>
        <v/>
      </c>
      <c r="X207" s="15" t="str">
        <f>IF(Sheet2!G207="","",Sheet2!G207&amp;"''")</f>
        <v/>
      </c>
    </row>
    <row r="208" spans="7:24" x14ac:dyDescent="0.25">
      <c r="G208" s="15" t="str">
        <f>IF(Sheet2!A208="","",Sheet2!A208)</f>
        <v/>
      </c>
      <c r="H208" s="18" t="str">
        <f>IF(Sheet2!O208="","",LEFT(Sheet2!O208, FIND(" ", Sheet2!O208)-1))</f>
        <v/>
      </c>
      <c r="I208" s="15" t="str">
        <f>IF(Sheet2!S208&lt;19,ROUND(Sheet2!I208,2)&amp;"'",IF(Sheet2!S208&lt;25,ROUND(Sheet2!J208,2)&amp;"'",IF(Sheet2!S208&lt;31,ROUND(Sheet2!K208,2)&amp;"'",IF(Sheet2!S208&lt;37,ROUND(Sheet2!L208,2)&amp;"'",""))))</f>
        <v/>
      </c>
      <c r="L208" s="15" t="str">
        <f>IF(Sheet2!D208="","",Sheet2!D208&amp;"''")</f>
        <v/>
      </c>
      <c r="O208" s="16" t="str">
        <f>IF(Sheet2!H208="","",ROUND(Sheet2!H208,2)&amp;"'")</f>
        <v/>
      </c>
      <c r="P208" s="18" t="str">
        <f>IF(Sheet2!E208="","",Sheet2!E208&amp;"''")</f>
        <v/>
      </c>
      <c r="Q208" s="12" t="str" cm="1">
        <f t="array" ref="Q208">IF(P208="","",_xlfn.XLOOKUP(G208,[1]Sheet1!$G:$G,[1]Sheet1!$Q:$S))</f>
        <v/>
      </c>
      <c r="T208" s="15" t="str">
        <f>IF(Sheet2!F208="","",Sheet2!F208&amp;"""")</f>
        <v/>
      </c>
      <c r="U208" s="12" t="str" cm="1">
        <f t="array" ref="U208">IF(T208="","",_xlfn.XLOOKUP(G208,[1]Sheet1!$G:$G,[1]Sheet1!$U:$W))</f>
        <v/>
      </c>
      <c r="X208" s="15" t="str">
        <f>IF(Sheet2!G208="","",Sheet2!G208&amp;"''")</f>
        <v/>
      </c>
    </row>
    <row r="209" spans="7:24" x14ac:dyDescent="0.25">
      <c r="G209" s="15" t="str">
        <f>IF(Sheet2!A209="","",Sheet2!A209)</f>
        <v/>
      </c>
      <c r="H209" s="18" t="str">
        <f>IF(Sheet2!O209="","",LEFT(Sheet2!O209, FIND(" ", Sheet2!O209)-1))</f>
        <v/>
      </c>
      <c r="I209" s="15" t="str">
        <f>IF(Sheet2!S209&lt;19,ROUND(Sheet2!I209,2)&amp;"'",IF(Sheet2!S209&lt;25,ROUND(Sheet2!J209,2)&amp;"'",IF(Sheet2!S209&lt;31,ROUND(Sheet2!K209,2)&amp;"'",IF(Sheet2!S209&lt;37,ROUND(Sheet2!L209,2)&amp;"'",""))))</f>
        <v/>
      </c>
      <c r="L209" s="15" t="str">
        <f>IF(Sheet2!D209="","",Sheet2!D209&amp;"''")</f>
        <v/>
      </c>
      <c r="O209" s="16" t="str">
        <f>IF(Sheet2!H209="","",ROUND(Sheet2!H209,2)&amp;"'")</f>
        <v/>
      </c>
      <c r="P209" s="18" t="str">
        <f>IF(Sheet2!E209="","",Sheet2!E209&amp;"''")</f>
        <v/>
      </c>
      <c r="Q209" s="12" t="str" cm="1">
        <f t="array" ref="Q209">IF(P209="","",_xlfn.XLOOKUP(G209,[1]Sheet1!$G:$G,[1]Sheet1!$Q:$S))</f>
        <v/>
      </c>
      <c r="T209" s="15" t="str">
        <f>IF(Sheet2!F209="","",Sheet2!F209&amp;"""")</f>
        <v/>
      </c>
      <c r="U209" s="12" t="str" cm="1">
        <f t="array" ref="U209">IF(T209="","",_xlfn.XLOOKUP(G209,[1]Sheet1!$G:$G,[1]Sheet1!$U:$W))</f>
        <v/>
      </c>
      <c r="X209" s="15" t="str">
        <f>IF(Sheet2!G209="","",Sheet2!G209&amp;"''")</f>
        <v/>
      </c>
    </row>
    <row r="210" spans="7:24" x14ac:dyDescent="0.25">
      <c r="G210" s="15" t="str">
        <f>IF(Sheet2!A210="","",Sheet2!A210)</f>
        <v/>
      </c>
      <c r="H210" s="18" t="str">
        <f>IF(Sheet2!O210="","",LEFT(Sheet2!O210, FIND(" ", Sheet2!O210)-1))</f>
        <v/>
      </c>
      <c r="I210" s="15" t="str">
        <f>IF(Sheet2!S210&lt;19,ROUND(Sheet2!I210,2)&amp;"'",IF(Sheet2!S210&lt;25,ROUND(Sheet2!J210,2)&amp;"'",IF(Sheet2!S210&lt;31,ROUND(Sheet2!K210,2)&amp;"'",IF(Sheet2!S210&lt;37,ROUND(Sheet2!L210,2)&amp;"'",""))))</f>
        <v/>
      </c>
      <c r="L210" s="15" t="str">
        <f>IF(Sheet2!D210="","",Sheet2!D210&amp;"''")</f>
        <v/>
      </c>
      <c r="O210" s="16" t="str">
        <f>IF(Sheet2!H210="","",ROUND(Sheet2!H210,2)&amp;"'")</f>
        <v/>
      </c>
      <c r="P210" s="18" t="str">
        <f>IF(Sheet2!E210="","",Sheet2!E210&amp;"''")</f>
        <v/>
      </c>
      <c r="Q210" s="12" t="str" cm="1">
        <f t="array" ref="Q210">IF(P210="","",_xlfn.XLOOKUP(G210,[1]Sheet1!$G:$G,[1]Sheet1!$Q:$S))</f>
        <v/>
      </c>
      <c r="T210" s="15" t="str">
        <f>IF(Sheet2!F210="","",Sheet2!F210&amp;"""")</f>
        <v/>
      </c>
      <c r="U210" s="12" t="str" cm="1">
        <f t="array" ref="U210">IF(T210="","",_xlfn.XLOOKUP(G210,[1]Sheet1!$G:$G,[1]Sheet1!$U:$W))</f>
        <v/>
      </c>
      <c r="X210" s="15" t="str">
        <f>IF(Sheet2!G210="","",Sheet2!G210&amp;"''")</f>
        <v/>
      </c>
    </row>
    <row r="211" spans="7:24" x14ac:dyDescent="0.25">
      <c r="G211" s="15" t="str">
        <f>IF(Sheet2!A211="","",Sheet2!A211)</f>
        <v/>
      </c>
      <c r="H211" s="18" t="str">
        <f>IF(Sheet2!O211="","",LEFT(Sheet2!O211, FIND(" ", Sheet2!O211)-1))</f>
        <v/>
      </c>
      <c r="I211" s="15" t="str">
        <f>IF(Sheet2!S211&lt;19,ROUND(Sheet2!I211,2)&amp;"'",IF(Sheet2!S211&lt;25,ROUND(Sheet2!J211,2)&amp;"'",IF(Sheet2!S211&lt;31,ROUND(Sheet2!K211,2)&amp;"'",IF(Sheet2!S211&lt;37,ROUND(Sheet2!L211,2)&amp;"'",""))))</f>
        <v/>
      </c>
      <c r="L211" s="15" t="str">
        <f>IF(Sheet2!D211="","",Sheet2!D211&amp;"''")</f>
        <v/>
      </c>
      <c r="O211" s="16" t="str">
        <f>IF(Sheet2!H211="","",ROUND(Sheet2!H211,2)&amp;"'")</f>
        <v/>
      </c>
      <c r="P211" s="18" t="str">
        <f>IF(Sheet2!E211="","",Sheet2!E211&amp;"''")</f>
        <v/>
      </c>
      <c r="Q211" s="12" t="str" cm="1">
        <f t="array" ref="Q211">IF(P211="","",_xlfn.XLOOKUP(G211,[1]Sheet1!$G:$G,[1]Sheet1!$Q:$S))</f>
        <v/>
      </c>
      <c r="T211" s="15" t="str">
        <f>IF(Sheet2!F211="","",Sheet2!F211&amp;"""")</f>
        <v/>
      </c>
      <c r="U211" s="12" t="str" cm="1">
        <f t="array" ref="U211">IF(T211="","",_xlfn.XLOOKUP(G211,[1]Sheet1!$G:$G,[1]Sheet1!$U:$W))</f>
        <v/>
      </c>
      <c r="X211" s="15" t="str">
        <f>IF(Sheet2!G211="","",Sheet2!G211&amp;"''")</f>
        <v/>
      </c>
    </row>
    <row r="212" spans="7:24" x14ac:dyDescent="0.25">
      <c r="G212" s="15" t="str">
        <f>IF(Sheet2!A212="","",Sheet2!A212)</f>
        <v/>
      </c>
      <c r="H212" s="18" t="str">
        <f>IF(Sheet2!O212="","",LEFT(Sheet2!O212, FIND(" ", Sheet2!O212)-1))</f>
        <v/>
      </c>
      <c r="I212" s="15" t="str">
        <f>IF(Sheet2!S212&lt;19,ROUND(Sheet2!I212,2)&amp;"'",IF(Sheet2!S212&lt;25,ROUND(Sheet2!J212,2)&amp;"'",IF(Sheet2!S212&lt;31,ROUND(Sheet2!K212,2)&amp;"'",IF(Sheet2!S212&lt;37,ROUND(Sheet2!L212,2)&amp;"'",""))))</f>
        <v/>
      </c>
      <c r="L212" s="15" t="str">
        <f>IF(Sheet2!D212="","",Sheet2!D212&amp;"''")</f>
        <v/>
      </c>
      <c r="O212" s="16" t="str">
        <f>IF(Sheet2!H212="","",ROUND(Sheet2!H212,2)&amp;"'")</f>
        <v/>
      </c>
      <c r="P212" s="18" t="str">
        <f>IF(Sheet2!E212="","",Sheet2!E212&amp;"''")</f>
        <v/>
      </c>
      <c r="Q212" s="12" t="str" cm="1">
        <f t="array" ref="Q212">IF(P212="","",_xlfn.XLOOKUP(G212,[1]Sheet1!$G:$G,[1]Sheet1!$Q:$S))</f>
        <v/>
      </c>
      <c r="T212" s="15" t="str">
        <f>IF(Sheet2!F212="","",Sheet2!F212&amp;"""")</f>
        <v/>
      </c>
      <c r="U212" s="12" t="str" cm="1">
        <f t="array" ref="U212">IF(T212="","",_xlfn.XLOOKUP(G212,[1]Sheet1!$G:$G,[1]Sheet1!$U:$W))</f>
        <v/>
      </c>
      <c r="X212" s="15" t="str">
        <f>IF(Sheet2!G212="","",Sheet2!G212&amp;"''")</f>
        <v/>
      </c>
    </row>
    <row r="213" spans="7:24" x14ac:dyDescent="0.25">
      <c r="G213" s="15" t="str">
        <f>IF(Sheet2!A213="","",Sheet2!A213)</f>
        <v/>
      </c>
      <c r="H213" s="18" t="str">
        <f>IF(Sheet2!O213="","",LEFT(Sheet2!O213, FIND(" ", Sheet2!O213)-1))</f>
        <v/>
      </c>
      <c r="I213" s="15" t="str">
        <f>IF(Sheet2!S213&lt;19,ROUND(Sheet2!I213,2)&amp;"'",IF(Sheet2!S213&lt;25,ROUND(Sheet2!J213,2)&amp;"'",IF(Sheet2!S213&lt;31,ROUND(Sheet2!K213,2)&amp;"'",IF(Sheet2!S213&lt;37,ROUND(Sheet2!L213,2)&amp;"'",""))))</f>
        <v/>
      </c>
      <c r="L213" s="15" t="str">
        <f>IF(Sheet2!D213="","",Sheet2!D213&amp;"''")</f>
        <v/>
      </c>
      <c r="O213" s="16" t="str">
        <f>IF(Sheet2!H213="","",ROUND(Sheet2!H213,2)&amp;"'")</f>
        <v/>
      </c>
      <c r="P213" s="18" t="str">
        <f>IF(Sheet2!E213="","",Sheet2!E213&amp;"''")</f>
        <v/>
      </c>
      <c r="Q213" s="12" t="str" cm="1">
        <f t="array" ref="Q213">IF(P213="","",_xlfn.XLOOKUP(G213,[1]Sheet1!$G:$G,[1]Sheet1!$Q:$S))</f>
        <v/>
      </c>
      <c r="T213" s="15" t="str">
        <f>IF(Sheet2!F213="","",Sheet2!F213&amp;"""")</f>
        <v/>
      </c>
      <c r="U213" s="12" t="str" cm="1">
        <f t="array" ref="U213">IF(T213="","",_xlfn.XLOOKUP(G213,[1]Sheet1!$G:$G,[1]Sheet1!$U:$W))</f>
        <v/>
      </c>
      <c r="X213" s="15" t="str">
        <f>IF(Sheet2!G213="","",Sheet2!G213&amp;"''")</f>
        <v/>
      </c>
    </row>
    <row r="214" spans="7:24" x14ac:dyDescent="0.25">
      <c r="G214" s="15" t="str">
        <f>IF(Sheet2!A214="","",Sheet2!A214)</f>
        <v/>
      </c>
      <c r="H214" s="18" t="str">
        <f>IF(Sheet2!O214="","",LEFT(Sheet2!O214, FIND(" ", Sheet2!O214)-1))</f>
        <v/>
      </c>
      <c r="I214" s="15" t="str">
        <f>IF(Sheet2!S214&lt;19,ROUND(Sheet2!I214,2)&amp;"'",IF(Sheet2!S214&lt;25,ROUND(Sheet2!J214,2)&amp;"'",IF(Sheet2!S214&lt;31,ROUND(Sheet2!K214,2)&amp;"'",IF(Sheet2!S214&lt;37,ROUND(Sheet2!L214,2)&amp;"'",""))))</f>
        <v/>
      </c>
      <c r="L214" s="15" t="str">
        <f>IF(Sheet2!D214="","",Sheet2!D214&amp;"''")</f>
        <v/>
      </c>
      <c r="O214" s="16" t="str">
        <f>IF(Sheet2!H214="","",ROUND(Sheet2!H214,2)&amp;"'")</f>
        <v/>
      </c>
      <c r="P214" s="18" t="str">
        <f>IF(Sheet2!E214="","",Sheet2!E214&amp;"''")</f>
        <v/>
      </c>
      <c r="Q214" s="12" t="str" cm="1">
        <f t="array" ref="Q214">IF(P214="","",_xlfn.XLOOKUP(G214,[1]Sheet1!$G:$G,[1]Sheet1!$Q:$S))</f>
        <v/>
      </c>
      <c r="T214" s="15" t="str">
        <f>IF(Sheet2!F214="","",Sheet2!F214&amp;"""")</f>
        <v/>
      </c>
      <c r="U214" s="12" t="str" cm="1">
        <f t="array" ref="U214">IF(T214="","",_xlfn.XLOOKUP(G214,[1]Sheet1!$G:$G,[1]Sheet1!$U:$W))</f>
        <v/>
      </c>
      <c r="X214" s="15" t="str">
        <f>IF(Sheet2!G214="","",Sheet2!G214&amp;"''")</f>
        <v/>
      </c>
    </row>
    <row r="215" spans="7:24" x14ac:dyDescent="0.25">
      <c r="G215" s="15" t="str">
        <f>IF(Sheet2!A215="","",Sheet2!A215)</f>
        <v/>
      </c>
      <c r="H215" s="18" t="str">
        <f>IF(Sheet2!O215="","",LEFT(Sheet2!O215, FIND(" ", Sheet2!O215)-1))</f>
        <v/>
      </c>
      <c r="I215" s="15" t="str">
        <f>IF(Sheet2!S215&lt;19,ROUND(Sheet2!I215,2)&amp;"'",IF(Sheet2!S215&lt;25,ROUND(Sheet2!J215,2)&amp;"'",IF(Sheet2!S215&lt;31,ROUND(Sheet2!K215,2)&amp;"'",IF(Sheet2!S215&lt;37,ROUND(Sheet2!L215,2)&amp;"'",""))))</f>
        <v/>
      </c>
      <c r="L215" s="15" t="str">
        <f>IF(Sheet2!D215="","",Sheet2!D215&amp;"''")</f>
        <v/>
      </c>
      <c r="O215" s="16" t="str">
        <f>IF(Sheet2!H215="","",ROUND(Sheet2!H215,2)&amp;"'")</f>
        <v/>
      </c>
      <c r="P215" s="18" t="str">
        <f>IF(Sheet2!E215="","",Sheet2!E215&amp;"''")</f>
        <v/>
      </c>
      <c r="Q215" s="12" t="str" cm="1">
        <f t="array" ref="Q215">IF(P215="","",_xlfn.XLOOKUP(G215,[1]Sheet1!$G:$G,[1]Sheet1!$Q:$S))</f>
        <v/>
      </c>
      <c r="T215" s="15" t="str">
        <f>IF(Sheet2!F215="","",Sheet2!F215&amp;"""")</f>
        <v/>
      </c>
      <c r="U215" s="12" t="str" cm="1">
        <f t="array" ref="U215">IF(T215="","",_xlfn.XLOOKUP(G215,[1]Sheet1!$G:$G,[1]Sheet1!$U:$W))</f>
        <v/>
      </c>
      <c r="X215" s="15" t="str">
        <f>IF(Sheet2!G215="","",Sheet2!G215&amp;"''")</f>
        <v/>
      </c>
    </row>
    <row r="216" spans="7:24" x14ac:dyDescent="0.25">
      <c r="G216" s="15" t="str">
        <f>IF(Sheet2!A216="","",Sheet2!A216)</f>
        <v/>
      </c>
      <c r="H216" s="18" t="str">
        <f>IF(Sheet2!O216="","",LEFT(Sheet2!O216, FIND(" ", Sheet2!O216)-1))</f>
        <v/>
      </c>
      <c r="I216" s="15" t="str">
        <f>IF(Sheet2!S216&lt;19,ROUND(Sheet2!I216,2)&amp;"'",IF(Sheet2!S216&lt;25,ROUND(Sheet2!J216,2)&amp;"'",IF(Sheet2!S216&lt;31,ROUND(Sheet2!K216,2)&amp;"'",IF(Sheet2!S216&lt;37,ROUND(Sheet2!L216,2)&amp;"'",""))))</f>
        <v/>
      </c>
      <c r="L216" s="15" t="str">
        <f>IF(Sheet2!D216="","",Sheet2!D216&amp;"''")</f>
        <v/>
      </c>
      <c r="O216" s="16" t="str">
        <f>IF(Sheet2!H216="","",ROUND(Sheet2!H216,2)&amp;"'")</f>
        <v/>
      </c>
      <c r="P216" s="18" t="str">
        <f>IF(Sheet2!E216="","",Sheet2!E216&amp;"''")</f>
        <v/>
      </c>
      <c r="Q216" s="12" t="str" cm="1">
        <f t="array" ref="Q216">IF(P216="","",_xlfn.XLOOKUP(G216,[1]Sheet1!$G:$G,[1]Sheet1!$Q:$S))</f>
        <v/>
      </c>
      <c r="T216" s="15" t="str">
        <f>IF(Sheet2!F216="","",Sheet2!F216&amp;"""")</f>
        <v/>
      </c>
      <c r="U216" s="12" t="str" cm="1">
        <f t="array" ref="U216">IF(T216="","",_xlfn.XLOOKUP(G216,[1]Sheet1!$G:$G,[1]Sheet1!$U:$W))</f>
        <v/>
      </c>
      <c r="X216" s="15" t="str">
        <f>IF(Sheet2!G216="","",Sheet2!G216&amp;"''")</f>
        <v/>
      </c>
    </row>
    <row r="217" spans="7:24" x14ac:dyDescent="0.25">
      <c r="G217" s="15" t="str">
        <f>IF(Sheet2!A217="","",Sheet2!A217)</f>
        <v/>
      </c>
      <c r="H217" s="18" t="str">
        <f>IF(Sheet2!O217="","",LEFT(Sheet2!O217, FIND(" ", Sheet2!O217)-1))</f>
        <v/>
      </c>
      <c r="I217" s="15" t="str">
        <f>IF(Sheet2!S217&lt;19,ROUND(Sheet2!I217,2)&amp;"'",IF(Sheet2!S217&lt;25,ROUND(Sheet2!J217,2)&amp;"'",IF(Sheet2!S217&lt;31,ROUND(Sheet2!K217,2)&amp;"'",IF(Sheet2!S217&lt;37,ROUND(Sheet2!L217,2)&amp;"'",""))))</f>
        <v/>
      </c>
      <c r="L217" s="15" t="str">
        <f>IF(Sheet2!D217="","",Sheet2!D217&amp;"''")</f>
        <v/>
      </c>
      <c r="O217" s="16" t="str">
        <f>IF(Sheet2!H217="","",ROUND(Sheet2!H217,2)&amp;"'")</f>
        <v/>
      </c>
      <c r="P217" s="18" t="str">
        <f>IF(Sheet2!E217="","",Sheet2!E217&amp;"''")</f>
        <v/>
      </c>
      <c r="Q217" s="12" t="str" cm="1">
        <f t="array" ref="Q217">IF(P217="","",_xlfn.XLOOKUP(G217,[1]Sheet1!$G:$G,[1]Sheet1!$Q:$S))</f>
        <v/>
      </c>
      <c r="T217" s="15" t="str">
        <f>IF(Sheet2!F217="","",Sheet2!F217&amp;"""")</f>
        <v/>
      </c>
      <c r="U217" s="12" t="str" cm="1">
        <f t="array" ref="U217">IF(T217="","",_xlfn.XLOOKUP(G217,[1]Sheet1!$G:$G,[1]Sheet1!$U:$W))</f>
        <v/>
      </c>
      <c r="X217" s="15" t="str">
        <f>IF(Sheet2!G217="","",Sheet2!G217&amp;"''")</f>
        <v/>
      </c>
    </row>
    <row r="218" spans="7:24" x14ac:dyDescent="0.25">
      <c r="G218" s="15" t="str">
        <f>IF(Sheet2!A218="","",Sheet2!A218)</f>
        <v/>
      </c>
      <c r="H218" s="18" t="str">
        <f>IF(Sheet2!O218="","",LEFT(Sheet2!O218, FIND(" ", Sheet2!O218)-1))</f>
        <v/>
      </c>
      <c r="I218" s="15" t="str">
        <f>IF(Sheet2!S218&lt;19,ROUND(Sheet2!I218,2)&amp;"'",IF(Sheet2!S218&lt;25,ROUND(Sheet2!J218,2)&amp;"'",IF(Sheet2!S218&lt;31,ROUND(Sheet2!K218,2)&amp;"'",IF(Sheet2!S218&lt;37,ROUND(Sheet2!L218,2)&amp;"'",""))))</f>
        <v/>
      </c>
      <c r="L218" s="15" t="str">
        <f>IF(Sheet2!D218="","",Sheet2!D218&amp;"''")</f>
        <v/>
      </c>
      <c r="O218" s="16" t="str">
        <f>IF(Sheet2!H218="","",ROUND(Sheet2!H218,2)&amp;"'")</f>
        <v/>
      </c>
      <c r="P218" s="18" t="str">
        <f>IF(Sheet2!E218="","",Sheet2!E218&amp;"''")</f>
        <v/>
      </c>
      <c r="Q218" s="12" t="str" cm="1">
        <f t="array" ref="Q218">IF(P218="","",_xlfn.XLOOKUP(G218,[1]Sheet1!$G:$G,[1]Sheet1!$Q:$S))</f>
        <v/>
      </c>
      <c r="T218" s="15" t="str">
        <f>IF(Sheet2!F218="","",Sheet2!F218&amp;"""")</f>
        <v/>
      </c>
      <c r="U218" s="12" t="str" cm="1">
        <f t="array" ref="U218">IF(T218="","",_xlfn.XLOOKUP(G218,[1]Sheet1!$G:$G,[1]Sheet1!$U:$W))</f>
        <v/>
      </c>
      <c r="X218" s="15" t="str">
        <f>IF(Sheet2!G218="","",Sheet2!G218&amp;"''")</f>
        <v/>
      </c>
    </row>
    <row r="219" spans="7:24" x14ac:dyDescent="0.25">
      <c r="G219" s="15" t="str">
        <f>IF(Sheet2!A219="","",Sheet2!A219)</f>
        <v/>
      </c>
      <c r="H219" s="18" t="str">
        <f>IF(Sheet2!O219="","",LEFT(Sheet2!O219, FIND(" ", Sheet2!O219)-1))</f>
        <v/>
      </c>
      <c r="I219" s="15" t="str">
        <f>IF(Sheet2!S219&lt;19,ROUND(Sheet2!I219,2)&amp;"'",IF(Sheet2!S219&lt;25,ROUND(Sheet2!J219,2)&amp;"'",IF(Sheet2!S219&lt;31,ROUND(Sheet2!K219,2)&amp;"'",IF(Sheet2!S219&lt;37,ROUND(Sheet2!L219,2)&amp;"'",""))))</f>
        <v/>
      </c>
      <c r="L219" s="15" t="str">
        <f>IF(Sheet2!D219="","",Sheet2!D219&amp;"''")</f>
        <v/>
      </c>
      <c r="O219" s="16" t="str">
        <f>IF(Sheet2!H219="","",ROUND(Sheet2!H219,2)&amp;"'")</f>
        <v/>
      </c>
      <c r="P219" s="18" t="str">
        <f>IF(Sheet2!E219="","",Sheet2!E219&amp;"''")</f>
        <v/>
      </c>
      <c r="Q219" s="12" t="str" cm="1">
        <f t="array" ref="Q219">IF(P219="","",_xlfn.XLOOKUP(G219,[1]Sheet1!$G:$G,[1]Sheet1!$Q:$S))</f>
        <v/>
      </c>
      <c r="T219" s="15" t="str">
        <f>IF(Sheet2!F219="","",Sheet2!F219&amp;"""")</f>
        <v/>
      </c>
      <c r="U219" s="12" t="str" cm="1">
        <f t="array" ref="U219">IF(T219="","",_xlfn.XLOOKUP(G219,[1]Sheet1!$G:$G,[1]Sheet1!$U:$W))</f>
        <v/>
      </c>
      <c r="X219" s="15" t="str">
        <f>IF(Sheet2!G219="","",Sheet2!G219&amp;"''")</f>
        <v/>
      </c>
    </row>
    <row r="220" spans="7:24" x14ac:dyDescent="0.25">
      <c r="G220" s="15" t="str">
        <f>IF(Sheet2!A220="","",Sheet2!A220)</f>
        <v/>
      </c>
      <c r="H220" s="18" t="str">
        <f>IF(Sheet2!O220="","",LEFT(Sheet2!O220, FIND(" ", Sheet2!O220)-1))</f>
        <v/>
      </c>
      <c r="I220" s="15" t="str">
        <f>IF(Sheet2!S220&lt;19,ROUND(Sheet2!I220,2)&amp;"'",IF(Sheet2!S220&lt;25,ROUND(Sheet2!J220,2)&amp;"'",IF(Sheet2!S220&lt;31,ROUND(Sheet2!K220,2)&amp;"'",IF(Sheet2!S220&lt;37,ROUND(Sheet2!L220,2)&amp;"'",""))))</f>
        <v/>
      </c>
      <c r="L220" s="15" t="str">
        <f>IF(Sheet2!D220="","",Sheet2!D220&amp;"''")</f>
        <v/>
      </c>
      <c r="O220" s="16" t="str">
        <f>IF(Sheet2!H220="","",ROUND(Sheet2!H220,2)&amp;"'")</f>
        <v/>
      </c>
      <c r="P220" s="18" t="str">
        <f>IF(Sheet2!E220="","",Sheet2!E220&amp;"''")</f>
        <v/>
      </c>
      <c r="Q220" s="12" t="str" cm="1">
        <f t="array" ref="Q220">IF(P220="","",_xlfn.XLOOKUP(G220,[1]Sheet1!$G:$G,[1]Sheet1!$Q:$S))</f>
        <v/>
      </c>
      <c r="T220" s="15" t="str">
        <f>IF(Sheet2!F220="","",Sheet2!F220&amp;"""")</f>
        <v/>
      </c>
      <c r="U220" s="12" t="str" cm="1">
        <f t="array" ref="U220">IF(T220="","",_xlfn.XLOOKUP(G220,[1]Sheet1!$G:$G,[1]Sheet1!$U:$W))</f>
        <v/>
      </c>
      <c r="X220" s="15" t="str">
        <f>IF(Sheet2!G220="","",Sheet2!G220&amp;"''")</f>
        <v/>
      </c>
    </row>
    <row r="221" spans="7:24" x14ac:dyDescent="0.25">
      <c r="G221" s="15" t="str">
        <f>IF(Sheet2!A221="","",Sheet2!A221)</f>
        <v/>
      </c>
      <c r="H221" s="18" t="str">
        <f>IF(Sheet2!O221="","",LEFT(Sheet2!O221, FIND(" ", Sheet2!O221)-1))</f>
        <v/>
      </c>
      <c r="I221" s="15" t="str">
        <f>IF(Sheet2!S221&lt;19,ROUND(Sheet2!I221,2)&amp;"'",IF(Sheet2!S221&lt;25,ROUND(Sheet2!J221,2)&amp;"'",IF(Sheet2!S221&lt;31,ROUND(Sheet2!K221,2)&amp;"'",IF(Sheet2!S221&lt;37,ROUND(Sheet2!L221,2)&amp;"'",""))))</f>
        <v/>
      </c>
      <c r="L221" s="15" t="str">
        <f>IF(Sheet2!D221="","",Sheet2!D221&amp;"''")</f>
        <v/>
      </c>
      <c r="O221" s="16" t="str">
        <f>IF(Sheet2!H221="","",ROUND(Sheet2!H221,2)&amp;"'")</f>
        <v/>
      </c>
      <c r="P221" s="18" t="str">
        <f>IF(Sheet2!E221="","",Sheet2!E221&amp;"''")</f>
        <v/>
      </c>
      <c r="Q221" s="12" t="str" cm="1">
        <f t="array" ref="Q221">IF(P221="","",_xlfn.XLOOKUP(G221,[1]Sheet1!$G:$G,[1]Sheet1!$Q:$S))</f>
        <v/>
      </c>
      <c r="T221" s="15" t="str">
        <f>IF(Sheet2!F221="","",Sheet2!F221&amp;"""")</f>
        <v/>
      </c>
      <c r="U221" s="12" t="str" cm="1">
        <f t="array" ref="U221">IF(T221="","",_xlfn.XLOOKUP(G221,[1]Sheet1!$G:$G,[1]Sheet1!$U:$W))</f>
        <v/>
      </c>
      <c r="X221" s="15" t="str">
        <f>IF(Sheet2!G221="","",Sheet2!G221&amp;"''")</f>
        <v/>
      </c>
    </row>
    <row r="222" spans="7:24" x14ac:dyDescent="0.25">
      <c r="G222" s="15" t="str">
        <f>IF(Sheet2!A222="","",Sheet2!A222)</f>
        <v/>
      </c>
      <c r="H222" s="18" t="str">
        <f>IF(Sheet2!O222="","",LEFT(Sheet2!O222, FIND(" ", Sheet2!O222)-1))</f>
        <v/>
      </c>
      <c r="I222" s="15" t="str">
        <f>IF(Sheet2!S222&lt;19,ROUND(Sheet2!I222,2)&amp;"'",IF(Sheet2!S222&lt;25,ROUND(Sheet2!J222,2)&amp;"'",IF(Sheet2!S222&lt;31,ROUND(Sheet2!K222,2)&amp;"'",IF(Sheet2!S222&lt;37,ROUND(Sheet2!L222,2)&amp;"'",""))))</f>
        <v/>
      </c>
      <c r="L222" s="15" t="str">
        <f>IF(Sheet2!D222="","",Sheet2!D222&amp;"''")</f>
        <v/>
      </c>
      <c r="O222" s="16" t="str">
        <f>IF(Sheet2!H222="","",ROUND(Sheet2!H222,2)&amp;"'")</f>
        <v/>
      </c>
      <c r="P222" s="18" t="str">
        <f>IF(Sheet2!E222="","",Sheet2!E222&amp;"''")</f>
        <v/>
      </c>
      <c r="Q222" s="12" t="str" cm="1">
        <f t="array" ref="Q222">IF(P222="","",_xlfn.XLOOKUP(G222,[1]Sheet1!$G:$G,[1]Sheet1!$Q:$S))</f>
        <v/>
      </c>
      <c r="T222" s="15" t="str">
        <f>IF(Sheet2!F222="","",Sheet2!F222&amp;"""")</f>
        <v/>
      </c>
      <c r="U222" s="12" t="str" cm="1">
        <f t="array" ref="U222">IF(T222="","",_xlfn.XLOOKUP(G222,[1]Sheet1!$G:$G,[1]Sheet1!$U:$W))</f>
        <v/>
      </c>
      <c r="X222" s="15" t="str">
        <f>IF(Sheet2!G222="","",Sheet2!G222&amp;"''")</f>
        <v/>
      </c>
    </row>
    <row r="223" spans="7:24" x14ac:dyDescent="0.25">
      <c r="G223" s="15" t="str">
        <f>IF(Sheet2!A223="","",Sheet2!A223)</f>
        <v/>
      </c>
      <c r="H223" s="18" t="str">
        <f>IF(Sheet2!O223="","",LEFT(Sheet2!O223, FIND(" ", Sheet2!O223)-1))</f>
        <v/>
      </c>
      <c r="I223" s="15" t="str">
        <f>IF(Sheet2!S223&lt;19,ROUND(Sheet2!I223,2)&amp;"'",IF(Sheet2!S223&lt;25,ROUND(Sheet2!J223,2)&amp;"'",IF(Sheet2!S223&lt;31,ROUND(Sheet2!K223,2)&amp;"'",IF(Sheet2!S223&lt;37,ROUND(Sheet2!L223,2)&amp;"'",""))))</f>
        <v/>
      </c>
      <c r="L223" s="15" t="str">
        <f>IF(Sheet2!D223="","",Sheet2!D223&amp;"''")</f>
        <v/>
      </c>
      <c r="O223" s="16" t="str">
        <f>IF(Sheet2!H223="","",ROUND(Sheet2!H223,2)&amp;"'")</f>
        <v/>
      </c>
      <c r="P223" s="18" t="str">
        <f>IF(Sheet2!E223="","",Sheet2!E223&amp;"''")</f>
        <v/>
      </c>
      <c r="Q223" s="12" t="str" cm="1">
        <f t="array" ref="Q223">IF(P223="","",_xlfn.XLOOKUP(G223,[1]Sheet1!$G:$G,[1]Sheet1!$Q:$S))</f>
        <v/>
      </c>
      <c r="T223" s="15" t="str">
        <f>IF(Sheet2!F223="","",Sheet2!F223&amp;"""")</f>
        <v/>
      </c>
      <c r="U223" s="12" t="str" cm="1">
        <f t="array" ref="U223">IF(T223="","",_xlfn.XLOOKUP(G223,[1]Sheet1!$G:$G,[1]Sheet1!$U:$W))</f>
        <v/>
      </c>
      <c r="X223" s="15" t="str">
        <f>IF(Sheet2!G223="","",Sheet2!G223&amp;"''")</f>
        <v/>
      </c>
    </row>
    <row r="224" spans="7:24" x14ac:dyDescent="0.25">
      <c r="G224" s="15" t="str">
        <f>IF(Sheet2!A224="","",Sheet2!A224)</f>
        <v/>
      </c>
      <c r="H224" s="18" t="str">
        <f>IF(Sheet2!O224="","",LEFT(Sheet2!O224, FIND(" ", Sheet2!O224)-1))</f>
        <v/>
      </c>
      <c r="I224" s="15" t="str">
        <f>IF(Sheet2!S224&lt;19,ROUND(Sheet2!I224,2)&amp;"'",IF(Sheet2!S224&lt;25,ROUND(Sheet2!J224,2)&amp;"'",IF(Sheet2!S224&lt;31,ROUND(Sheet2!K224,2)&amp;"'",IF(Sheet2!S224&lt;37,ROUND(Sheet2!L224,2)&amp;"'",""))))</f>
        <v/>
      </c>
      <c r="L224" s="15" t="str">
        <f>IF(Sheet2!D224="","",Sheet2!D224&amp;"''")</f>
        <v/>
      </c>
      <c r="O224" s="16" t="str">
        <f>IF(Sheet2!H224="","",ROUND(Sheet2!H224,2)&amp;"'")</f>
        <v/>
      </c>
      <c r="P224" s="18" t="str">
        <f>IF(Sheet2!E224="","",Sheet2!E224&amp;"''")</f>
        <v/>
      </c>
      <c r="Q224" s="12" t="str" cm="1">
        <f t="array" ref="Q224">IF(P224="","",_xlfn.XLOOKUP(G224,[1]Sheet1!$G:$G,[1]Sheet1!$Q:$S))</f>
        <v/>
      </c>
      <c r="T224" s="15" t="str">
        <f>IF(Sheet2!F224="","",Sheet2!F224&amp;"""")</f>
        <v/>
      </c>
      <c r="U224" s="12" t="str" cm="1">
        <f t="array" ref="U224">IF(T224="","",_xlfn.XLOOKUP(G224,[1]Sheet1!$G:$G,[1]Sheet1!$U:$W))</f>
        <v/>
      </c>
      <c r="X224" s="15" t="str">
        <f>IF(Sheet2!G224="","",Sheet2!G224&amp;"''")</f>
        <v/>
      </c>
    </row>
    <row r="225" spans="7:24" x14ac:dyDescent="0.25">
      <c r="G225" s="15" t="str">
        <f>IF(Sheet2!A225="","",Sheet2!A225)</f>
        <v/>
      </c>
      <c r="H225" s="18" t="str">
        <f>IF(Sheet2!O225="","",LEFT(Sheet2!O225, FIND(" ", Sheet2!O225)-1))</f>
        <v/>
      </c>
      <c r="I225" s="15" t="str">
        <f>IF(Sheet2!S225&lt;19,ROUND(Sheet2!I225,2)&amp;"'",IF(Sheet2!S225&lt;25,ROUND(Sheet2!J225,2)&amp;"'",IF(Sheet2!S225&lt;31,ROUND(Sheet2!K225,2)&amp;"'",IF(Sheet2!S225&lt;37,ROUND(Sheet2!L225,2)&amp;"'",""))))</f>
        <v/>
      </c>
      <c r="L225" s="15" t="str">
        <f>IF(Sheet2!D225="","",Sheet2!D225&amp;"''")</f>
        <v/>
      </c>
      <c r="O225" s="16" t="str">
        <f>IF(Sheet2!H225="","",ROUND(Sheet2!H225,2)&amp;"'")</f>
        <v/>
      </c>
      <c r="P225" s="18" t="str">
        <f>IF(Sheet2!E225="","",Sheet2!E225&amp;"''")</f>
        <v/>
      </c>
      <c r="Q225" s="12" t="str" cm="1">
        <f t="array" ref="Q225">IF(P225="","",_xlfn.XLOOKUP(G225,[1]Sheet1!$G:$G,[1]Sheet1!$Q:$S))</f>
        <v/>
      </c>
      <c r="T225" s="15" t="str">
        <f>IF(Sheet2!F225="","",Sheet2!F225&amp;"""")</f>
        <v/>
      </c>
      <c r="U225" s="12" t="str" cm="1">
        <f t="array" ref="U225">IF(T225="","",_xlfn.XLOOKUP(G225,[1]Sheet1!$G:$G,[1]Sheet1!$U:$W))</f>
        <v/>
      </c>
      <c r="X225" s="15" t="str">
        <f>IF(Sheet2!G225="","",Sheet2!G225&amp;"''")</f>
        <v/>
      </c>
    </row>
    <row r="226" spans="7:24" x14ac:dyDescent="0.25">
      <c r="G226" s="15" t="str">
        <f>IF(Sheet2!A226="","",Sheet2!A226)</f>
        <v/>
      </c>
      <c r="H226" s="18" t="str">
        <f>IF(Sheet2!O226="","",LEFT(Sheet2!O226, FIND(" ", Sheet2!O226)-1))</f>
        <v/>
      </c>
      <c r="I226" s="15" t="str">
        <f>IF(Sheet2!S226&lt;19,ROUND(Sheet2!I226,2)&amp;"'",IF(Sheet2!S226&lt;25,ROUND(Sheet2!J226,2)&amp;"'",IF(Sheet2!S226&lt;31,ROUND(Sheet2!K226,2)&amp;"'",IF(Sheet2!S226&lt;37,ROUND(Sheet2!L226,2)&amp;"'",""))))</f>
        <v/>
      </c>
      <c r="L226" s="15" t="str">
        <f>IF(Sheet2!D226="","",Sheet2!D226&amp;"''")</f>
        <v/>
      </c>
      <c r="O226" s="16" t="str">
        <f>IF(Sheet2!H226="","",ROUND(Sheet2!H226,2)&amp;"'")</f>
        <v/>
      </c>
      <c r="P226" s="18" t="str">
        <f>IF(Sheet2!E226="","",Sheet2!E226&amp;"''")</f>
        <v/>
      </c>
      <c r="Q226" s="12" t="str" cm="1">
        <f t="array" ref="Q226">IF(P226="","",_xlfn.XLOOKUP(G226,[1]Sheet1!$G:$G,[1]Sheet1!$Q:$S))</f>
        <v/>
      </c>
      <c r="T226" s="15" t="str">
        <f>IF(Sheet2!F226="","",Sheet2!F226&amp;"""")</f>
        <v/>
      </c>
      <c r="U226" s="12" t="str" cm="1">
        <f t="array" ref="U226">IF(T226="","",_xlfn.XLOOKUP(G226,[1]Sheet1!$G:$G,[1]Sheet1!$U:$W))</f>
        <v/>
      </c>
      <c r="X226" s="15" t="str">
        <f>IF(Sheet2!G226="","",Sheet2!G226&amp;"''")</f>
        <v/>
      </c>
    </row>
    <row r="227" spans="7:24" x14ac:dyDescent="0.25">
      <c r="G227" s="15" t="str">
        <f>IF(Sheet2!A227="","",Sheet2!A227)</f>
        <v/>
      </c>
      <c r="H227" s="18" t="str">
        <f>IF(Sheet2!O227="","",LEFT(Sheet2!O227, FIND(" ", Sheet2!O227)-1))</f>
        <v/>
      </c>
      <c r="I227" s="15" t="str">
        <f>IF(Sheet2!S227&lt;19,ROUND(Sheet2!I227,2)&amp;"'",IF(Sheet2!S227&lt;25,ROUND(Sheet2!J227,2)&amp;"'",IF(Sheet2!S227&lt;31,ROUND(Sheet2!K227,2)&amp;"'",IF(Sheet2!S227&lt;37,ROUND(Sheet2!L227,2)&amp;"'",""))))</f>
        <v/>
      </c>
      <c r="L227" s="15" t="str">
        <f>IF(Sheet2!D227="","",Sheet2!D227&amp;"''")</f>
        <v/>
      </c>
      <c r="O227" s="16" t="str">
        <f>IF(Sheet2!H227="","",ROUND(Sheet2!H227,2)&amp;"'")</f>
        <v/>
      </c>
      <c r="P227" s="18" t="str">
        <f>IF(Sheet2!E227="","",Sheet2!E227&amp;"''")</f>
        <v/>
      </c>
      <c r="Q227" s="12" t="str" cm="1">
        <f t="array" ref="Q227">IF(P227="","",_xlfn.XLOOKUP(G227,[1]Sheet1!$G:$G,[1]Sheet1!$Q:$S))</f>
        <v/>
      </c>
      <c r="T227" s="15" t="str">
        <f>IF(Sheet2!F227="","",Sheet2!F227&amp;"""")</f>
        <v/>
      </c>
      <c r="U227" s="12" t="str" cm="1">
        <f t="array" ref="U227">IF(T227="","",_xlfn.XLOOKUP(G227,[1]Sheet1!$G:$G,[1]Sheet1!$U:$W))</f>
        <v/>
      </c>
      <c r="X227" s="15" t="str">
        <f>IF(Sheet2!G227="","",Sheet2!G227&amp;"''")</f>
        <v/>
      </c>
    </row>
    <row r="228" spans="7:24" x14ac:dyDescent="0.25">
      <c r="G228" s="15" t="str">
        <f>IF(Sheet2!A228="","",Sheet2!A228)</f>
        <v/>
      </c>
      <c r="H228" s="18" t="str">
        <f>IF(Sheet2!O228="","",LEFT(Sheet2!O228, FIND(" ", Sheet2!O228)-1))</f>
        <v/>
      </c>
      <c r="I228" s="15" t="str">
        <f>IF(Sheet2!S228&lt;19,ROUND(Sheet2!I228,2)&amp;"'",IF(Sheet2!S228&lt;25,ROUND(Sheet2!J228,2)&amp;"'",IF(Sheet2!S228&lt;31,ROUND(Sheet2!K228,2)&amp;"'",IF(Sheet2!S228&lt;37,ROUND(Sheet2!L228,2)&amp;"'",""))))</f>
        <v/>
      </c>
      <c r="L228" s="15" t="str">
        <f>IF(Sheet2!D228="","",Sheet2!D228&amp;"''")</f>
        <v/>
      </c>
      <c r="O228" s="16" t="str">
        <f>IF(Sheet2!H228="","",ROUND(Sheet2!H228,2)&amp;"'")</f>
        <v/>
      </c>
      <c r="P228" s="18" t="str">
        <f>IF(Sheet2!E228="","",Sheet2!E228&amp;"''")</f>
        <v/>
      </c>
      <c r="Q228" s="12" t="str" cm="1">
        <f t="array" ref="Q228">IF(P228="","",_xlfn.XLOOKUP(G228,[1]Sheet1!$G:$G,[1]Sheet1!$Q:$S))</f>
        <v/>
      </c>
      <c r="T228" s="15" t="str">
        <f>IF(Sheet2!F228="","",Sheet2!F228&amp;"""")</f>
        <v/>
      </c>
      <c r="U228" s="12" t="str" cm="1">
        <f t="array" ref="U228">IF(T228="","",_xlfn.XLOOKUP(G228,[1]Sheet1!$G:$G,[1]Sheet1!$U:$W))</f>
        <v/>
      </c>
      <c r="X228" s="15" t="str">
        <f>IF(Sheet2!G228="","",Sheet2!G228&amp;"''")</f>
        <v/>
      </c>
    </row>
    <row r="229" spans="7:24" x14ac:dyDescent="0.25">
      <c r="G229" s="15" t="str">
        <f>IF(Sheet2!A229="","",Sheet2!A229)</f>
        <v/>
      </c>
      <c r="H229" s="18" t="str">
        <f>IF(Sheet2!O229="","",LEFT(Sheet2!O229, FIND(" ", Sheet2!O229)-1))</f>
        <v/>
      </c>
      <c r="I229" s="15" t="str">
        <f>IF(Sheet2!S229&lt;19,ROUND(Sheet2!I229,2)&amp;"'",IF(Sheet2!S229&lt;25,ROUND(Sheet2!J229,2)&amp;"'",IF(Sheet2!S229&lt;31,ROUND(Sheet2!K229,2)&amp;"'",IF(Sheet2!S229&lt;37,ROUND(Sheet2!L229,2)&amp;"'",""))))</f>
        <v/>
      </c>
      <c r="L229" s="15" t="str">
        <f>IF(Sheet2!D229="","",Sheet2!D229&amp;"''")</f>
        <v/>
      </c>
      <c r="O229" s="16" t="str">
        <f>IF(Sheet2!H229="","",ROUND(Sheet2!H229,2)&amp;"'")</f>
        <v/>
      </c>
      <c r="P229" s="18" t="str">
        <f>IF(Sheet2!E229="","",Sheet2!E229&amp;"''")</f>
        <v/>
      </c>
      <c r="Q229" s="12" t="str" cm="1">
        <f t="array" ref="Q229">IF(P229="","",_xlfn.XLOOKUP(G229,[1]Sheet1!$G:$G,[1]Sheet1!$Q:$S))</f>
        <v/>
      </c>
      <c r="T229" s="15" t="str">
        <f>IF(Sheet2!F229="","",Sheet2!F229&amp;"""")</f>
        <v/>
      </c>
      <c r="U229" s="12" t="str" cm="1">
        <f t="array" ref="U229">IF(T229="","",_xlfn.XLOOKUP(G229,[1]Sheet1!$G:$G,[1]Sheet1!$U:$W))</f>
        <v/>
      </c>
      <c r="X229" s="15" t="str">
        <f>IF(Sheet2!G229="","",Sheet2!G229&amp;"''")</f>
        <v/>
      </c>
    </row>
    <row r="230" spans="7:24" x14ac:dyDescent="0.25">
      <c r="G230" s="15" t="str">
        <f>IF(Sheet2!A230="","",Sheet2!A230)</f>
        <v/>
      </c>
      <c r="H230" s="18" t="str">
        <f>IF(Sheet2!O230="","",LEFT(Sheet2!O230, FIND(" ", Sheet2!O230)-1))</f>
        <v/>
      </c>
      <c r="I230" s="15" t="str">
        <f>IF(Sheet2!S230&lt;19,ROUND(Sheet2!I230,2)&amp;"'",IF(Sheet2!S230&lt;25,ROUND(Sheet2!J230,2)&amp;"'",IF(Sheet2!S230&lt;31,ROUND(Sheet2!K230,2)&amp;"'",IF(Sheet2!S230&lt;37,ROUND(Sheet2!L230,2)&amp;"'",""))))</f>
        <v/>
      </c>
      <c r="L230" s="15" t="str">
        <f>IF(Sheet2!D230="","",Sheet2!D230&amp;"''")</f>
        <v/>
      </c>
      <c r="O230" s="16" t="str">
        <f>IF(Sheet2!H230="","",ROUND(Sheet2!H230,2)&amp;"'")</f>
        <v/>
      </c>
      <c r="P230" s="18" t="str">
        <f>IF(Sheet2!E230="","",Sheet2!E230&amp;"''")</f>
        <v/>
      </c>
      <c r="Q230" s="12" t="str" cm="1">
        <f t="array" ref="Q230">IF(P230="","",_xlfn.XLOOKUP(G230,[1]Sheet1!$G:$G,[1]Sheet1!$Q:$S))</f>
        <v/>
      </c>
      <c r="T230" s="15" t="str">
        <f>IF(Sheet2!F230="","",Sheet2!F230&amp;"""")</f>
        <v/>
      </c>
      <c r="U230" s="12" t="str" cm="1">
        <f t="array" ref="U230">IF(T230="","",_xlfn.XLOOKUP(G230,[1]Sheet1!$G:$G,[1]Sheet1!$U:$W))</f>
        <v/>
      </c>
      <c r="X230" s="15" t="str">
        <f>IF(Sheet2!G230="","",Sheet2!G230&amp;"''")</f>
        <v/>
      </c>
    </row>
    <row r="231" spans="7:24" x14ac:dyDescent="0.25">
      <c r="G231" s="15" t="str">
        <f>IF(Sheet2!A231="","",Sheet2!A231)</f>
        <v/>
      </c>
      <c r="H231" s="18" t="str">
        <f>IF(Sheet2!O231="","",LEFT(Sheet2!O231, FIND(" ", Sheet2!O231)-1))</f>
        <v/>
      </c>
      <c r="I231" s="15" t="str">
        <f>IF(Sheet2!S231&lt;19,ROUND(Sheet2!I231,2)&amp;"'",IF(Sheet2!S231&lt;25,ROUND(Sheet2!J231,2)&amp;"'",IF(Sheet2!S231&lt;31,ROUND(Sheet2!K231,2)&amp;"'",IF(Sheet2!S231&lt;37,ROUND(Sheet2!L231,2)&amp;"'",""))))</f>
        <v/>
      </c>
      <c r="L231" s="15" t="str">
        <f>IF(Sheet2!D231="","",Sheet2!D231&amp;"''")</f>
        <v/>
      </c>
      <c r="O231" s="16" t="str">
        <f>IF(Sheet2!H231="","",ROUND(Sheet2!H231,2)&amp;"'")</f>
        <v/>
      </c>
      <c r="P231" s="18" t="str">
        <f>IF(Sheet2!E231="","",Sheet2!E231&amp;"''")</f>
        <v/>
      </c>
      <c r="Q231" s="12" t="str" cm="1">
        <f t="array" ref="Q231">IF(P231="","",_xlfn.XLOOKUP(G231,[1]Sheet1!$G:$G,[1]Sheet1!$Q:$S))</f>
        <v/>
      </c>
      <c r="T231" s="15" t="str">
        <f>IF(Sheet2!F231="","",Sheet2!F231&amp;"""")</f>
        <v/>
      </c>
      <c r="U231" s="12" t="str" cm="1">
        <f t="array" ref="U231">IF(T231="","",_xlfn.XLOOKUP(G231,[1]Sheet1!$G:$G,[1]Sheet1!$U:$W))</f>
        <v/>
      </c>
      <c r="X231" s="15" t="str">
        <f>IF(Sheet2!G231="","",Sheet2!G231&amp;"''")</f>
        <v/>
      </c>
    </row>
    <row r="232" spans="7:24" x14ac:dyDescent="0.25">
      <c r="G232" s="15" t="str">
        <f>IF(Sheet2!A232="","",Sheet2!A232)</f>
        <v/>
      </c>
      <c r="H232" s="18" t="str">
        <f>IF(Sheet2!O232="","",LEFT(Sheet2!O232, FIND(" ", Sheet2!O232)-1))</f>
        <v/>
      </c>
      <c r="I232" s="15" t="str">
        <f>IF(Sheet2!S232&lt;19,ROUND(Sheet2!I232,2)&amp;"'",IF(Sheet2!S232&lt;25,ROUND(Sheet2!J232,2)&amp;"'",IF(Sheet2!S232&lt;31,ROUND(Sheet2!K232,2)&amp;"'",IF(Sheet2!S232&lt;37,ROUND(Sheet2!L232,2)&amp;"'",""))))</f>
        <v/>
      </c>
      <c r="L232" s="15" t="str">
        <f>IF(Sheet2!D232="","",Sheet2!D232&amp;"''")</f>
        <v/>
      </c>
      <c r="O232" s="16" t="str">
        <f>IF(Sheet2!H232="","",ROUND(Sheet2!H232,2)&amp;"'")</f>
        <v/>
      </c>
      <c r="P232" s="18" t="str">
        <f>IF(Sheet2!E232="","",Sheet2!E232&amp;"''")</f>
        <v/>
      </c>
      <c r="Q232" s="12" t="str" cm="1">
        <f t="array" ref="Q232">IF(P232="","",_xlfn.XLOOKUP(G232,[1]Sheet1!$G:$G,[1]Sheet1!$Q:$S))</f>
        <v/>
      </c>
      <c r="T232" s="15" t="str">
        <f>IF(Sheet2!F232="","",Sheet2!F232&amp;"""")</f>
        <v/>
      </c>
      <c r="U232" s="12" t="str" cm="1">
        <f t="array" ref="U232">IF(T232="","",_xlfn.XLOOKUP(G232,[1]Sheet1!$G:$G,[1]Sheet1!$U:$W))</f>
        <v/>
      </c>
      <c r="X232" s="15" t="str">
        <f>IF(Sheet2!G232="","",Sheet2!G232&amp;"''")</f>
        <v/>
      </c>
    </row>
    <row r="233" spans="7:24" x14ac:dyDescent="0.25">
      <c r="G233" s="15" t="str">
        <f>IF(Sheet2!A233="","",Sheet2!A233)</f>
        <v/>
      </c>
      <c r="H233" s="18" t="str">
        <f>IF(Sheet2!O233="","",LEFT(Sheet2!O233, FIND(" ", Sheet2!O233)-1))</f>
        <v/>
      </c>
      <c r="I233" s="15" t="str">
        <f>IF(Sheet2!S233&lt;19,ROUND(Sheet2!I233,2)&amp;"'",IF(Sheet2!S233&lt;25,ROUND(Sheet2!J233,2)&amp;"'",IF(Sheet2!S233&lt;31,ROUND(Sheet2!K233,2)&amp;"'",IF(Sheet2!S233&lt;37,ROUND(Sheet2!L233,2)&amp;"'",""))))</f>
        <v/>
      </c>
      <c r="L233" s="15" t="str">
        <f>IF(Sheet2!D233="","",Sheet2!D233&amp;"''")</f>
        <v/>
      </c>
      <c r="O233" s="16" t="str">
        <f>IF(Sheet2!H233="","",ROUND(Sheet2!H233,2)&amp;"'")</f>
        <v/>
      </c>
      <c r="P233" s="18" t="str">
        <f>IF(Sheet2!E233="","",Sheet2!E233&amp;"''")</f>
        <v/>
      </c>
      <c r="Q233" s="12" t="str" cm="1">
        <f t="array" ref="Q233">IF(P233="","",_xlfn.XLOOKUP(G233,[1]Sheet1!$G:$G,[1]Sheet1!$Q:$S))</f>
        <v/>
      </c>
      <c r="T233" s="15" t="str">
        <f>IF(Sheet2!F233="","",Sheet2!F233&amp;"""")</f>
        <v/>
      </c>
      <c r="U233" s="12" t="str" cm="1">
        <f t="array" ref="U233">IF(T233="","",_xlfn.XLOOKUP(G233,[1]Sheet1!$G:$G,[1]Sheet1!$U:$W))</f>
        <v/>
      </c>
      <c r="X233" s="15" t="str">
        <f>IF(Sheet2!G233="","",Sheet2!G233&amp;"''")</f>
        <v/>
      </c>
    </row>
    <row r="234" spans="7:24" x14ac:dyDescent="0.25">
      <c r="G234" s="15" t="str">
        <f>IF(Sheet2!A234="","",Sheet2!A234)</f>
        <v/>
      </c>
      <c r="H234" s="18" t="str">
        <f>IF(Sheet2!O234="","",LEFT(Sheet2!O234, FIND(" ", Sheet2!O234)-1))</f>
        <v/>
      </c>
      <c r="I234" s="15" t="str">
        <f>IF(Sheet2!S234&lt;19,ROUND(Sheet2!I234,2)&amp;"'",IF(Sheet2!S234&lt;25,ROUND(Sheet2!J234,2)&amp;"'",IF(Sheet2!S234&lt;31,ROUND(Sheet2!K234,2)&amp;"'",IF(Sheet2!S234&lt;37,ROUND(Sheet2!L234,2)&amp;"'",""))))</f>
        <v/>
      </c>
      <c r="L234" s="15" t="str">
        <f>IF(Sheet2!D234="","",Sheet2!D234&amp;"''")</f>
        <v/>
      </c>
      <c r="O234" s="16" t="str">
        <f>IF(Sheet2!H234="","",ROUND(Sheet2!H234,2)&amp;"'")</f>
        <v/>
      </c>
      <c r="P234" s="18" t="str">
        <f>IF(Sheet2!E234="","",Sheet2!E234&amp;"''")</f>
        <v/>
      </c>
      <c r="Q234" s="12" t="str" cm="1">
        <f t="array" ref="Q234">IF(P234="","",_xlfn.XLOOKUP(G234,[1]Sheet1!$G:$G,[1]Sheet1!$Q:$S))</f>
        <v/>
      </c>
      <c r="T234" s="15" t="str">
        <f>IF(Sheet2!F234="","",Sheet2!F234&amp;"""")</f>
        <v/>
      </c>
      <c r="U234" s="12" t="str" cm="1">
        <f t="array" ref="U234">IF(T234="","",_xlfn.XLOOKUP(G234,[1]Sheet1!$G:$G,[1]Sheet1!$U:$W))</f>
        <v/>
      </c>
      <c r="X234" s="15" t="str">
        <f>IF(Sheet2!G234="","",Sheet2!G234&amp;"''")</f>
        <v/>
      </c>
    </row>
    <row r="235" spans="7:24" x14ac:dyDescent="0.25">
      <c r="G235" s="15" t="str">
        <f>IF(Sheet2!A235="","",Sheet2!A235)</f>
        <v/>
      </c>
      <c r="H235" s="18" t="str">
        <f>IF(Sheet2!O235="","",LEFT(Sheet2!O235, FIND(" ", Sheet2!O235)-1))</f>
        <v/>
      </c>
      <c r="I235" s="15" t="str">
        <f>IF(Sheet2!S235&lt;19,ROUND(Sheet2!I235,2)&amp;"'",IF(Sheet2!S235&lt;25,ROUND(Sheet2!J235,2)&amp;"'",IF(Sheet2!S235&lt;31,ROUND(Sheet2!K235,2)&amp;"'",IF(Sheet2!S235&lt;37,ROUND(Sheet2!L235,2)&amp;"'",""))))</f>
        <v/>
      </c>
      <c r="L235" s="15" t="str">
        <f>IF(Sheet2!D235="","",Sheet2!D235&amp;"''")</f>
        <v/>
      </c>
      <c r="O235" s="16" t="str">
        <f>IF(Sheet2!H235="","",ROUND(Sheet2!H235,2)&amp;"'")</f>
        <v/>
      </c>
      <c r="P235" s="18" t="str">
        <f>IF(Sheet2!E235="","",Sheet2!E235&amp;"''")</f>
        <v/>
      </c>
      <c r="Q235" s="12" t="str" cm="1">
        <f t="array" ref="Q235">IF(P235="","",_xlfn.XLOOKUP(G235,[1]Sheet1!$G:$G,[1]Sheet1!$Q:$S))</f>
        <v/>
      </c>
      <c r="T235" s="15" t="str">
        <f>IF(Sheet2!F235="","",Sheet2!F235&amp;"""")</f>
        <v/>
      </c>
      <c r="U235" s="12" t="str" cm="1">
        <f t="array" ref="U235">IF(T235="","",_xlfn.XLOOKUP(G235,[1]Sheet1!$G:$G,[1]Sheet1!$U:$W))</f>
        <v/>
      </c>
      <c r="X235" s="15" t="str">
        <f>IF(Sheet2!G235="","",Sheet2!G235&amp;"''")</f>
        <v/>
      </c>
    </row>
    <row r="236" spans="7:24" x14ac:dyDescent="0.25">
      <c r="G236" s="15" t="str">
        <f>IF(Sheet2!A236="","",Sheet2!A236)</f>
        <v/>
      </c>
      <c r="H236" s="18" t="str">
        <f>IF(Sheet2!O236="","",LEFT(Sheet2!O236, FIND(" ", Sheet2!O236)-1))</f>
        <v/>
      </c>
      <c r="I236" s="15" t="str">
        <f>IF(Sheet2!S236&lt;19,ROUND(Sheet2!I236,2)&amp;"'",IF(Sheet2!S236&lt;25,ROUND(Sheet2!J236,2)&amp;"'",IF(Sheet2!S236&lt;31,ROUND(Sheet2!K236,2)&amp;"'",IF(Sheet2!S236&lt;37,ROUND(Sheet2!L236,2)&amp;"'",""))))</f>
        <v/>
      </c>
      <c r="L236" s="15" t="str">
        <f>IF(Sheet2!D236="","",Sheet2!D236&amp;"''")</f>
        <v/>
      </c>
      <c r="O236" s="16" t="str">
        <f>IF(Sheet2!H236="","",ROUND(Sheet2!H236,2)&amp;"'")</f>
        <v/>
      </c>
      <c r="P236" s="18" t="str">
        <f>IF(Sheet2!E236="","",Sheet2!E236&amp;"''")</f>
        <v/>
      </c>
      <c r="Q236" s="12" t="str" cm="1">
        <f t="array" ref="Q236">IF(P236="","",_xlfn.XLOOKUP(G236,[1]Sheet1!$G:$G,[1]Sheet1!$Q:$S))</f>
        <v/>
      </c>
      <c r="T236" s="15" t="str">
        <f>IF(Sheet2!F236="","",Sheet2!F236&amp;"""")</f>
        <v/>
      </c>
      <c r="U236" s="12" t="str" cm="1">
        <f t="array" ref="U236">IF(T236="","",_xlfn.XLOOKUP(G236,[1]Sheet1!$G:$G,[1]Sheet1!$U:$W))</f>
        <v/>
      </c>
      <c r="X236" s="15" t="str">
        <f>IF(Sheet2!G236="","",Sheet2!G236&amp;"''")</f>
        <v/>
      </c>
    </row>
    <row r="237" spans="7:24" x14ac:dyDescent="0.25">
      <c r="G237" s="15" t="str">
        <f>IF(Sheet2!A237="","",Sheet2!A237)</f>
        <v/>
      </c>
      <c r="H237" s="18" t="str">
        <f>IF(Sheet2!O237="","",LEFT(Sheet2!O237, FIND(" ", Sheet2!O237)-1))</f>
        <v/>
      </c>
      <c r="I237" s="15" t="str">
        <f>IF(Sheet2!S237&lt;19,ROUND(Sheet2!I237,2)&amp;"'",IF(Sheet2!S237&lt;25,ROUND(Sheet2!J237,2)&amp;"'",IF(Sheet2!S237&lt;31,ROUND(Sheet2!K237,2)&amp;"'",IF(Sheet2!S237&lt;37,ROUND(Sheet2!L237,2)&amp;"'",""))))</f>
        <v/>
      </c>
      <c r="L237" s="15" t="str">
        <f>IF(Sheet2!D237="","",Sheet2!D237&amp;"''")</f>
        <v/>
      </c>
      <c r="O237" s="16" t="str">
        <f>IF(Sheet2!H237="","",ROUND(Sheet2!H237,2)&amp;"'")</f>
        <v/>
      </c>
      <c r="P237" s="18" t="str">
        <f>IF(Sheet2!E237="","",Sheet2!E237&amp;"''")</f>
        <v/>
      </c>
      <c r="Q237" s="12" t="str" cm="1">
        <f t="array" ref="Q237">IF(P237="","",_xlfn.XLOOKUP(G237,[1]Sheet1!$G:$G,[1]Sheet1!$Q:$S))</f>
        <v/>
      </c>
      <c r="T237" s="15" t="str">
        <f>IF(Sheet2!F237="","",Sheet2!F237&amp;"""")</f>
        <v/>
      </c>
      <c r="U237" s="12" t="str" cm="1">
        <f t="array" ref="U237">IF(T237="","",_xlfn.XLOOKUP(G237,[1]Sheet1!$G:$G,[1]Sheet1!$U:$W))</f>
        <v/>
      </c>
      <c r="X237" s="15" t="str">
        <f>IF(Sheet2!G237="","",Sheet2!G237&amp;"''")</f>
        <v/>
      </c>
    </row>
    <row r="238" spans="7:24" x14ac:dyDescent="0.25">
      <c r="G238" s="15" t="str">
        <f>IF(Sheet2!A238="","",Sheet2!A238)</f>
        <v/>
      </c>
      <c r="H238" s="18" t="str">
        <f>IF(Sheet2!O238="","",LEFT(Sheet2!O238, FIND(" ", Sheet2!O238)-1))</f>
        <v/>
      </c>
      <c r="I238" s="15" t="str">
        <f>IF(Sheet2!S238&lt;19,ROUND(Sheet2!I238,2)&amp;"'",IF(Sheet2!S238&lt;25,ROUND(Sheet2!J238,2)&amp;"'",IF(Sheet2!S238&lt;31,ROUND(Sheet2!K238,2)&amp;"'",IF(Sheet2!S238&lt;37,ROUND(Sheet2!L238,2)&amp;"'",""))))</f>
        <v/>
      </c>
      <c r="L238" s="15" t="str">
        <f>IF(Sheet2!D238="","",Sheet2!D238&amp;"''")</f>
        <v/>
      </c>
      <c r="O238" s="16" t="str">
        <f>IF(Sheet2!H238="","",ROUND(Sheet2!H238,2)&amp;"'")</f>
        <v/>
      </c>
      <c r="P238" s="18" t="str">
        <f>IF(Sheet2!E238="","",Sheet2!E238&amp;"''")</f>
        <v/>
      </c>
      <c r="Q238" s="12" t="str" cm="1">
        <f t="array" ref="Q238">IF(P238="","",_xlfn.XLOOKUP(G238,[1]Sheet1!$G:$G,[1]Sheet1!$Q:$S))</f>
        <v/>
      </c>
      <c r="T238" s="15" t="str">
        <f>IF(Sheet2!F238="","",Sheet2!F238&amp;"""")</f>
        <v/>
      </c>
      <c r="U238" s="12" t="str" cm="1">
        <f t="array" ref="U238">IF(T238="","",_xlfn.XLOOKUP(G238,[1]Sheet1!$G:$G,[1]Sheet1!$U:$W))</f>
        <v/>
      </c>
      <c r="X238" s="15" t="str">
        <f>IF(Sheet2!G238="","",Sheet2!G238&amp;"''")</f>
        <v/>
      </c>
    </row>
    <row r="239" spans="7:24" x14ac:dyDescent="0.25">
      <c r="G239" s="15" t="str">
        <f>IF(Sheet2!A239="","",Sheet2!A239)</f>
        <v/>
      </c>
      <c r="H239" s="18" t="str">
        <f>IF(Sheet2!O239="","",LEFT(Sheet2!O239, FIND(" ", Sheet2!O239)-1))</f>
        <v/>
      </c>
      <c r="I239" s="15" t="str">
        <f>IF(Sheet2!S239&lt;19,ROUND(Sheet2!I239,2)&amp;"'",IF(Sheet2!S239&lt;25,ROUND(Sheet2!J239,2)&amp;"'",IF(Sheet2!S239&lt;31,ROUND(Sheet2!K239,2)&amp;"'",IF(Sheet2!S239&lt;37,ROUND(Sheet2!L239,2)&amp;"'",""))))</f>
        <v/>
      </c>
      <c r="L239" s="15" t="str">
        <f>IF(Sheet2!D239="","",Sheet2!D239&amp;"''")</f>
        <v/>
      </c>
      <c r="O239" s="16" t="str">
        <f>IF(Sheet2!H239="","",ROUND(Sheet2!H239,2)&amp;"'")</f>
        <v/>
      </c>
      <c r="P239" s="18" t="str">
        <f>IF(Sheet2!E239="","",Sheet2!E239&amp;"''")</f>
        <v/>
      </c>
      <c r="Q239" s="12" t="str" cm="1">
        <f t="array" ref="Q239">IF(P239="","",_xlfn.XLOOKUP(G239,[1]Sheet1!$G:$G,[1]Sheet1!$Q:$S))</f>
        <v/>
      </c>
      <c r="T239" s="15" t="str">
        <f>IF(Sheet2!F239="","",Sheet2!F239&amp;"""")</f>
        <v/>
      </c>
      <c r="U239" s="12" t="str" cm="1">
        <f t="array" ref="U239">IF(T239="","",_xlfn.XLOOKUP(G239,[1]Sheet1!$G:$G,[1]Sheet1!$U:$W))</f>
        <v/>
      </c>
      <c r="X239" s="15" t="str">
        <f>IF(Sheet2!G239="","",Sheet2!G239&amp;"''")</f>
        <v/>
      </c>
    </row>
    <row r="240" spans="7:24" x14ac:dyDescent="0.25">
      <c r="G240" s="15" t="str">
        <f>IF(Sheet2!A240="","",Sheet2!A240)</f>
        <v/>
      </c>
      <c r="H240" s="18" t="str">
        <f>IF(Sheet2!O240="","",LEFT(Sheet2!O240, FIND(" ", Sheet2!O240)-1))</f>
        <v/>
      </c>
      <c r="I240" s="15" t="str">
        <f>IF(Sheet2!S240&lt;19,ROUND(Sheet2!I240,2)&amp;"'",IF(Sheet2!S240&lt;25,ROUND(Sheet2!J240,2)&amp;"'",IF(Sheet2!S240&lt;31,ROUND(Sheet2!K240,2)&amp;"'",IF(Sheet2!S240&lt;37,ROUND(Sheet2!L240,2)&amp;"'",""))))</f>
        <v/>
      </c>
      <c r="L240" s="15" t="str">
        <f>IF(Sheet2!D240="","",Sheet2!D240&amp;"''")</f>
        <v/>
      </c>
      <c r="O240" s="16" t="str">
        <f>IF(Sheet2!H240="","",ROUND(Sheet2!H240,2)&amp;"'")</f>
        <v/>
      </c>
      <c r="P240" s="18" t="str">
        <f>IF(Sheet2!E240="","",Sheet2!E240&amp;"''")</f>
        <v/>
      </c>
      <c r="Q240" s="12" t="str" cm="1">
        <f t="array" ref="Q240">IF(P240="","",_xlfn.XLOOKUP(G240,[1]Sheet1!$G:$G,[1]Sheet1!$Q:$S))</f>
        <v/>
      </c>
      <c r="T240" s="15" t="str">
        <f>IF(Sheet2!F240="","",Sheet2!F240&amp;"""")</f>
        <v/>
      </c>
      <c r="U240" s="12" t="str" cm="1">
        <f t="array" ref="U240">IF(T240="","",_xlfn.XLOOKUP(G240,[1]Sheet1!$G:$G,[1]Sheet1!$U:$W))</f>
        <v/>
      </c>
      <c r="X240" s="15" t="str">
        <f>IF(Sheet2!G240="","",Sheet2!G240&amp;"''")</f>
        <v/>
      </c>
    </row>
    <row r="241" spans="7:24" x14ac:dyDescent="0.25">
      <c r="G241" s="15" t="str">
        <f>IF(Sheet2!A241="","",Sheet2!A241)</f>
        <v/>
      </c>
      <c r="H241" s="18" t="str">
        <f>IF(Sheet2!O241="","",LEFT(Sheet2!O241, FIND(" ", Sheet2!O241)-1))</f>
        <v/>
      </c>
      <c r="I241" s="15" t="str">
        <f>IF(Sheet2!S241&lt;19,ROUND(Sheet2!I241,2)&amp;"'",IF(Sheet2!S241&lt;25,ROUND(Sheet2!J241,2)&amp;"'",IF(Sheet2!S241&lt;31,ROUND(Sheet2!K241,2)&amp;"'",IF(Sheet2!S241&lt;37,ROUND(Sheet2!L241,2)&amp;"'",""))))</f>
        <v/>
      </c>
      <c r="L241" s="15" t="str">
        <f>IF(Sheet2!D241="","",Sheet2!D241&amp;"''")</f>
        <v/>
      </c>
      <c r="O241" s="16" t="str">
        <f>IF(Sheet2!H241="","",ROUND(Sheet2!H241,2)&amp;"'")</f>
        <v/>
      </c>
      <c r="P241" s="18" t="str">
        <f>IF(Sheet2!E241="","",Sheet2!E241&amp;"''")</f>
        <v/>
      </c>
      <c r="Q241" s="12" t="str" cm="1">
        <f t="array" ref="Q241">IF(P241="","",_xlfn.XLOOKUP(G241,[1]Sheet1!$G:$G,[1]Sheet1!$Q:$S))</f>
        <v/>
      </c>
      <c r="T241" s="15" t="str">
        <f>IF(Sheet2!F241="","",Sheet2!F241&amp;"""")</f>
        <v/>
      </c>
      <c r="U241" s="12" t="str" cm="1">
        <f t="array" ref="U241">IF(T241="","",_xlfn.XLOOKUP(G241,[1]Sheet1!$G:$G,[1]Sheet1!$U:$W))</f>
        <v/>
      </c>
      <c r="X241" s="15" t="str">
        <f>IF(Sheet2!G241="","",Sheet2!G241&amp;"''")</f>
        <v/>
      </c>
    </row>
    <row r="242" spans="7:24" x14ac:dyDescent="0.25">
      <c r="G242" s="15" t="str">
        <f>IF(Sheet2!A242="","",Sheet2!A242)</f>
        <v/>
      </c>
      <c r="H242" s="18" t="str">
        <f>IF(Sheet2!O242="","",LEFT(Sheet2!O242, FIND(" ", Sheet2!O242)-1))</f>
        <v/>
      </c>
      <c r="I242" s="15" t="str">
        <f>IF(Sheet2!S242&lt;19,ROUND(Sheet2!I242,2)&amp;"'",IF(Sheet2!S242&lt;25,ROUND(Sheet2!J242,2)&amp;"'",IF(Sheet2!S242&lt;31,ROUND(Sheet2!K242,2)&amp;"'",IF(Sheet2!S242&lt;37,ROUND(Sheet2!L242,2)&amp;"'",""))))</f>
        <v/>
      </c>
      <c r="L242" s="15" t="str">
        <f>IF(Sheet2!D242="","",Sheet2!D242&amp;"''")</f>
        <v/>
      </c>
      <c r="O242" s="16" t="str">
        <f>IF(Sheet2!H242="","",ROUND(Sheet2!H242,2)&amp;"'")</f>
        <v/>
      </c>
      <c r="P242" s="18" t="str">
        <f>IF(Sheet2!E242="","",Sheet2!E242&amp;"''")</f>
        <v/>
      </c>
      <c r="Q242" s="12" t="str" cm="1">
        <f t="array" ref="Q242">IF(P242="","",_xlfn.XLOOKUP(G242,[1]Sheet1!$G:$G,[1]Sheet1!$Q:$S))</f>
        <v/>
      </c>
      <c r="T242" s="15" t="str">
        <f>IF(Sheet2!F242="","",Sheet2!F242&amp;"""")</f>
        <v/>
      </c>
      <c r="U242" s="12" t="str" cm="1">
        <f t="array" ref="U242">IF(T242="","",_xlfn.XLOOKUP(G242,[1]Sheet1!$G:$G,[1]Sheet1!$U:$W))</f>
        <v/>
      </c>
      <c r="X242" s="15" t="str">
        <f>IF(Sheet2!G242="","",Sheet2!G242&amp;"''")</f>
        <v/>
      </c>
    </row>
    <row r="243" spans="7:24" x14ac:dyDescent="0.25">
      <c r="G243" s="15" t="str">
        <f>IF(Sheet2!A243="","",Sheet2!A243)</f>
        <v/>
      </c>
      <c r="H243" s="18" t="str">
        <f>IF(Sheet2!O243="","",LEFT(Sheet2!O243, FIND(" ", Sheet2!O243)-1))</f>
        <v/>
      </c>
      <c r="I243" s="15" t="str">
        <f>IF(Sheet2!S243&lt;19,ROUND(Sheet2!I243,2)&amp;"'",IF(Sheet2!S243&lt;25,ROUND(Sheet2!J243,2)&amp;"'",IF(Sheet2!S243&lt;31,ROUND(Sheet2!K243,2)&amp;"'",IF(Sheet2!S243&lt;37,ROUND(Sheet2!L243,2)&amp;"'",""))))</f>
        <v/>
      </c>
      <c r="L243" s="15" t="str">
        <f>IF(Sheet2!D243="","",Sheet2!D243&amp;"''")</f>
        <v/>
      </c>
      <c r="O243" s="16" t="str">
        <f>IF(Sheet2!H243="","",ROUND(Sheet2!H243,2)&amp;"'")</f>
        <v/>
      </c>
      <c r="P243" s="18" t="str">
        <f>IF(Sheet2!E243="","",Sheet2!E243&amp;"''")</f>
        <v/>
      </c>
      <c r="Q243" s="12" t="str" cm="1">
        <f t="array" ref="Q243">IF(P243="","",_xlfn.XLOOKUP(G243,[1]Sheet1!$G:$G,[1]Sheet1!$Q:$S))</f>
        <v/>
      </c>
      <c r="T243" s="15" t="str">
        <f>IF(Sheet2!F243="","",Sheet2!F243&amp;"""")</f>
        <v/>
      </c>
      <c r="U243" s="12" t="str" cm="1">
        <f t="array" ref="U243">IF(T243="","",_xlfn.XLOOKUP(G243,[1]Sheet1!$G:$G,[1]Sheet1!$U:$W))</f>
        <v/>
      </c>
      <c r="X243" s="15" t="str">
        <f>IF(Sheet2!G243="","",Sheet2!G243&amp;"''")</f>
        <v/>
      </c>
    </row>
    <row r="244" spans="7:24" x14ac:dyDescent="0.25">
      <c r="G244" s="15" t="str">
        <f>IF(Sheet2!A244="","",Sheet2!A244)</f>
        <v/>
      </c>
      <c r="H244" s="18" t="str">
        <f>IF(Sheet2!O244="","",LEFT(Sheet2!O244, FIND(" ", Sheet2!O244)-1))</f>
        <v/>
      </c>
      <c r="I244" s="15" t="str">
        <f>IF(Sheet2!S244&lt;19,ROUND(Sheet2!I244,2)&amp;"'",IF(Sheet2!S244&lt;25,ROUND(Sheet2!J244,2)&amp;"'",IF(Sheet2!S244&lt;31,ROUND(Sheet2!K244,2)&amp;"'",IF(Sheet2!S244&lt;37,ROUND(Sheet2!L244,2)&amp;"'",""))))</f>
        <v/>
      </c>
      <c r="L244" s="15" t="str">
        <f>IF(Sheet2!D244="","",Sheet2!D244&amp;"''")</f>
        <v/>
      </c>
      <c r="O244" s="16" t="str">
        <f>IF(Sheet2!H244="","",ROUND(Sheet2!H244,2)&amp;"'")</f>
        <v/>
      </c>
      <c r="P244" s="18" t="str">
        <f>IF(Sheet2!E244="","",Sheet2!E244&amp;"''")</f>
        <v/>
      </c>
      <c r="Q244" s="12" t="str" cm="1">
        <f t="array" ref="Q244">IF(P244="","",_xlfn.XLOOKUP(G244,[1]Sheet1!$G:$G,[1]Sheet1!$Q:$S))</f>
        <v/>
      </c>
      <c r="T244" s="15" t="str">
        <f>IF(Sheet2!F244="","",Sheet2!F244&amp;"""")</f>
        <v/>
      </c>
      <c r="U244" s="12" t="str" cm="1">
        <f t="array" ref="U244">IF(T244="","",_xlfn.XLOOKUP(G244,[1]Sheet1!$G:$G,[1]Sheet1!$U:$W))</f>
        <v/>
      </c>
      <c r="X244" s="15" t="str">
        <f>IF(Sheet2!G244="","",Sheet2!G244&amp;"''")</f>
        <v/>
      </c>
    </row>
    <row r="245" spans="7:24" x14ac:dyDescent="0.25">
      <c r="G245" s="15" t="str">
        <f>IF(Sheet2!A245="","",Sheet2!A245)</f>
        <v/>
      </c>
      <c r="H245" s="18" t="str">
        <f>IF(Sheet2!O245="","",LEFT(Sheet2!O245, FIND(" ", Sheet2!O245)-1))</f>
        <v/>
      </c>
      <c r="I245" s="15" t="str">
        <f>IF(Sheet2!S245&lt;19,ROUND(Sheet2!I245,2)&amp;"'",IF(Sheet2!S245&lt;25,ROUND(Sheet2!J245,2)&amp;"'",IF(Sheet2!S245&lt;31,ROUND(Sheet2!K245,2)&amp;"'",IF(Sheet2!S245&lt;37,ROUND(Sheet2!L245,2)&amp;"'",""))))</f>
        <v/>
      </c>
      <c r="L245" s="15" t="str">
        <f>IF(Sheet2!D245="","",Sheet2!D245&amp;"''")</f>
        <v/>
      </c>
      <c r="O245" s="16" t="str">
        <f>IF(Sheet2!H245="","",ROUND(Sheet2!H245,2)&amp;"'")</f>
        <v/>
      </c>
      <c r="P245" s="18" t="str">
        <f>IF(Sheet2!E245="","",Sheet2!E245&amp;"''")</f>
        <v/>
      </c>
      <c r="Q245" s="12" t="str" cm="1">
        <f t="array" ref="Q245">IF(P245="","",_xlfn.XLOOKUP(G245,[1]Sheet1!$G:$G,[1]Sheet1!$Q:$S))</f>
        <v/>
      </c>
      <c r="T245" s="15" t="str">
        <f>IF(Sheet2!F245="","",Sheet2!F245&amp;"""")</f>
        <v/>
      </c>
      <c r="U245" s="12" t="str" cm="1">
        <f t="array" ref="U245">IF(T245="","",_xlfn.XLOOKUP(G245,[1]Sheet1!$G:$G,[1]Sheet1!$U:$W))</f>
        <v/>
      </c>
      <c r="X245" s="15" t="str">
        <f>IF(Sheet2!G245="","",Sheet2!G245&amp;"''")</f>
        <v/>
      </c>
    </row>
    <row r="246" spans="7:24" x14ac:dyDescent="0.25">
      <c r="G246" s="15" t="str">
        <f>IF(Sheet2!A246="","",Sheet2!A246)</f>
        <v/>
      </c>
      <c r="H246" s="18" t="str">
        <f>IF(Sheet2!O246="","",LEFT(Sheet2!O246, FIND(" ", Sheet2!O246)-1))</f>
        <v/>
      </c>
      <c r="I246" s="15" t="str">
        <f>IF(Sheet2!S246&lt;19,ROUND(Sheet2!I246,2)&amp;"'",IF(Sheet2!S246&lt;25,ROUND(Sheet2!J246,2)&amp;"'",IF(Sheet2!S246&lt;31,ROUND(Sheet2!K246,2)&amp;"'",IF(Sheet2!S246&lt;37,ROUND(Sheet2!L246,2)&amp;"'",""))))</f>
        <v/>
      </c>
      <c r="L246" s="15" t="str">
        <f>IF(Sheet2!D246="","",Sheet2!D246&amp;"''")</f>
        <v/>
      </c>
      <c r="O246" s="16" t="str">
        <f>IF(Sheet2!H246="","",ROUND(Sheet2!H246,2)&amp;"'")</f>
        <v/>
      </c>
      <c r="P246" s="18" t="str">
        <f>IF(Sheet2!E246="","",Sheet2!E246&amp;"''")</f>
        <v/>
      </c>
      <c r="Q246" s="12" t="str" cm="1">
        <f t="array" ref="Q246">IF(P246="","",_xlfn.XLOOKUP(G246,[1]Sheet1!$G:$G,[1]Sheet1!$Q:$S))</f>
        <v/>
      </c>
      <c r="T246" s="15" t="str">
        <f>IF(Sheet2!F246="","",Sheet2!F246&amp;"""")</f>
        <v/>
      </c>
      <c r="U246" s="12" t="str" cm="1">
        <f t="array" ref="U246">IF(T246="","",_xlfn.XLOOKUP(G246,[1]Sheet1!$G:$G,[1]Sheet1!$U:$W))</f>
        <v/>
      </c>
      <c r="X246" s="15" t="str">
        <f>IF(Sheet2!G246="","",Sheet2!G246&amp;"''")</f>
        <v/>
      </c>
    </row>
    <row r="247" spans="7:24" x14ac:dyDescent="0.25">
      <c r="G247" s="15" t="str">
        <f>IF(Sheet2!A247="","",Sheet2!A247)</f>
        <v/>
      </c>
      <c r="H247" s="18" t="str">
        <f>IF(Sheet2!O247="","",LEFT(Sheet2!O247, FIND(" ", Sheet2!O247)-1))</f>
        <v/>
      </c>
      <c r="I247" s="15" t="str">
        <f>IF(Sheet2!S247&lt;19,ROUND(Sheet2!I247,2)&amp;"'",IF(Sheet2!S247&lt;25,ROUND(Sheet2!J247,2)&amp;"'",IF(Sheet2!S247&lt;31,ROUND(Sheet2!K247,2)&amp;"'",IF(Sheet2!S247&lt;37,ROUND(Sheet2!L247,2)&amp;"'",""))))</f>
        <v/>
      </c>
      <c r="L247" s="15" t="str">
        <f>IF(Sheet2!D247="","",Sheet2!D247&amp;"''")</f>
        <v/>
      </c>
      <c r="O247" s="16" t="str">
        <f>IF(Sheet2!H247="","",ROUND(Sheet2!H247,2)&amp;"'")</f>
        <v/>
      </c>
      <c r="P247" s="18" t="str">
        <f>IF(Sheet2!E247="","",Sheet2!E247&amp;"''")</f>
        <v/>
      </c>
      <c r="Q247" s="12" t="str" cm="1">
        <f t="array" ref="Q247">IF(P247="","",_xlfn.XLOOKUP(G247,[1]Sheet1!$G:$G,[1]Sheet1!$Q:$S))</f>
        <v/>
      </c>
      <c r="T247" s="15" t="str">
        <f>IF(Sheet2!F247="","",Sheet2!F247&amp;"""")</f>
        <v/>
      </c>
      <c r="U247" s="12" t="str" cm="1">
        <f t="array" ref="U247">IF(T247="","",_xlfn.XLOOKUP(G247,[1]Sheet1!$G:$G,[1]Sheet1!$U:$W))</f>
        <v/>
      </c>
      <c r="X247" s="15" t="str">
        <f>IF(Sheet2!G247="","",Sheet2!G247&amp;"''")</f>
        <v/>
      </c>
    </row>
    <row r="248" spans="7:24" x14ac:dyDescent="0.25">
      <c r="G248" s="15" t="str">
        <f>IF(Sheet2!A248="","",Sheet2!A248)</f>
        <v/>
      </c>
      <c r="H248" s="18" t="str">
        <f>IF(Sheet2!O248="","",LEFT(Sheet2!O248, FIND(" ", Sheet2!O248)-1))</f>
        <v/>
      </c>
      <c r="I248" s="15" t="str">
        <f>IF(Sheet2!S248&lt;19,ROUND(Sheet2!I248,2)&amp;"'",IF(Sheet2!S248&lt;25,ROUND(Sheet2!J248,2)&amp;"'",IF(Sheet2!S248&lt;31,ROUND(Sheet2!K248,2)&amp;"'",IF(Sheet2!S248&lt;37,ROUND(Sheet2!L248,2)&amp;"'",""))))</f>
        <v/>
      </c>
      <c r="L248" s="15" t="str">
        <f>IF(Sheet2!D248="","",Sheet2!D248&amp;"''")</f>
        <v/>
      </c>
      <c r="O248" s="16" t="str">
        <f>IF(Sheet2!H248="","",ROUND(Sheet2!H248,2)&amp;"'")</f>
        <v/>
      </c>
      <c r="P248" s="18" t="str">
        <f>IF(Sheet2!E248="","",Sheet2!E248&amp;"''")</f>
        <v/>
      </c>
      <c r="Q248" s="12" t="str" cm="1">
        <f t="array" ref="Q248">IF(P248="","",_xlfn.XLOOKUP(G248,[1]Sheet1!$G:$G,[1]Sheet1!$Q:$S))</f>
        <v/>
      </c>
      <c r="T248" s="15" t="str">
        <f>IF(Sheet2!F248="","",Sheet2!F248&amp;"""")</f>
        <v/>
      </c>
      <c r="U248" s="12" t="str" cm="1">
        <f t="array" ref="U248">IF(T248="","",_xlfn.XLOOKUP(G248,[1]Sheet1!$G:$G,[1]Sheet1!$U:$W))</f>
        <v/>
      </c>
      <c r="X248" s="15" t="str">
        <f>IF(Sheet2!G248="","",Sheet2!G248&amp;"''")</f>
        <v/>
      </c>
    </row>
    <row r="249" spans="7:24" x14ac:dyDescent="0.25">
      <c r="G249" s="15" t="str">
        <f>IF(Sheet2!A249="","",Sheet2!A249)</f>
        <v/>
      </c>
      <c r="H249" s="18" t="str">
        <f>IF(Sheet2!O249="","",LEFT(Sheet2!O249, FIND(" ", Sheet2!O249)-1))</f>
        <v/>
      </c>
      <c r="I249" s="15" t="str">
        <f>IF(Sheet2!S249&lt;19,ROUND(Sheet2!I249,2)&amp;"'",IF(Sheet2!S249&lt;25,ROUND(Sheet2!J249,2)&amp;"'",IF(Sheet2!S249&lt;31,ROUND(Sheet2!K249,2)&amp;"'",IF(Sheet2!S249&lt;37,ROUND(Sheet2!L249,2)&amp;"'",""))))</f>
        <v/>
      </c>
      <c r="L249" s="15" t="str">
        <f>IF(Sheet2!D249="","",Sheet2!D249&amp;"''")</f>
        <v/>
      </c>
      <c r="O249" s="16" t="str">
        <f>IF(Sheet2!H249="","",ROUND(Sheet2!H249,2)&amp;"'")</f>
        <v/>
      </c>
      <c r="P249" s="18" t="str">
        <f>IF(Sheet2!E249="","",Sheet2!E249&amp;"''")</f>
        <v/>
      </c>
      <c r="Q249" s="12" t="str" cm="1">
        <f t="array" ref="Q249">IF(P249="","",_xlfn.XLOOKUP(G249,[1]Sheet1!$G:$G,[1]Sheet1!$Q:$S))</f>
        <v/>
      </c>
      <c r="T249" s="15" t="str">
        <f>IF(Sheet2!F249="","",Sheet2!F249&amp;"""")</f>
        <v/>
      </c>
      <c r="U249" s="12" t="str" cm="1">
        <f t="array" ref="U249">IF(T249="","",_xlfn.XLOOKUP(G249,[1]Sheet1!$G:$G,[1]Sheet1!$U:$W))</f>
        <v/>
      </c>
      <c r="X249" s="15" t="str">
        <f>IF(Sheet2!G249="","",Sheet2!G249&amp;"''")</f>
        <v/>
      </c>
    </row>
    <row r="250" spans="7:24" x14ac:dyDescent="0.25">
      <c r="G250" s="15" t="str">
        <f>IF(Sheet2!A250="","",Sheet2!A250)</f>
        <v/>
      </c>
      <c r="H250" s="18" t="str">
        <f>IF(Sheet2!O250="","",LEFT(Sheet2!O250, FIND(" ", Sheet2!O250)-1))</f>
        <v/>
      </c>
      <c r="I250" s="15" t="str">
        <f>IF(Sheet2!S250&lt;19,ROUND(Sheet2!I250,2)&amp;"'",IF(Sheet2!S250&lt;25,ROUND(Sheet2!J250,2)&amp;"'",IF(Sheet2!S250&lt;31,ROUND(Sheet2!K250,2)&amp;"'",IF(Sheet2!S250&lt;37,ROUND(Sheet2!L250,2)&amp;"'",""))))</f>
        <v/>
      </c>
      <c r="L250" s="15" t="str">
        <f>IF(Sheet2!D250="","",Sheet2!D250&amp;"''")</f>
        <v/>
      </c>
      <c r="O250" s="16" t="str">
        <f>IF(Sheet2!H250="","",ROUND(Sheet2!H250,2)&amp;"'")</f>
        <v/>
      </c>
      <c r="P250" s="18" t="str">
        <f>IF(Sheet2!E250="","",Sheet2!E250&amp;"''")</f>
        <v/>
      </c>
      <c r="Q250" s="12" t="str" cm="1">
        <f t="array" ref="Q250">IF(P250="","",_xlfn.XLOOKUP(G250,[1]Sheet1!$G:$G,[1]Sheet1!$Q:$S))</f>
        <v/>
      </c>
      <c r="T250" s="15" t="str">
        <f>IF(Sheet2!F250="","",Sheet2!F250&amp;"""")</f>
        <v/>
      </c>
      <c r="U250" s="12" t="str" cm="1">
        <f t="array" ref="U250">IF(T250="","",_xlfn.XLOOKUP(G250,[1]Sheet1!$G:$G,[1]Sheet1!$U:$W))</f>
        <v/>
      </c>
      <c r="X250" s="15" t="str">
        <f>IF(Sheet2!G250="","",Sheet2!G250&amp;"''")</f>
        <v/>
      </c>
    </row>
    <row r="251" spans="7:24" x14ac:dyDescent="0.25">
      <c r="G251" s="15" t="str">
        <f>IF(Sheet2!A251="","",Sheet2!A251)</f>
        <v/>
      </c>
      <c r="H251" s="18" t="str">
        <f>IF(Sheet2!O251="","",LEFT(Sheet2!O251, FIND(" ", Sheet2!O251)-1))</f>
        <v/>
      </c>
      <c r="I251" s="15" t="str">
        <f>IF(Sheet2!S251&lt;19,ROUND(Sheet2!I251,2)&amp;"'",IF(Sheet2!S251&lt;25,ROUND(Sheet2!J251,2)&amp;"'",IF(Sheet2!S251&lt;31,ROUND(Sheet2!K251,2)&amp;"'",IF(Sheet2!S251&lt;37,ROUND(Sheet2!L251,2)&amp;"'",""))))</f>
        <v/>
      </c>
      <c r="L251" s="15" t="str">
        <f>IF(Sheet2!D251="","",Sheet2!D251&amp;"''")</f>
        <v/>
      </c>
      <c r="O251" s="16" t="str">
        <f>IF(Sheet2!H251="","",ROUND(Sheet2!H251,2)&amp;"'")</f>
        <v/>
      </c>
      <c r="P251" s="18" t="str">
        <f>IF(Sheet2!E251="","",Sheet2!E251&amp;"''")</f>
        <v/>
      </c>
      <c r="Q251" s="12" t="str" cm="1">
        <f t="array" ref="Q251">IF(P251="","",_xlfn.XLOOKUP(G251,[1]Sheet1!$G:$G,[1]Sheet1!$Q:$S))</f>
        <v/>
      </c>
      <c r="T251" s="15" t="str">
        <f>IF(Sheet2!F251="","",Sheet2!F251&amp;"""")</f>
        <v/>
      </c>
      <c r="U251" s="12" t="str" cm="1">
        <f t="array" ref="U251">IF(T251="","",_xlfn.XLOOKUP(G251,[1]Sheet1!$G:$G,[1]Sheet1!$U:$W))</f>
        <v/>
      </c>
      <c r="X251" s="15" t="str">
        <f>IF(Sheet2!G251="","",Sheet2!G251&amp;"''")</f>
        <v/>
      </c>
    </row>
    <row r="252" spans="7:24" x14ac:dyDescent="0.25">
      <c r="G252" s="15" t="str">
        <f>IF(Sheet2!A252="","",Sheet2!A252)</f>
        <v/>
      </c>
      <c r="H252" s="18" t="str">
        <f>IF(Sheet2!O252="","",LEFT(Sheet2!O252, FIND(" ", Sheet2!O252)-1))</f>
        <v/>
      </c>
      <c r="I252" s="15" t="str">
        <f>IF(Sheet2!S252&lt;19,ROUND(Sheet2!I252,2)&amp;"'",IF(Sheet2!S252&lt;25,ROUND(Sheet2!J252,2)&amp;"'",IF(Sheet2!S252&lt;31,ROUND(Sheet2!K252,2)&amp;"'",IF(Sheet2!S252&lt;37,ROUND(Sheet2!L252,2)&amp;"'",""))))</f>
        <v/>
      </c>
      <c r="L252" s="15" t="str">
        <f>IF(Sheet2!D252="","",Sheet2!D252&amp;"''")</f>
        <v/>
      </c>
      <c r="O252" s="16" t="str">
        <f>IF(Sheet2!H252="","",ROUND(Sheet2!H252,2)&amp;"'")</f>
        <v/>
      </c>
      <c r="P252" s="18" t="str">
        <f>IF(Sheet2!E252="","",Sheet2!E252&amp;"''")</f>
        <v/>
      </c>
      <c r="Q252" s="12" t="str" cm="1">
        <f t="array" ref="Q252">IF(P252="","",_xlfn.XLOOKUP(G252,[1]Sheet1!$G:$G,[1]Sheet1!$Q:$S))</f>
        <v/>
      </c>
      <c r="T252" s="15" t="str">
        <f>IF(Sheet2!F252="","",Sheet2!F252&amp;"""")</f>
        <v/>
      </c>
      <c r="U252" s="12" t="str" cm="1">
        <f t="array" ref="U252">IF(T252="","",_xlfn.XLOOKUP(G252,[1]Sheet1!$G:$G,[1]Sheet1!$U:$W))</f>
        <v/>
      </c>
      <c r="X252" s="15" t="str">
        <f>IF(Sheet2!G252="","",Sheet2!G252&amp;"''")</f>
        <v/>
      </c>
    </row>
    <row r="253" spans="7:24" x14ac:dyDescent="0.25">
      <c r="G253" s="15" t="str">
        <f>IF(Sheet2!A253="","",Sheet2!A253)</f>
        <v/>
      </c>
      <c r="H253" s="18" t="str">
        <f>IF(Sheet2!O253="","",LEFT(Sheet2!O253, FIND(" ", Sheet2!O253)-1))</f>
        <v/>
      </c>
      <c r="I253" s="15" t="str">
        <f>IF(Sheet2!S253&lt;19,ROUND(Sheet2!I253,2)&amp;"'",IF(Sheet2!S253&lt;25,ROUND(Sheet2!J253,2)&amp;"'",IF(Sheet2!S253&lt;31,ROUND(Sheet2!K253,2)&amp;"'",IF(Sheet2!S253&lt;37,ROUND(Sheet2!L253,2)&amp;"'",""))))</f>
        <v/>
      </c>
      <c r="L253" s="15" t="str">
        <f>IF(Sheet2!D253="","",Sheet2!D253&amp;"''")</f>
        <v/>
      </c>
      <c r="O253" s="16" t="str">
        <f>IF(Sheet2!H253="","",ROUND(Sheet2!H253,2)&amp;"'")</f>
        <v/>
      </c>
      <c r="P253" s="18" t="str">
        <f>IF(Sheet2!E253="","",Sheet2!E253&amp;"''")</f>
        <v/>
      </c>
      <c r="Q253" s="12" t="str" cm="1">
        <f t="array" ref="Q253">IF(P253="","",_xlfn.XLOOKUP(G253,[1]Sheet1!$G:$G,[1]Sheet1!$Q:$S))</f>
        <v/>
      </c>
      <c r="T253" s="15" t="str">
        <f>IF(Sheet2!F253="","",Sheet2!F253&amp;"""")</f>
        <v/>
      </c>
      <c r="U253" s="12" t="str" cm="1">
        <f t="array" ref="U253">IF(T253="","",_xlfn.XLOOKUP(G253,[1]Sheet1!$G:$G,[1]Sheet1!$U:$W))</f>
        <v/>
      </c>
      <c r="X253" s="15" t="str">
        <f>IF(Sheet2!G253="","",Sheet2!G253&amp;"''")</f>
        <v/>
      </c>
    </row>
    <row r="254" spans="7:24" x14ac:dyDescent="0.25">
      <c r="G254" s="15" t="str">
        <f>IF(Sheet2!A254="","",Sheet2!A254)</f>
        <v/>
      </c>
      <c r="H254" s="18" t="str">
        <f>IF(Sheet2!O254="","",LEFT(Sheet2!O254, FIND(" ", Sheet2!O254)-1))</f>
        <v/>
      </c>
      <c r="I254" s="15" t="str">
        <f>IF(Sheet2!S254&lt;19,ROUND(Sheet2!I254,2)&amp;"'",IF(Sheet2!S254&lt;25,ROUND(Sheet2!J254,2)&amp;"'",IF(Sheet2!S254&lt;31,ROUND(Sheet2!K254,2)&amp;"'",IF(Sheet2!S254&lt;37,ROUND(Sheet2!L254,2)&amp;"'",""))))</f>
        <v/>
      </c>
      <c r="L254" s="15" t="str">
        <f>IF(Sheet2!D254="","",Sheet2!D254&amp;"''")</f>
        <v/>
      </c>
      <c r="O254" s="16" t="str">
        <f>IF(Sheet2!H254="","",ROUND(Sheet2!H254,2)&amp;"'")</f>
        <v/>
      </c>
      <c r="P254" s="18" t="str">
        <f>IF(Sheet2!E254="","",Sheet2!E254&amp;"''")</f>
        <v/>
      </c>
      <c r="Q254" s="12" t="str" cm="1">
        <f t="array" ref="Q254">IF(P254="","",_xlfn.XLOOKUP(G254,[1]Sheet1!$G:$G,[1]Sheet1!$Q:$S))</f>
        <v/>
      </c>
      <c r="T254" s="15" t="str">
        <f>IF(Sheet2!F254="","",Sheet2!F254&amp;"""")</f>
        <v/>
      </c>
      <c r="U254" s="12" t="str" cm="1">
        <f t="array" ref="U254">IF(T254="","",_xlfn.XLOOKUP(G254,[1]Sheet1!$G:$G,[1]Sheet1!$U:$W))</f>
        <v/>
      </c>
      <c r="X254" s="15" t="str">
        <f>IF(Sheet2!G254="","",Sheet2!G254&amp;"''")</f>
        <v/>
      </c>
    </row>
    <row r="255" spans="7:24" x14ac:dyDescent="0.25">
      <c r="G255" s="15" t="str">
        <f>IF(Sheet2!A255="","",Sheet2!A255)</f>
        <v/>
      </c>
      <c r="H255" s="18" t="str">
        <f>IF(Sheet2!O255="","",LEFT(Sheet2!O255, FIND(" ", Sheet2!O255)-1))</f>
        <v/>
      </c>
      <c r="I255" s="15" t="str">
        <f>IF(Sheet2!S255&lt;19,ROUND(Sheet2!I255,2)&amp;"'",IF(Sheet2!S255&lt;25,ROUND(Sheet2!J255,2)&amp;"'",IF(Sheet2!S255&lt;31,ROUND(Sheet2!K255,2)&amp;"'",IF(Sheet2!S255&lt;37,ROUND(Sheet2!L255,2)&amp;"'",""))))</f>
        <v/>
      </c>
      <c r="L255" s="15" t="str">
        <f>IF(Sheet2!D255="","",Sheet2!D255&amp;"''")</f>
        <v/>
      </c>
      <c r="O255" s="16" t="str">
        <f>IF(Sheet2!H255="","",ROUND(Sheet2!H255,2)&amp;"'")</f>
        <v/>
      </c>
      <c r="P255" s="18" t="str">
        <f>IF(Sheet2!E255="","",Sheet2!E255&amp;"''")</f>
        <v/>
      </c>
      <c r="Q255" s="12" t="str" cm="1">
        <f t="array" ref="Q255">IF(P255="","",_xlfn.XLOOKUP(G255,[1]Sheet1!$G:$G,[1]Sheet1!$Q:$S))</f>
        <v/>
      </c>
      <c r="T255" s="15" t="str">
        <f>IF(Sheet2!F255="","",Sheet2!F255&amp;"""")</f>
        <v/>
      </c>
      <c r="U255" s="12" t="str" cm="1">
        <f t="array" ref="U255">IF(T255="","",_xlfn.XLOOKUP(G255,[1]Sheet1!$G:$G,[1]Sheet1!$U:$W))</f>
        <v/>
      </c>
      <c r="X255" s="15" t="str">
        <f>IF(Sheet2!G255="","",Sheet2!G255&amp;"''")</f>
        <v/>
      </c>
    </row>
    <row r="256" spans="7:24" x14ac:dyDescent="0.25">
      <c r="G256" s="15" t="str">
        <f>IF(Sheet2!A256="","",Sheet2!A256)</f>
        <v/>
      </c>
      <c r="H256" s="18" t="str">
        <f>IF(Sheet2!O256="","",LEFT(Sheet2!O256, FIND(" ", Sheet2!O256)-1))</f>
        <v/>
      </c>
      <c r="I256" s="15" t="str">
        <f>IF(Sheet2!S256&lt;19,ROUND(Sheet2!I256,2)&amp;"'",IF(Sheet2!S256&lt;25,ROUND(Sheet2!J256,2)&amp;"'",IF(Sheet2!S256&lt;31,ROUND(Sheet2!K256,2)&amp;"'",IF(Sheet2!S256&lt;37,ROUND(Sheet2!L256,2)&amp;"'",""))))</f>
        <v/>
      </c>
      <c r="L256" s="15" t="str">
        <f>IF(Sheet2!D256="","",Sheet2!D256&amp;"''")</f>
        <v/>
      </c>
      <c r="O256" s="16" t="str">
        <f>IF(Sheet2!H256="","",ROUND(Sheet2!H256,2)&amp;"'")</f>
        <v/>
      </c>
      <c r="P256" s="18" t="str">
        <f>IF(Sheet2!E256="","",Sheet2!E256&amp;"''")</f>
        <v/>
      </c>
      <c r="Q256" s="12" t="str" cm="1">
        <f t="array" ref="Q256">IF(P256="","",_xlfn.XLOOKUP(G256,[1]Sheet1!$G:$G,[1]Sheet1!$Q:$S))</f>
        <v/>
      </c>
      <c r="T256" s="15" t="str">
        <f>IF(Sheet2!F256="","",Sheet2!F256&amp;"""")</f>
        <v/>
      </c>
      <c r="U256" s="12" t="str" cm="1">
        <f t="array" ref="U256">IF(T256="","",_xlfn.XLOOKUP(G256,[1]Sheet1!$G:$G,[1]Sheet1!$U:$W))</f>
        <v/>
      </c>
      <c r="X256" s="15" t="str">
        <f>IF(Sheet2!G256="","",Sheet2!G256&amp;"''")</f>
        <v/>
      </c>
    </row>
    <row r="257" spans="7:24" x14ac:dyDescent="0.25">
      <c r="G257" s="15" t="str">
        <f>IF(Sheet2!A257="","",Sheet2!A257)</f>
        <v/>
      </c>
      <c r="H257" s="18" t="str">
        <f>IF(Sheet2!O257="","",LEFT(Sheet2!O257, FIND(" ", Sheet2!O257)-1))</f>
        <v/>
      </c>
      <c r="I257" s="15" t="str">
        <f>IF(Sheet2!S257&lt;19,ROUND(Sheet2!I257,2)&amp;"'",IF(Sheet2!S257&lt;25,ROUND(Sheet2!J257,2)&amp;"'",IF(Sheet2!S257&lt;31,ROUND(Sheet2!K257,2)&amp;"'",IF(Sheet2!S257&lt;37,ROUND(Sheet2!L257,2)&amp;"'",""))))</f>
        <v/>
      </c>
      <c r="L257" s="15" t="str">
        <f>IF(Sheet2!D257="","",Sheet2!D257&amp;"''")</f>
        <v/>
      </c>
      <c r="O257" s="16" t="str">
        <f>IF(Sheet2!H257="","",ROUND(Sheet2!H257,2)&amp;"'")</f>
        <v/>
      </c>
      <c r="P257" s="18" t="str">
        <f>IF(Sheet2!E257="","",Sheet2!E257&amp;"''")</f>
        <v/>
      </c>
      <c r="Q257" s="12" t="str" cm="1">
        <f t="array" ref="Q257">IF(P257="","",_xlfn.XLOOKUP(G257,[1]Sheet1!$G:$G,[1]Sheet1!$Q:$S))</f>
        <v/>
      </c>
      <c r="T257" s="15" t="str">
        <f>IF(Sheet2!F257="","",Sheet2!F257&amp;"""")</f>
        <v/>
      </c>
      <c r="U257" s="12" t="str" cm="1">
        <f t="array" ref="U257">IF(T257="","",_xlfn.XLOOKUP(G257,[1]Sheet1!$G:$G,[1]Sheet1!$U:$W))</f>
        <v/>
      </c>
      <c r="X257" s="15" t="str">
        <f>IF(Sheet2!G257="","",Sheet2!G257&amp;"''")</f>
        <v/>
      </c>
    </row>
    <row r="258" spans="7:24" x14ac:dyDescent="0.25">
      <c r="G258" s="15" t="str">
        <f>IF(Sheet2!A258="","",Sheet2!A258)</f>
        <v/>
      </c>
      <c r="H258" s="18" t="str">
        <f>IF(Sheet2!O258="","",LEFT(Sheet2!O258, FIND(" ", Sheet2!O258)-1))</f>
        <v/>
      </c>
      <c r="I258" s="15" t="str">
        <f>IF(Sheet2!S258&lt;19,ROUND(Sheet2!I258,2)&amp;"'",IF(Sheet2!S258&lt;25,ROUND(Sheet2!J258,2)&amp;"'",IF(Sheet2!S258&lt;31,ROUND(Sheet2!K258,2)&amp;"'",IF(Sheet2!S258&lt;37,ROUND(Sheet2!L258,2)&amp;"'",""))))</f>
        <v/>
      </c>
      <c r="L258" s="15" t="str">
        <f>IF(Sheet2!D258="","",Sheet2!D258&amp;"''")</f>
        <v/>
      </c>
      <c r="O258" s="16" t="str">
        <f>IF(Sheet2!H258="","",ROUND(Sheet2!H258,2)&amp;"'")</f>
        <v/>
      </c>
      <c r="P258" s="18" t="str">
        <f>IF(Sheet2!E258="","",Sheet2!E258&amp;"''")</f>
        <v/>
      </c>
      <c r="Q258" s="12" t="str" cm="1">
        <f t="array" ref="Q258">IF(P258="","",_xlfn.XLOOKUP(G258,[1]Sheet1!$G:$G,[1]Sheet1!$Q:$S))</f>
        <v/>
      </c>
      <c r="T258" s="15" t="str">
        <f>IF(Sheet2!F258="","",Sheet2!F258&amp;"""")</f>
        <v/>
      </c>
      <c r="U258" s="12" t="str" cm="1">
        <f t="array" ref="U258">IF(T258="","",_xlfn.XLOOKUP(G258,[1]Sheet1!$G:$G,[1]Sheet1!$U:$W))</f>
        <v/>
      </c>
      <c r="X258" s="15" t="str">
        <f>IF(Sheet2!G258="","",Sheet2!G258&amp;"''")</f>
        <v/>
      </c>
    </row>
    <row r="259" spans="7:24" x14ac:dyDescent="0.25">
      <c r="G259" s="15" t="str">
        <f>IF(Sheet2!A259="","",Sheet2!A259)</f>
        <v/>
      </c>
      <c r="H259" s="18" t="str">
        <f>IF(Sheet2!O259="","",LEFT(Sheet2!O259, FIND(" ", Sheet2!O259)-1))</f>
        <v/>
      </c>
      <c r="I259" s="15" t="str">
        <f>IF(Sheet2!S259&lt;19,ROUND(Sheet2!I259,2)&amp;"'",IF(Sheet2!S259&lt;25,ROUND(Sheet2!J259,2)&amp;"'",IF(Sheet2!S259&lt;31,ROUND(Sheet2!K259,2)&amp;"'",IF(Sheet2!S259&lt;37,ROUND(Sheet2!L259,2)&amp;"'",""))))</f>
        <v/>
      </c>
      <c r="L259" s="15" t="str">
        <f>IF(Sheet2!D259="","",Sheet2!D259&amp;"''")</f>
        <v/>
      </c>
      <c r="O259" s="16" t="str">
        <f>IF(Sheet2!H259="","",ROUND(Sheet2!H259,2)&amp;"'")</f>
        <v/>
      </c>
      <c r="P259" s="18" t="str">
        <f>IF(Sheet2!E259="","",Sheet2!E259&amp;"''")</f>
        <v/>
      </c>
      <c r="Q259" s="12" t="str" cm="1">
        <f t="array" ref="Q259">IF(P259="","",_xlfn.XLOOKUP(G259,[1]Sheet1!$G:$G,[1]Sheet1!$Q:$S))</f>
        <v/>
      </c>
      <c r="T259" s="15" t="str">
        <f>IF(Sheet2!F259="","",Sheet2!F259&amp;"""")</f>
        <v/>
      </c>
      <c r="U259" s="12" t="str" cm="1">
        <f t="array" ref="U259">IF(T259="","",_xlfn.XLOOKUP(G259,[1]Sheet1!$G:$G,[1]Sheet1!$U:$W))</f>
        <v/>
      </c>
      <c r="X259" s="15" t="str">
        <f>IF(Sheet2!G259="","",Sheet2!G259&amp;"''")</f>
        <v/>
      </c>
    </row>
    <row r="260" spans="7:24" x14ac:dyDescent="0.25">
      <c r="G260" s="15" t="str">
        <f>IF(Sheet2!A260="","",Sheet2!A260)</f>
        <v/>
      </c>
      <c r="H260" s="18" t="str">
        <f>IF(Sheet2!O260="","",LEFT(Sheet2!O260, FIND(" ", Sheet2!O260)-1))</f>
        <v/>
      </c>
      <c r="I260" s="15" t="str">
        <f>IF(Sheet2!S260&lt;19,ROUND(Sheet2!I260,2)&amp;"'",IF(Sheet2!S260&lt;25,ROUND(Sheet2!J260,2)&amp;"'",IF(Sheet2!S260&lt;31,ROUND(Sheet2!K260,2)&amp;"'",IF(Sheet2!S260&lt;37,ROUND(Sheet2!L260,2)&amp;"'",""))))</f>
        <v/>
      </c>
      <c r="L260" s="15" t="str">
        <f>IF(Sheet2!D260="","",Sheet2!D260&amp;"''")</f>
        <v/>
      </c>
      <c r="O260" s="16" t="str">
        <f>IF(Sheet2!H260="","",ROUND(Sheet2!H260,2)&amp;"'")</f>
        <v/>
      </c>
      <c r="P260" s="18" t="str">
        <f>IF(Sheet2!E260="","",Sheet2!E260&amp;"''")</f>
        <v/>
      </c>
      <c r="Q260" s="12" t="str" cm="1">
        <f t="array" ref="Q260">IF(P260="","",_xlfn.XLOOKUP(G260,[1]Sheet1!$G:$G,[1]Sheet1!$Q:$S))</f>
        <v/>
      </c>
      <c r="T260" s="15" t="str">
        <f>IF(Sheet2!F260="","",Sheet2!F260&amp;"""")</f>
        <v/>
      </c>
      <c r="U260" s="12" t="str" cm="1">
        <f t="array" ref="U260">IF(T260="","",_xlfn.XLOOKUP(G260,[1]Sheet1!$G:$G,[1]Sheet1!$U:$W))</f>
        <v/>
      </c>
      <c r="X260" s="15" t="str">
        <f>IF(Sheet2!G260="","",Sheet2!G260&amp;"''")</f>
        <v/>
      </c>
    </row>
    <row r="261" spans="7:24" x14ac:dyDescent="0.25">
      <c r="G261" s="15" t="str">
        <f>IF(Sheet2!A261="","",Sheet2!A261)</f>
        <v/>
      </c>
      <c r="H261" s="18" t="str">
        <f>IF(Sheet2!O261="","",LEFT(Sheet2!O261, FIND(" ", Sheet2!O261)-1))</f>
        <v/>
      </c>
      <c r="I261" s="15" t="str">
        <f>IF(Sheet2!S261&lt;19,ROUND(Sheet2!I261,2)&amp;"'",IF(Sheet2!S261&lt;25,ROUND(Sheet2!J261,2)&amp;"'",IF(Sheet2!S261&lt;31,ROUND(Sheet2!K261,2)&amp;"'",IF(Sheet2!S261&lt;37,ROUND(Sheet2!L261,2)&amp;"'",""))))</f>
        <v/>
      </c>
      <c r="L261" s="15" t="str">
        <f>IF(Sheet2!D261="","",Sheet2!D261&amp;"''")</f>
        <v/>
      </c>
      <c r="O261" s="16" t="str">
        <f>IF(Sheet2!H261="","",ROUND(Sheet2!H261,2)&amp;"'")</f>
        <v/>
      </c>
      <c r="P261" s="18" t="str">
        <f>IF(Sheet2!E261="","",Sheet2!E261&amp;"''")</f>
        <v/>
      </c>
      <c r="Q261" s="12" t="str" cm="1">
        <f t="array" ref="Q261">IF(P261="","",_xlfn.XLOOKUP(G261,[1]Sheet1!$G:$G,[1]Sheet1!$Q:$S))</f>
        <v/>
      </c>
      <c r="T261" s="15" t="str">
        <f>IF(Sheet2!F261="","",Sheet2!F261&amp;"""")</f>
        <v/>
      </c>
      <c r="U261" s="12" t="str" cm="1">
        <f t="array" ref="U261">IF(T261="","",_xlfn.XLOOKUP(G261,[1]Sheet1!$G:$G,[1]Sheet1!$U:$W))</f>
        <v/>
      </c>
      <c r="X261" s="15" t="str">
        <f>IF(Sheet2!G261="","",Sheet2!G261&amp;"''")</f>
        <v/>
      </c>
    </row>
    <row r="262" spans="7:24" x14ac:dyDescent="0.25">
      <c r="G262" s="15" t="str">
        <f>IF(Sheet2!A262="","",Sheet2!A262)</f>
        <v/>
      </c>
      <c r="H262" s="18" t="str">
        <f>IF(Sheet2!O262="","",LEFT(Sheet2!O262, FIND(" ", Sheet2!O262)-1))</f>
        <v/>
      </c>
      <c r="I262" s="15" t="str">
        <f>IF(Sheet2!S262&lt;19,ROUND(Sheet2!I262,2)&amp;"'",IF(Sheet2!S262&lt;25,ROUND(Sheet2!J262,2)&amp;"'",IF(Sheet2!S262&lt;31,ROUND(Sheet2!K262,2)&amp;"'",IF(Sheet2!S262&lt;37,ROUND(Sheet2!L262,2)&amp;"'",""))))</f>
        <v/>
      </c>
      <c r="L262" s="15" t="str">
        <f>IF(Sheet2!D262="","",Sheet2!D262&amp;"''")</f>
        <v/>
      </c>
      <c r="O262" s="16" t="str">
        <f>IF(Sheet2!H262="","",ROUND(Sheet2!H262,2)&amp;"'")</f>
        <v/>
      </c>
      <c r="P262" s="18" t="str">
        <f>IF(Sheet2!E262="","",Sheet2!E262&amp;"''")</f>
        <v/>
      </c>
      <c r="Q262" s="12" t="str" cm="1">
        <f t="array" ref="Q262">IF(P262="","",_xlfn.XLOOKUP(G262,[1]Sheet1!$G:$G,[1]Sheet1!$Q:$S))</f>
        <v/>
      </c>
      <c r="T262" s="15" t="str">
        <f>IF(Sheet2!F262="","",Sheet2!F262&amp;"""")</f>
        <v/>
      </c>
      <c r="U262" s="12" t="str" cm="1">
        <f t="array" ref="U262">IF(T262="","",_xlfn.XLOOKUP(G262,[1]Sheet1!$G:$G,[1]Sheet1!$U:$W))</f>
        <v/>
      </c>
      <c r="X262" s="15" t="str">
        <f>IF(Sheet2!G262="","",Sheet2!G262&amp;"''")</f>
        <v/>
      </c>
    </row>
    <row r="263" spans="7:24" x14ac:dyDescent="0.25">
      <c r="G263" s="15" t="str">
        <f>IF(Sheet2!A263="","",Sheet2!A263)</f>
        <v/>
      </c>
      <c r="H263" s="18" t="str">
        <f>IF(Sheet2!O263="","",LEFT(Sheet2!O263, FIND(" ", Sheet2!O263)-1))</f>
        <v/>
      </c>
      <c r="I263" s="15" t="str">
        <f>IF(Sheet2!S263&lt;19,ROUND(Sheet2!I263,2)&amp;"'",IF(Sheet2!S263&lt;25,ROUND(Sheet2!J263,2)&amp;"'",IF(Sheet2!S263&lt;31,ROUND(Sheet2!K263,2)&amp;"'",IF(Sheet2!S263&lt;37,ROUND(Sheet2!L263,2)&amp;"'",""))))</f>
        <v/>
      </c>
      <c r="L263" s="15" t="str">
        <f>IF(Sheet2!D263="","",Sheet2!D263&amp;"''")</f>
        <v/>
      </c>
      <c r="O263" s="16" t="str">
        <f>IF(Sheet2!H263="","",ROUND(Sheet2!H263,2)&amp;"'")</f>
        <v/>
      </c>
      <c r="P263" s="18" t="str">
        <f>IF(Sheet2!E263="","",Sheet2!E263&amp;"''")</f>
        <v/>
      </c>
      <c r="Q263" s="12" t="str" cm="1">
        <f t="array" ref="Q263">IF(P263="","",_xlfn.XLOOKUP(G263,[1]Sheet1!$G:$G,[1]Sheet1!$Q:$S))</f>
        <v/>
      </c>
      <c r="T263" s="15" t="str">
        <f>IF(Sheet2!F263="","",Sheet2!F263&amp;"""")</f>
        <v/>
      </c>
      <c r="U263" s="12" t="str" cm="1">
        <f t="array" ref="U263">IF(T263="","",_xlfn.XLOOKUP(G263,[1]Sheet1!$G:$G,[1]Sheet1!$U:$W))</f>
        <v/>
      </c>
      <c r="X263" s="15" t="str">
        <f>IF(Sheet2!G263="","",Sheet2!G263&amp;"''")</f>
        <v/>
      </c>
    </row>
    <row r="264" spans="7:24" x14ac:dyDescent="0.25">
      <c r="G264" s="15" t="str">
        <f>IF(Sheet2!A264="","",Sheet2!A264)</f>
        <v/>
      </c>
      <c r="H264" s="18" t="str">
        <f>IF(Sheet2!O264="","",LEFT(Sheet2!O264, FIND(" ", Sheet2!O264)-1))</f>
        <v/>
      </c>
      <c r="I264" s="15" t="str">
        <f>IF(Sheet2!S264&lt;19,ROUND(Sheet2!I264,2)&amp;"'",IF(Sheet2!S264&lt;25,ROUND(Sheet2!J264,2)&amp;"'",IF(Sheet2!S264&lt;31,ROUND(Sheet2!K264,2)&amp;"'",IF(Sheet2!S264&lt;37,ROUND(Sheet2!L264,2)&amp;"'",""))))</f>
        <v/>
      </c>
      <c r="L264" s="15" t="str">
        <f>IF(Sheet2!D264="","",Sheet2!D264&amp;"''")</f>
        <v/>
      </c>
      <c r="O264" s="16" t="str">
        <f>IF(Sheet2!H264="","",ROUND(Sheet2!H264,2)&amp;"'")</f>
        <v/>
      </c>
      <c r="P264" s="18" t="str">
        <f>IF(Sheet2!E264="","",Sheet2!E264&amp;"''")</f>
        <v/>
      </c>
      <c r="Q264" s="12" t="str" cm="1">
        <f t="array" ref="Q264">IF(P264="","",_xlfn.XLOOKUP(G264,[1]Sheet1!$G:$G,[1]Sheet1!$Q:$S))</f>
        <v/>
      </c>
      <c r="T264" s="15" t="str">
        <f>IF(Sheet2!F264="","",Sheet2!F264&amp;"""")</f>
        <v/>
      </c>
      <c r="U264" s="12" t="str" cm="1">
        <f t="array" ref="U264">IF(T264="","",_xlfn.XLOOKUP(G264,[1]Sheet1!$G:$G,[1]Sheet1!$U:$W))</f>
        <v/>
      </c>
      <c r="X264" s="15" t="str">
        <f>IF(Sheet2!G264="","",Sheet2!G264&amp;"''")</f>
        <v/>
      </c>
    </row>
    <row r="265" spans="7:24" x14ac:dyDescent="0.25">
      <c r="G265" s="15" t="str">
        <f>IF(Sheet2!A265="","",Sheet2!A265)</f>
        <v/>
      </c>
      <c r="H265" s="18" t="str">
        <f>IF(Sheet2!O265="","",LEFT(Sheet2!O265, FIND(" ", Sheet2!O265)-1))</f>
        <v/>
      </c>
      <c r="I265" s="15" t="str">
        <f>IF(Sheet2!S265&lt;19,ROUND(Sheet2!I265,2)&amp;"'",IF(Sheet2!S265&lt;25,ROUND(Sheet2!J265,2)&amp;"'",IF(Sheet2!S265&lt;31,ROUND(Sheet2!K265,2)&amp;"'",IF(Sheet2!S265&lt;37,ROUND(Sheet2!L265,2)&amp;"'",""))))</f>
        <v/>
      </c>
      <c r="L265" s="15" t="str">
        <f>IF(Sheet2!D265="","",Sheet2!D265&amp;"''")</f>
        <v/>
      </c>
      <c r="O265" s="16" t="str">
        <f>IF(Sheet2!H265="","",ROUND(Sheet2!H265,2)&amp;"'")</f>
        <v/>
      </c>
      <c r="P265" s="18" t="str">
        <f>IF(Sheet2!E265="","",Sheet2!E265&amp;"''")</f>
        <v/>
      </c>
      <c r="Q265" s="12" t="str" cm="1">
        <f t="array" ref="Q265">IF(P265="","",_xlfn.XLOOKUP(G265,[1]Sheet1!$G:$G,[1]Sheet1!$Q:$S))</f>
        <v/>
      </c>
      <c r="T265" s="15" t="str">
        <f>IF(Sheet2!F265="","",Sheet2!F265&amp;"""")</f>
        <v/>
      </c>
      <c r="U265" s="12" t="str" cm="1">
        <f t="array" ref="U265">IF(T265="","",_xlfn.XLOOKUP(G265,[1]Sheet1!$G:$G,[1]Sheet1!$U:$W))</f>
        <v/>
      </c>
      <c r="X265" s="15" t="str">
        <f>IF(Sheet2!G265="","",Sheet2!G265&amp;"''")</f>
        <v/>
      </c>
    </row>
    <row r="266" spans="7:24" x14ac:dyDescent="0.25">
      <c r="G266" s="15" t="str">
        <f>IF(Sheet2!A266="","",Sheet2!A266)</f>
        <v/>
      </c>
      <c r="H266" s="18" t="str">
        <f>IF(Sheet2!O266="","",LEFT(Sheet2!O266, FIND(" ", Sheet2!O266)-1))</f>
        <v/>
      </c>
      <c r="I266" s="15" t="str">
        <f>IF(Sheet2!S266&lt;19,ROUND(Sheet2!I266,2)&amp;"'",IF(Sheet2!S266&lt;25,ROUND(Sheet2!J266,2)&amp;"'",IF(Sheet2!S266&lt;31,ROUND(Sheet2!K266,2)&amp;"'",IF(Sheet2!S266&lt;37,ROUND(Sheet2!L266,2)&amp;"'",""))))</f>
        <v/>
      </c>
      <c r="L266" s="15" t="str">
        <f>IF(Sheet2!D266="","",Sheet2!D266&amp;"''")</f>
        <v/>
      </c>
      <c r="O266" s="16" t="str">
        <f>IF(Sheet2!H266="","",ROUND(Sheet2!H266,2)&amp;"'")</f>
        <v/>
      </c>
      <c r="P266" s="18" t="str">
        <f>IF(Sheet2!E266="","",Sheet2!E266&amp;"''")</f>
        <v/>
      </c>
      <c r="Q266" s="12" t="str" cm="1">
        <f t="array" ref="Q266">IF(P266="","",_xlfn.XLOOKUP(G266,[1]Sheet1!$G:$G,[1]Sheet1!$Q:$S))</f>
        <v/>
      </c>
      <c r="T266" s="15" t="str">
        <f>IF(Sheet2!F266="","",Sheet2!F266&amp;"""")</f>
        <v/>
      </c>
      <c r="U266" s="12" t="str" cm="1">
        <f t="array" ref="U266">IF(T266="","",_xlfn.XLOOKUP(G266,[1]Sheet1!$G:$G,[1]Sheet1!$U:$W))</f>
        <v/>
      </c>
      <c r="X266" s="15" t="str">
        <f>IF(Sheet2!G266="","",Sheet2!G266&amp;"''")</f>
        <v/>
      </c>
    </row>
    <row r="267" spans="7:24" x14ac:dyDescent="0.25">
      <c r="G267" s="15" t="str">
        <f>IF(Sheet2!A267="","",Sheet2!A267)</f>
        <v/>
      </c>
      <c r="H267" s="18" t="str">
        <f>IF(Sheet2!O267="","",LEFT(Sheet2!O267, FIND(" ", Sheet2!O267)-1))</f>
        <v/>
      </c>
      <c r="I267" s="15" t="str">
        <f>IF(Sheet2!S267&lt;19,ROUND(Sheet2!I267,2)&amp;"'",IF(Sheet2!S267&lt;25,ROUND(Sheet2!J267,2)&amp;"'",IF(Sheet2!S267&lt;31,ROUND(Sheet2!K267,2)&amp;"'",IF(Sheet2!S267&lt;37,ROUND(Sheet2!L267,2)&amp;"'",""))))</f>
        <v/>
      </c>
      <c r="L267" s="15" t="str">
        <f>IF(Sheet2!D267="","",Sheet2!D267&amp;"''")</f>
        <v/>
      </c>
      <c r="O267" s="16" t="str">
        <f>IF(Sheet2!H267="","",ROUND(Sheet2!H267,2)&amp;"'")</f>
        <v/>
      </c>
      <c r="P267" s="18" t="str">
        <f>IF(Sheet2!E267="","",Sheet2!E267&amp;"''")</f>
        <v/>
      </c>
      <c r="Q267" s="12" t="str" cm="1">
        <f t="array" ref="Q267">IF(P267="","",_xlfn.XLOOKUP(G267,[1]Sheet1!$G:$G,[1]Sheet1!$Q:$S))</f>
        <v/>
      </c>
      <c r="T267" s="15" t="str">
        <f>IF(Sheet2!F267="","",Sheet2!F267&amp;"""")</f>
        <v/>
      </c>
      <c r="U267" s="12" t="str" cm="1">
        <f t="array" ref="U267">IF(T267="","",_xlfn.XLOOKUP(G267,[1]Sheet1!$G:$G,[1]Sheet1!$U:$W))</f>
        <v/>
      </c>
      <c r="X267" s="15" t="str">
        <f>IF(Sheet2!G267="","",Sheet2!G267&amp;"''")</f>
        <v/>
      </c>
    </row>
    <row r="268" spans="7:24" x14ac:dyDescent="0.25">
      <c r="G268" s="15" t="str">
        <f>IF(Sheet2!A268="","",Sheet2!A268)</f>
        <v/>
      </c>
      <c r="H268" s="18" t="str">
        <f>IF(Sheet2!O268="","",LEFT(Sheet2!O268, FIND(" ", Sheet2!O268)-1))</f>
        <v/>
      </c>
      <c r="I268" s="15" t="str">
        <f>IF(Sheet2!S268&lt;19,ROUND(Sheet2!I268,2)&amp;"'",IF(Sheet2!S268&lt;25,ROUND(Sheet2!J268,2)&amp;"'",IF(Sheet2!S268&lt;31,ROUND(Sheet2!K268,2)&amp;"'",IF(Sheet2!S268&lt;37,ROUND(Sheet2!L268,2)&amp;"'",""))))</f>
        <v/>
      </c>
      <c r="L268" s="15" t="str">
        <f>IF(Sheet2!D268="","",Sheet2!D268&amp;"''")</f>
        <v/>
      </c>
      <c r="O268" s="16" t="str">
        <f>IF(Sheet2!H268="","",ROUND(Sheet2!H268,2)&amp;"'")</f>
        <v/>
      </c>
      <c r="P268" s="18" t="str">
        <f>IF(Sheet2!E268="","",Sheet2!E268&amp;"''")</f>
        <v/>
      </c>
      <c r="Q268" s="12" t="str" cm="1">
        <f t="array" ref="Q268">IF(P268="","",_xlfn.XLOOKUP(G268,[1]Sheet1!$G:$G,[1]Sheet1!$Q:$S))</f>
        <v/>
      </c>
      <c r="T268" s="15" t="str">
        <f>IF(Sheet2!F268="","",Sheet2!F268&amp;"""")</f>
        <v/>
      </c>
      <c r="U268" s="12" t="str" cm="1">
        <f t="array" ref="U268">IF(T268="","",_xlfn.XLOOKUP(G268,[1]Sheet1!$G:$G,[1]Sheet1!$U:$W))</f>
        <v/>
      </c>
      <c r="X268" s="15" t="str">
        <f>IF(Sheet2!G268="","",Sheet2!G268&amp;"''")</f>
        <v/>
      </c>
    </row>
    <row r="269" spans="7:24" x14ac:dyDescent="0.25">
      <c r="G269" s="15" t="str">
        <f>IF(Sheet2!A269="","",Sheet2!A269)</f>
        <v/>
      </c>
      <c r="H269" s="18" t="str">
        <f>IF(Sheet2!O269="","",LEFT(Sheet2!O269, FIND(" ", Sheet2!O269)-1))</f>
        <v/>
      </c>
      <c r="I269" s="15" t="str">
        <f>IF(Sheet2!S269&lt;19,ROUND(Sheet2!I269,2)&amp;"'",IF(Sheet2!S269&lt;25,ROUND(Sheet2!J269,2)&amp;"'",IF(Sheet2!S269&lt;31,ROUND(Sheet2!K269,2)&amp;"'",IF(Sheet2!S269&lt;37,ROUND(Sheet2!L269,2)&amp;"'",""))))</f>
        <v/>
      </c>
      <c r="L269" s="15" t="str">
        <f>IF(Sheet2!D269="","",Sheet2!D269&amp;"''")</f>
        <v/>
      </c>
      <c r="O269" s="16" t="str">
        <f>IF(Sheet2!H269="","",ROUND(Sheet2!H269,2)&amp;"'")</f>
        <v/>
      </c>
      <c r="P269" s="18" t="str">
        <f>IF(Sheet2!E269="","",Sheet2!E269&amp;"''")</f>
        <v/>
      </c>
      <c r="Q269" s="12" t="str" cm="1">
        <f t="array" ref="Q269">IF(P269="","",_xlfn.XLOOKUP(G269,[1]Sheet1!$G:$G,[1]Sheet1!$Q:$S))</f>
        <v/>
      </c>
      <c r="T269" s="15" t="str">
        <f>IF(Sheet2!F269="","",Sheet2!F269&amp;"""")</f>
        <v/>
      </c>
      <c r="U269" s="12" t="str" cm="1">
        <f t="array" ref="U269">IF(T269="","",_xlfn.XLOOKUP(G269,[1]Sheet1!$G:$G,[1]Sheet1!$U:$W))</f>
        <v/>
      </c>
      <c r="X269" s="15" t="str">
        <f>IF(Sheet2!G269="","",Sheet2!G269&amp;"''")</f>
        <v/>
      </c>
    </row>
    <row r="270" spans="7:24" x14ac:dyDescent="0.25">
      <c r="G270" s="15" t="str">
        <f>IF(Sheet2!A270="","",Sheet2!A270)</f>
        <v/>
      </c>
      <c r="H270" s="18" t="str">
        <f>IF(Sheet2!O270="","",LEFT(Sheet2!O270, FIND(" ", Sheet2!O270)-1))</f>
        <v/>
      </c>
      <c r="I270" s="15" t="str">
        <f>IF(Sheet2!S270&lt;19,ROUND(Sheet2!I270,2)&amp;"'",IF(Sheet2!S270&lt;25,ROUND(Sheet2!J270,2)&amp;"'",IF(Sheet2!S270&lt;31,ROUND(Sheet2!K270,2)&amp;"'",IF(Sheet2!S270&lt;37,ROUND(Sheet2!L270,2)&amp;"'",""))))</f>
        <v/>
      </c>
      <c r="L270" s="15" t="str">
        <f>IF(Sheet2!D270="","",Sheet2!D270&amp;"''")</f>
        <v/>
      </c>
      <c r="O270" s="16" t="str">
        <f>IF(Sheet2!H270="","",ROUND(Sheet2!H270,2)&amp;"'")</f>
        <v/>
      </c>
      <c r="P270" s="18" t="str">
        <f>IF(Sheet2!E270="","",Sheet2!E270&amp;"''")</f>
        <v/>
      </c>
      <c r="Q270" s="12" t="str" cm="1">
        <f t="array" ref="Q270">IF(P270="","",_xlfn.XLOOKUP(G270,[1]Sheet1!$G:$G,[1]Sheet1!$Q:$S))</f>
        <v/>
      </c>
      <c r="T270" s="15" t="str">
        <f>IF(Sheet2!F270="","",Sheet2!F270&amp;"""")</f>
        <v/>
      </c>
      <c r="U270" s="12" t="str" cm="1">
        <f t="array" ref="U270">IF(T270="","",_xlfn.XLOOKUP(G270,[1]Sheet1!$G:$G,[1]Sheet1!$U:$W))</f>
        <v/>
      </c>
      <c r="X270" s="15" t="str">
        <f>IF(Sheet2!G270="","",Sheet2!G270&amp;"''")</f>
        <v/>
      </c>
    </row>
    <row r="271" spans="7:24" x14ac:dyDescent="0.25">
      <c r="G271" s="15" t="str">
        <f>IF(Sheet2!A271="","",Sheet2!A271)</f>
        <v/>
      </c>
      <c r="H271" s="18" t="str">
        <f>IF(Sheet2!O271="","",LEFT(Sheet2!O271, FIND(" ", Sheet2!O271)-1))</f>
        <v/>
      </c>
      <c r="I271" s="15" t="str">
        <f>IF(Sheet2!S271&lt;19,ROUND(Sheet2!I271,2)&amp;"'",IF(Sheet2!S271&lt;25,ROUND(Sheet2!J271,2)&amp;"'",IF(Sheet2!S271&lt;31,ROUND(Sheet2!K271,2)&amp;"'",IF(Sheet2!S271&lt;37,ROUND(Sheet2!L271,2)&amp;"'",""))))</f>
        <v/>
      </c>
      <c r="L271" s="15" t="str">
        <f>IF(Sheet2!D271="","",Sheet2!D271&amp;"''")</f>
        <v/>
      </c>
      <c r="O271" s="16" t="str">
        <f>IF(Sheet2!H271="","",ROUND(Sheet2!H271,2)&amp;"'")</f>
        <v/>
      </c>
      <c r="P271" s="18" t="str">
        <f>IF(Sheet2!E271="","",Sheet2!E271&amp;"''")</f>
        <v/>
      </c>
      <c r="Q271" s="12" t="str" cm="1">
        <f t="array" ref="Q271">IF(P271="","",_xlfn.XLOOKUP(G271,[1]Sheet1!$G:$G,[1]Sheet1!$Q:$S))</f>
        <v/>
      </c>
      <c r="T271" s="15" t="str">
        <f>IF(Sheet2!F271="","",Sheet2!F271&amp;"""")</f>
        <v/>
      </c>
      <c r="U271" s="12" t="str" cm="1">
        <f t="array" ref="U271">IF(T271="","",_xlfn.XLOOKUP(G271,[1]Sheet1!$G:$G,[1]Sheet1!$U:$W))</f>
        <v/>
      </c>
      <c r="X271" s="15" t="str">
        <f>IF(Sheet2!G271="","",Sheet2!G271&amp;"''")</f>
        <v/>
      </c>
    </row>
    <row r="272" spans="7:24" x14ac:dyDescent="0.25">
      <c r="G272" s="15" t="str">
        <f>IF(Sheet2!A272="","",Sheet2!A272)</f>
        <v/>
      </c>
      <c r="H272" s="18" t="str">
        <f>IF(Sheet2!O272="","",LEFT(Sheet2!O272, FIND(" ", Sheet2!O272)-1))</f>
        <v/>
      </c>
      <c r="I272" s="15" t="str">
        <f>IF(Sheet2!S272&lt;19,ROUND(Sheet2!I272,2)&amp;"'",IF(Sheet2!S272&lt;25,ROUND(Sheet2!J272,2)&amp;"'",IF(Sheet2!S272&lt;31,ROUND(Sheet2!K272,2)&amp;"'",IF(Sheet2!S272&lt;37,ROUND(Sheet2!L272,2)&amp;"'",""))))</f>
        <v/>
      </c>
      <c r="L272" s="15" t="str">
        <f>IF(Sheet2!D272="","",Sheet2!D272&amp;"''")</f>
        <v/>
      </c>
      <c r="O272" s="16" t="str">
        <f>IF(Sheet2!H272="","",ROUND(Sheet2!H272,2)&amp;"'")</f>
        <v/>
      </c>
      <c r="P272" s="18" t="str">
        <f>IF(Sheet2!E272="","",Sheet2!E272&amp;"''")</f>
        <v/>
      </c>
      <c r="Q272" s="12" t="str" cm="1">
        <f t="array" ref="Q272">IF(P272="","",_xlfn.XLOOKUP(G272,[1]Sheet1!$G:$G,[1]Sheet1!$Q:$S))</f>
        <v/>
      </c>
      <c r="T272" s="15" t="str">
        <f>IF(Sheet2!F272="","",Sheet2!F272&amp;"""")</f>
        <v/>
      </c>
      <c r="U272" s="12" t="str" cm="1">
        <f t="array" ref="U272">IF(T272="","",_xlfn.XLOOKUP(G272,[1]Sheet1!$G:$G,[1]Sheet1!$U:$W))</f>
        <v/>
      </c>
      <c r="X272" s="15" t="str">
        <f>IF(Sheet2!G272="","",Sheet2!G272&amp;"''")</f>
        <v/>
      </c>
    </row>
    <row r="273" spans="7:24" x14ac:dyDescent="0.25">
      <c r="G273" s="15" t="str">
        <f>IF(Sheet2!A273="","",Sheet2!A273)</f>
        <v/>
      </c>
      <c r="H273" s="18" t="str">
        <f>IF(Sheet2!O273="","",LEFT(Sheet2!O273, FIND(" ", Sheet2!O273)-1))</f>
        <v/>
      </c>
      <c r="I273" s="15" t="str">
        <f>IF(Sheet2!S273&lt;19,ROUND(Sheet2!I273,2)&amp;"'",IF(Sheet2!S273&lt;25,ROUND(Sheet2!J273,2)&amp;"'",IF(Sheet2!S273&lt;31,ROUND(Sheet2!K273,2)&amp;"'",IF(Sheet2!S273&lt;37,ROUND(Sheet2!L273,2)&amp;"'",""))))</f>
        <v/>
      </c>
      <c r="L273" s="15" t="str">
        <f>IF(Sheet2!D273="","",Sheet2!D273&amp;"''")</f>
        <v/>
      </c>
      <c r="O273" s="16" t="str">
        <f>IF(Sheet2!H273="","",ROUND(Sheet2!H273,2)&amp;"'")</f>
        <v/>
      </c>
      <c r="P273" s="18" t="str">
        <f>IF(Sheet2!E273="","",Sheet2!E273&amp;"''")</f>
        <v/>
      </c>
      <c r="Q273" s="12" t="str" cm="1">
        <f t="array" ref="Q273">IF(P273="","",_xlfn.XLOOKUP(G273,[1]Sheet1!$G:$G,[1]Sheet1!$Q:$S))</f>
        <v/>
      </c>
      <c r="T273" s="15" t="str">
        <f>IF(Sheet2!F273="","",Sheet2!F273&amp;"""")</f>
        <v/>
      </c>
      <c r="U273" s="12" t="str" cm="1">
        <f t="array" ref="U273">IF(T273="","",_xlfn.XLOOKUP(G273,[1]Sheet1!$G:$G,[1]Sheet1!$U:$W))</f>
        <v/>
      </c>
      <c r="X273" s="15" t="str">
        <f>IF(Sheet2!G273="","",Sheet2!G273&amp;"''")</f>
        <v/>
      </c>
    </row>
    <row r="274" spans="7:24" x14ac:dyDescent="0.25">
      <c r="G274" s="15" t="str">
        <f>IF(Sheet2!A274="","",Sheet2!A274)</f>
        <v/>
      </c>
      <c r="H274" s="18" t="str">
        <f>IF(Sheet2!O274="","",LEFT(Sheet2!O274, FIND(" ", Sheet2!O274)-1))</f>
        <v/>
      </c>
      <c r="I274" s="15" t="str">
        <f>IF(Sheet2!S274&lt;19,ROUND(Sheet2!I274,2)&amp;"'",IF(Sheet2!S274&lt;25,ROUND(Sheet2!J274,2)&amp;"'",IF(Sheet2!S274&lt;31,ROUND(Sheet2!K274,2)&amp;"'",IF(Sheet2!S274&lt;37,ROUND(Sheet2!L274,2)&amp;"'",""))))</f>
        <v/>
      </c>
      <c r="L274" s="15" t="str">
        <f>IF(Sheet2!D274="","",Sheet2!D274&amp;"''")</f>
        <v/>
      </c>
      <c r="O274" s="16" t="str">
        <f>IF(Sheet2!H274="","",ROUND(Sheet2!H274,2)&amp;"'")</f>
        <v/>
      </c>
      <c r="P274" s="18" t="str">
        <f>IF(Sheet2!E274="","",Sheet2!E274&amp;"''")</f>
        <v/>
      </c>
      <c r="Q274" s="12" t="str" cm="1">
        <f t="array" ref="Q274">IF(P274="","",_xlfn.XLOOKUP(G274,[1]Sheet1!$G:$G,[1]Sheet1!$Q:$S))</f>
        <v/>
      </c>
      <c r="T274" s="15" t="str">
        <f>IF(Sheet2!F274="","",Sheet2!F274&amp;"""")</f>
        <v/>
      </c>
      <c r="U274" s="12" t="str" cm="1">
        <f t="array" ref="U274">IF(T274="","",_xlfn.XLOOKUP(G274,[1]Sheet1!$G:$G,[1]Sheet1!$U:$W))</f>
        <v/>
      </c>
      <c r="X274" s="15" t="str">
        <f>IF(Sheet2!G274="","",Sheet2!G274&amp;"''")</f>
        <v/>
      </c>
    </row>
    <row r="275" spans="7:24" x14ac:dyDescent="0.25">
      <c r="G275" s="15" t="str">
        <f>IF(Sheet2!A275="","",Sheet2!A275)</f>
        <v/>
      </c>
      <c r="H275" s="18" t="str">
        <f>IF(Sheet2!O275="","",LEFT(Sheet2!O275, FIND(" ", Sheet2!O275)-1))</f>
        <v/>
      </c>
      <c r="I275" s="15" t="str">
        <f>IF(Sheet2!S275&lt;19,ROUND(Sheet2!I275,2)&amp;"'",IF(Sheet2!S275&lt;25,ROUND(Sheet2!J275,2)&amp;"'",IF(Sheet2!S275&lt;31,ROUND(Sheet2!K275,2)&amp;"'",IF(Sheet2!S275&lt;37,ROUND(Sheet2!L275,2)&amp;"'",""))))</f>
        <v/>
      </c>
      <c r="L275" s="15" t="str">
        <f>IF(Sheet2!D275="","",Sheet2!D275&amp;"''")</f>
        <v/>
      </c>
      <c r="O275" s="16" t="str">
        <f>IF(Sheet2!H275="","",ROUND(Sheet2!H275,2)&amp;"'")</f>
        <v/>
      </c>
      <c r="P275" s="18" t="str">
        <f>IF(Sheet2!E275="","",Sheet2!E275&amp;"''")</f>
        <v/>
      </c>
      <c r="Q275" s="12" t="str" cm="1">
        <f t="array" ref="Q275">IF(P275="","",_xlfn.XLOOKUP(G275,[1]Sheet1!$G:$G,[1]Sheet1!$Q:$S))</f>
        <v/>
      </c>
      <c r="T275" s="15" t="str">
        <f>IF(Sheet2!F275="","",Sheet2!F275&amp;"""")</f>
        <v/>
      </c>
      <c r="U275" s="12" t="str" cm="1">
        <f t="array" ref="U275">IF(T275="","",_xlfn.XLOOKUP(G275,[1]Sheet1!$G:$G,[1]Sheet1!$U:$W))</f>
        <v/>
      </c>
      <c r="X275" s="15" t="str">
        <f>IF(Sheet2!G275="","",Sheet2!G275&amp;"''")</f>
        <v/>
      </c>
    </row>
    <row r="276" spans="7:24" x14ac:dyDescent="0.25">
      <c r="G276" s="15" t="str">
        <f>IF(Sheet2!A276="","",Sheet2!A276)</f>
        <v/>
      </c>
      <c r="H276" s="18" t="str">
        <f>IF(Sheet2!O276="","",LEFT(Sheet2!O276, FIND(" ", Sheet2!O276)-1))</f>
        <v/>
      </c>
      <c r="I276" s="15" t="str">
        <f>IF(Sheet2!S276&lt;19,ROUND(Sheet2!I276,2)&amp;"'",IF(Sheet2!S276&lt;25,ROUND(Sheet2!J276,2)&amp;"'",IF(Sheet2!S276&lt;31,ROUND(Sheet2!K276,2)&amp;"'",IF(Sheet2!S276&lt;37,ROUND(Sheet2!L276,2)&amp;"'",""))))</f>
        <v/>
      </c>
      <c r="L276" s="15" t="str">
        <f>IF(Sheet2!D276="","",Sheet2!D276&amp;"''")</f>
        <v/>
      </c>
      <c r="O276" s="16" t="str">
        <f>IF(Sheet2!H276="","",ROUND(Sheet2!H276,2)&amp;"'")</f>
        <v/>
      </c>
      <c r="P276" s="18" t="str">
        <f>IF(Sheet2!E276="","",Sheet2!E276&amp;"''")</f>
        <v/>
      </c>
      <c r="Q276" s="12" t="str" cm="1">
        <f t="array" ref="Q276">IF(P276="","",_xlfn.XLOOKUP(G276,[1]Sheet1!$G:$G,[1]Sheet1!$Q:$S))</f>
        <v/>
      </c>
      <c r="T276" s="15" t="str">
        <f>IF(Sheet2!F276="","",Sheet2!F276&amp;"""")</f>
        <v/>
      </c>
      <c r="U276" s="12" t="str" cm="1">
        <f t="array" ref="U276">IF(T276="","",_xlfn.XLOOKUP(G276,[1]Sheet1!$G:$G,[1]Sheet1!$U:$W))</f>
        <v/>
      </c>
      <c r="X276" s="15" t="str">
        <f>IF(Sheet2!G276="","",Sheet2!G276&amp;"''")</f>
        <v/>
      </c>
    </row>
    <row r="277" spans="7:24" x14ac:dyDescent="0.25">
      <c r="G277" s="15" t="str">
        <f>IF(Sheet2!A277="","",Sheet2!A277)</f>
        <v/>
      </c>
      <c r="H277" s="18" t="str">
        <f>IF(Sheet2!O277="","",LEFT(Sheet2!O277, FIND(" ", Sheet2!O277)-1))</f>
        <v/>
      </c>
      <c r="I277" s="15" t="str">
        <f>IF(Sheet2!S277&lt;19,ROUND(Sheet2!I277,2)&amp;"'",IF(Sheet2!S277&lt;25,ROUND(Sheet2!J277,2)&amp;"'",IF(Sheet2!S277&lt;31,ROUND(Sheet2!K277,2)&amp;"'",IF(Sheet2!S277&lt;37,ROUND(Sheet2!L277,2)&amp;"'",""))))</f>
        <v/>
      </c>
      <c r="L277" s="15" t="str">
        <f>IF(Sheet2!D277="","",Sheet2!D277&amp;"''")</f>
        <v/>
      </c>
      <c r="O277" s="16" t="str">
        <f>IF(Sheet2!H277="","",ROUND(Sheet2!H277,2)&amp;"'")</f>
        <v/>
      </c>
      <c r="P277" s="18" t="str">
        <f>IF(Sheet2!E277="","",Sheet2!E277&amp;"''")</f>
        <v/>
      </c>
      <c r="Q277" s="12" t="str" cm="1">
        <f t="array" ref="Q277">IF(P277="","",_xlfn.XLOOKUP(G277,[1]Sheet1!$G:$G,[1]Sheet1!$Q:$S))</f>
        <v/>
      </c>
      <c r="T277" s="15" t="str">
        <f>IF(Sheet2!F277="","",Sheet2!F277&amp;"""")</f>
        <v/>
      </c>
      <c r="U277" s="12" t="str" cm="1">
        <f t="array" ref="U277">IF(T277="","",_xlfn.XLOOKUP(G277,[1]Sheet1!$G:$G,[1]Sheet1!$U:$W))</f>
        <v/>
      </c>
      <c r="X277" s="15" t="str">
        <f>IF(Sheet2!G277="","",Sheet2!G277&amp;"''")</f>
        <v/>
      </c>
    </row>
    <row r="278" spans="7:24" x14ac:dyDescent="0.25">
      <c r="G278" s="15" t="str">
        <f>IF(Sheet2!A278="","",Sheet2!A278)</f>
        <v/>
      </c>
      <c r="H278" s="18" t="str">
        <f>IF(Sheet2!O278="","",LEFT(Sheet2!O278, FIND(" ", Sheet2!O278)-1))</f>
        <v/>
      </c>
      <c r="I278" s="15" t="str">
        <f>IF(Sheet2!S278&lt;19,ROUND(Sheet2!I278,2)&amp;"'",IF(Sheet2!S278&lt;25,ROUND(Sheet2!J278,2)&amp;"'",IF(Sheet2!S278&lt;31,ROUND(Sheet2!K278,2)&amp;"'",IF(Sheet2!S278&lt;37,ROUND(Sheet2!L278,2)&amp;"'",""))))</f>
        <v/>
      </c>
      <c r="L278" s="15" t="str">
        <f>IF(Sheet2!D278="","",Sheet2!D278&amp;"''")</f>
        <v/>
      </c>
      <c r="O278" s="16" t="str">
        <f>IF(Sheet2!H278="","",ROUND(Sheet2!H278,2)&amp;"'")</f>
        <v/>
      </c>
      <c r="P278" s="18" t="str">
        <f>IF(Sheet2!E278="","",Sheet2!E278&amp;"''")</f>
        <v/>
      </c>
      <c r="Q278" s="12" t="str" cm="1">
        <f t="array" ref="Q278">IF(P278="","",_xlfn.XLOOKUP(G278,[1]Sheet1!$G:$G,[1]Sheet1!$Q:$S))</f>
        <v/>
      </c>
      <c r="T278" s="15" t="str">
        <f>IF(Sheet2!F278="","",Sheet2!F278&amp;"""")</f>
        <v/>
      </c>
      <c r="U278" s="12" t="str" cm="1">
        <f t="array" ref="U278">IF(T278="","",_xlfn.XLOOKUP(G278,[1]Sheet1!$G:$G,[1]Sheet1!$U:$W))</f>
        <v/>
      </c>
      <c r="X278" s="15" t="str">
        <f>IF(Sheet2!G278="","",Sheet2!G278&amp;"''")</f>
        <v/>
      </c>
    </row>
    <row r="279" spans="7:24" x14ac:dyDescent="0.25">
      <c r="G279" s="15" t="str">
        <f>IF(Sheet2!A279="","",Sheet2!A279)</f>
        <v/>
      </c>
      <c r="H279" s="18" t="str">
        <f>IF(Sheet2!O279="","",LEFT(Sheet2!O279, FIND(" ", Sheet2!O279)-1))</f>
        <v/>
      </c>
      <c r="I279" s="15" t="str">
        <f>IF(Sheet2!S279&lt;19,ROUND(Sheet2!I279,2)&amp;"'",IF(Sheet2!S279&lt;25,ROUND(Sheet2!J279,2)&amp;"'",IF(Sheet2!S279&lt;31,ROUND(Sheet2!K279,2)&amp;"'",IF(Sheet2!S279&lt;37,ROUND(Sheet2!L279,2)&amp;"'",""))))</f>
        <v/>
      </c>
      <c r="L279" s="15" t="str">
        <f>IF(Sheet2!D279="","",Sheet2!D279&amp;"''")</f>
        <v/>
      </c>
      <c r="O279" s="16" t="str">
        <f>IF(Sheet2!H279="","",ROUND(Sheet2!H279,2)&amp;"'")</f>
        <v/>
      </c>
      <c r="P279" s="18" t="str">
        <f>IF(Sheet2!E279="","",Sheet2!E279&amp;"''")</f>
        <v/>
      </c>
      <c r="Q279" s="12" t="str" cm="1">
        <f t="array" ref="Q279">IF(P279="","",_xlfn.XLOOKUP(G279,[1]Sheet1!$G:$G,[1]Sheet1!$Q:$S))</f>
        <v/>
      </c>
      <c r="T279" s="15" t="str">
        <f>IF(Sheet2!F279="","",Sheet2!F279&amp;"""")</f>
        <v/>
      </c>
      <c r="U279" s="12" t="str" cm="1">
        <f t="array" ref="U279">IF(T279="","",_xlfn.XLOOKUP(G279,[1]Sheet1!$G:$G,[1]Sheet1!$U:$W))</f>
        <v/>
      </c>
      <c r="X279" s="15" t="str">
        <f>IF(Sheet2!G279="","",Sheet2!G279&amp;"''")</f>
        <v/>
      </c>
    </row>
    <row r="280" spans="7:24" x14ac:dyDescent="0.25">
      <c r="G280" s="15" t="str">
        <f>IF(Sheet2!A280="","",Sheet2!A280)</f>
        <v/>
      </c>
      <c r="H280" s="18" t="str">
        <f>IF(Sheet2!O280="","",LEFT(Sheet2!O280, FIND(" ", Sheet2!O280)-1))</f>
        <v/>
      </c>
      <c r="I280" s="15" t="str">
        <f>IF(Sheet2!S280&lt;19,ROUND(Sheet2!I280,2)&amp;"'",IF(Sheet2!S280&lt;25,ROUND(Sheet2!J280,2)&amp;"'",IF(Sheet2!S280&lt;31,ROUND(Sheet2!K280,2)&amp;"'",IF(Sheet2!S280&lt;37,ROUND(Sheet2!L280,2)&amp;"'",""))))</f>
        <v/>
      </c>
      <c r="L280" s="15" t="str">
        <f>IF(Sheet2!D280="","",Sheet2!D280&amp;"''")</f>
        <v/>
      </c>
      <c r="O280" s="16" t="str">
        <f>IF(Sheet2!H280="","",ROUND(Sheet2!H280,2)&amp;"'")</f>
        <v/>
      </c>
      <c r="P280" s="18" t="str">
        <f>IF(Sheet2!E280="","",Sheet2!E280&amp;"''")</f>
        <v/>
      </c>
      <c r="Q280" s="12" t="str" cm="1">
        <f t="array" ref="Q280">IF(P280="","",_xlfn.XLOOKUP(G280,[1]Sheet1!$G:$G,[1]Sheet1!$Q:$S))</f>
        <v/>
      </c>
      <c r="T280" s="15" t="str">
        <f>IF(Sheet2!F280="","",Sheet2!F280&amp;"""")</f>
        <v/>
      </c>
      <c r="U280" s="12" t="str" cm="1">
        <f t="array" ref="U280">IF(T280="","",_xlfn.XLOOKUP(G280,[1]Sheet1!$G:$G,[1]Sheet1!$U:$W))</f>
        <v/>
      </c>
      <c r="X280" s="15" t="str">
        <f>IF(Sheet2!G280="","",Sheet2!G280&amp;"''")</f>
        <v/>
      </c>
    </row>
    <row r="281" spans="7:24" x14ac:dyDescent="0.25">
      <c r="G281" s="15" t="str">
        <f>IF(Sheet2!A281="","",Sheet2!A281)</f>
        <v/>
      </c>
      <c r="H281" s="18" t="str">
        <f>IF(Sheet2!O281="","",LEFT(Sheet2!O281, FIND(" ", Sheet2!O281)-1))</f>
        <v/>
      </c>
      <c r="I281" s="15" t="str">
        <f>IF(Sheet2!S281&lt;19,ROUND(Sheet2!I281,2)&amp;"'",IF(Sheet2!S281&lt;25,ROUND(Sheet2!J281,2)&amp;"'",IF(Sheet2!S281&lt;31,ROUND(Sheet2!K281,2)&amp;"'",IF(Sheet2!S281&lt;37,ROUND(Sheet2!L281,2)&amp;"'",""))))</f>
        <v/>
      </c>
      <c r="L281" s="15" t="str">
        <f>IF(Sheet2!D281="","",Sheet2!D281&amp;"''")</f>
        <v/>
      </c>
      <c r="O281" s="16" t="str">
        <f>IF(Sheet2!H281="","",ROUND(Sheet2!H281,2)&amp;"'")</f>
        <v/>
      </c>
      <c r="P281" s="18" t="str">
        <f>IF(Sheet2!E281="","",Sheet2!E281&amp;"''")</f>
        <v/>
      </c>
      <c r="Q281" s="12" t="str" cm="1">
        <f t="array" ref="Q281">IF(P281="","",_xlfn.XLOOKUP(G281,[1]Sheet1!$G:$G,[1]Sheet1!$Q:$S))</f>
        <v/>
      </c>
      <c r="T281" s="15" t="str">
        <f>IF(Sheet2!F281="","",Sheet2!F281&amp;"""")</f>
        <v/>
      </c>
      <c r="U281" s="12" t="str" cm="1">
        <f t="array" ref="U281">IF(T281="","",_xlfn.XLOOKUP(G281,[1]Sheet1!$G:$G,[1]Sheet1!$U:$W))</f>
        <v/>
      </c>
      <c r="X281" s="15" t="str">
        <f>IF(Sheet2!G281="","",Sheet2!G281&amp;"''")</f>
        <v/>
      </c>
    </row>
    <row r="282" spans="7:24" x14ac:dyDescent="0.25">
      <c r="G282" s="15" t="str">
        <f>IF(Sheet2!A282="","",Sheet2!A282)</f>
        <v/>
      </c>
      <c r="H282" s="18" t="str">
        <f>IF(Sheet2!O282="","",LEFT(Sheet2!O282, FIND(" ", Sheet2!O282)-1))</f>
        <v/>
      </c>
      <c r="I282" s="15" t="str">
        <f>IF(Sheet2!S282&lt;19,ROUND(Sheet2!I282,2)&amp;"'",IF(Sheet2!S282&lt;25,ROUND(Sheet2!J282,2)&amp;"'",IF(Sheet2!S282&lt;31,ROUND(Sheet2!K282,2)&amp;"'",IF(Sheet2!S282&lt;37,ROUND(Sheet2!L282,2)&amp;"'",""))))</f>
        <v/>
      </c>
      <c r="L282" s="15" t="str">
        <f>IF(Sheet2!D282="","",Sheet2!D282&amp;"''")</f>
        <v/>
      </c>
      <c r="O282" s="16" t="str">
        <f>IF(Sheet2!H282="","",ROUND(Sheet2!H282,2)&amp;"'")</f>
        <v/>
      </c>
      <c r="P282" s="18" t="str">
        <f>IF(Sheet2!E282="","",Sheet2!E282&amp;"''")</f>
        <v/>
      </c>
      <c r="Q282" s="12" t="str" cm="1">
        <f t="array" ref="Q282">IF(P282="","",_xlfn.XLOOKUP(G282,[1]Sheet1!$G:$G,[1]Sheet1!$Q:$S))</f>
        <v/>
      </c>
      <c r="T282" s="15" t="str">
        <f>IF(Sheet2!F282="","",Sheet2!F282&amp;"""")</f>
        <v/>
      </c>
      <c r="U282" s="12" t="str" cm="1">
        <f t="array" ref="U282">IF(T282="","",_xlfn.XLOOKUP(G282,[1]Sheet1!$G:$G,[1]Sheet1!$U:$W))</f>
        <v/>
      </c>
      <c r="X282" s="15" t="str">
        <f>IF(Sheet2!G282="","",Sheet2!G282&amp;"''")</f>
        <v/>
      </c>
    </row>
    <row r="283" spans="7:24" x14ac:dyDescent="0.25">
      <c r="G283" s="15" t="str">
        <f>IF(Sheet2!A283="","",Sheet2!A283)</f>
        <v/>
      </c>
      <c r="H283" s="18" t="str">
        <f>IF(Sheet2!O283="","",LEFT(Sheet2!O283, FIND(" ", Sheet2!O283)-1))</f>
        <v/>
      </c>
      <c r="I283" s="15" t="str">
        <f>IF(Sheet2!S283&lt;19,ROUND(Sheet2!I283,2)&amp;"'",IF(Sheet2!S283&lt;25,ROUND(Sheet2!J283,2)&amp;"'",IF(Sheet2!S283&lt;31,ROUND(Sheet2!K283,2)&amp;"'",IF(Sheet2!S283&lt;37,ROUND(Sheet2!L283,2)&amp;"'",""))))</f>
        <v/>
      </c>
      <c r="L283" s="15" t="str">
        <f>IF(Sheet2!D283="","",Sheet2!D283&amp;"''")</f>
        <v/>
      </c>
      <c r="O283" s="16" t="str">
        <f>IF(Sheet2!H283="","",ROUND(Sheet2!H283,2)&amp;"'")</f>
        <v/>
      </c>
      <c r="P283" s="18" t="str">
        <f>IF(Sheet2!E283="","",Sheet2!E283&amp;"''")</f>
        <v/>
      </c>
      <c r="Q283" s="12" t="str" cm="1">
        <f t="array" ref="Q283">IF(P283="","",_xlfn.XLOOKUP(G283,[1]Sheet1!$G:$G,[1]Sheet1!$Q:$S))</f>
        <v/>
      </c>
      <c r="T283" s="15" t="str">
        <f>IF(Sheet2!F283="","",Sheet2!F283&amp;"""")</f>
        <v/>
      </c>
      <c r="U283" s="12" t="str" cm="1">
        <f t="array" ref="U283">IF(T283="","",_xlfn.XLOOKUP(G283,[1]Sheet1!$G:$G,[1]Sheet1!$U:$W))</f>
        <v/>
      </c>
      <c r="X283" s="15" t="str">
        <f>IF(Sheet2!G283="","",Sheet2!G283&amp;"''")</f>
        <v/>
      </c>
    </row>
    <row r="284" spans="7:24" x14ac:dyDescent="0.25">
      <c r="G284" s="15" t="str">
        <f>IF(Sheet2!A284="","",Sheet2!A284)</f>
        <v/>
      </c>
      <c r="H284" s="18" t="str">
        <f>IF(Sheet2!O284="","",LEFT(Sheet2!O284, FIND(" ", Sheet2!O284)-1))</f>
        <v/>
      </c>
      <c r="I284" s="15" t="str">
        <f>IF(Sheet2!S284&lt;19,ROUND(Sheet2!I284,2)&amp;"'",IF(Sheet2!S284&lt;25,ROUND(Sheet2!J284,2)&amp;"'",IF(Sheet2!S284&lt;31,ROUND(Sheet2!K284,2)&amp;"'",IF(Sheet2!S284&lt;37,ROUND(Sheet2!L284,2)&amp;"'",""))))</f>
        <v/>
      </c>
      <c r="L284" s="15" t="str">
        <f>IF(Sheet2!D284="","",Sheet2!D284&amp;"''")</f>
        <v/>
      </c>
      <c r="O284" s="16" t="str">
        <f>IF(Sheet2!H284="","",ROUND(Sheet2!H284,2)&amp;"'")</f>
        <v/>
      </c>
      <c r="P284" s="18" t="str">
        <f>IF(Sheet2!E284="","",Sheet2!E284&amp;"''")</f>
        <v/>
      </c>
      <c r="Q284" s="12" t="str" cm="1">
        <f t="array" ref="Q284">IF(P284="","",_xlfn.XLOOKUP(G284,[1]Sheet1!$G:$G,[1]Sheet1!$Q:$S))</f>
        <v/>
      </c>
      <c r="T284" s="15" t="str">
        <f>IF(Sheet2!F284="","",Sheet2!F284&amp;"""")</f>
        <v/>
      </c>
      <c r="U284" s="12" t="str" cm="1">
        <f t="array" ref="U284">IF(T284="","",_xlfn.XLOOKUP(G284,[1]Sheet1!$G:$G,[1]Sheet1!$U:$W))</f>
        <v/>
      </c>
      <c r="X284" s="15" t="str">
        <f>IF(Sheet2!G284="","",Sheet2!G284&amp;"''")</f>
        <v/>
      </c>
    </row>
    <row r="285" spans="7:24" x14ac:dyDescent="0.25">
      <c r="G285" s="15" t="str">
        <f>IF(Sheet2!A285="","",Sheet2!A285)</f>
        <v/>
      </c>
      <c r="H285" s="18" t="str">
        <f>IF(Sheet2!O285="","",LEFT(Sheet2!O285, FIND(" ", Sheet2!O285)-1))</f>
        <v/>
      </c>
      <c r="I285" s="15" t="str">
        <f>IF(Sheet2!S285&lt;19,ROUND(Sheet2!I285,2)&amp;"'",IF(Sheet2!S285&lt;25,ROUND(Sheet2!J285,2)&amp;"'",IF(Sheet2!S285&lt;31,ROUND(Sheet2!K285,2)&amp;"'",IF(Sheet2!S285&lt;37,ROUND(Sheet2!L285,2)&amp;"'",""))))</f>
        <v/>
      </c>
      <c r="L285" s="15" t="str">
        <f>IF(Sheet2!D285="","",Sheet2!D285&amp;"''")</f>
        <v/>
      </c>
      <c r="O285" s="16" t="str">
        <f>IF(Sheet2!H285="","",ROUND(Sheet2!H285,2)&amp;"'")</f>
        <v/>
      </c>
      <c r="P285" s="18" t="str">
        <f>IF(Sheet2!E285="","",Sheet2!E285&amp;"''")</f>
        <v/>
      </c>
      <c r="Q285" s="12" t="str" cm="1">
        <f t="array" ref="Q285">IF(P285="","",_xlfn.XLOOKUP(G285,[1]Sheet1!$G:$G,[1]Sheet1!$Q:$S))</f>
        <v/>
      </c>
      <c r="T285" s="15" t="str">
        <f>IF(Sheet2!F285="","",Sheet2!F285&amp;"""")</f>
        <v/>
      </c>
      <c r="U285" s="12" t="str" cm="1">
        <f t="array" ref="U285">IF(T285="","",_xlfn.XLOOKUP(G285,[1]Sheet1!$G:$G,[1]Sheet1!$U:$W))</f>
        <v/>
      </c>
      <c r="X285" s="15" t="str">
        <f>IF(Sheet2!G285="","",Sheet2!G285&amp;"''")</f>
        <v/>
      </c>
    </row>
    <row r="286" spans="7:24" x14ac:dyDescent="0.25">
      <c r="G286" s="15" t="str">
        <f>IF(Sheet2!A286="","",Sheet2!A286)</f>
        <v/>
      </c>
      <c r="H286" s="18" t="str">
        <f>IF(Sheet2!O286="","",LEFT(Sheet2!O286, FIND(" ", Sheet2!O286)-1))</f>
        <v/>
      </c>
      <c r="I286" s="15" t="str">
        <f>IF(Sheet2!S286&lt;19,ROUND(Sheet2!I286,2)&amp;"'",IF(Sheet2!S286&lt;25,ROUND(Sheet2!J286,2)&amp;"'",IF(Sheet2!S286&lt;31,ROUND(Sheet2!K286,2)&amp;"'",IF(Sheet2!S286&lt;37,ROUND(Sheet2!L286,2)&amp;"'",""))))</f>
        <v/>
      </c>
      <c r="L286" s="15" t="str">
        <f>IF(Sheet2!D286="","",Sheet2!D286&amp;"''")</f>
        <v/>
      </c>
      <c r="O286" s="16" t="str">
        <f>IF(Sheet2!H286="","",ROUND(Sheet2!H286,2)&amp;"'")</f>
        <v/>
      </c>
      <c r="P286" s="18" t="str">
        <f>IF(Sheet2!E286="","",Sheet2!E286&amp;"''")</f>
        <v/>
      </c>
      <c r="Q286" s="12" t="str" cm="1">
        <f t="array" ref="Q286">IF(P286="","",_xlfn.XLOOKUP(G286,[1]Sheet1!$G:$G,[1]Sheet1!$Q:$S))</f>
        <v/>
      </c>
      <c r="T286" s="15" t="str">
        <f>IF(Sheet2!F286="","",Sheet2!F286&amp;"""")</f>
        <v/>
      </c>
      <c r="U286" s="12" t="str" cm="1">
        <f t="array" ref="U286">IF(T286="","",_xlfn.XLOOKUP(G286,[1]Sheet1!$G:$G,[1]Sheet1!$U:$W))</f>
        <v/>
      </c>
      <c r="X286" s="15" t="str">
        <f>IF(Sheet2!G286="","",Sheet2!G286&amp;"''")</f>
        <v/>
      </c>
    </row>
    <row r="287" spans="7:24" x14ac:dyDescent="0.25">
      <c r="G287" s="15" t="str">
        <f>IF(Sheet2!A287="","",Sheet2!A287)</f>
        <v/>
      </c>
      <c r="H287" s="18" t="str">
        <f>IF(Sheet2!O287="","",LEFT(Sheet2!O287, FIND(" ", Sheet2!O287)-1))</f>
        <v/>
      </c>
      <c r="I287" s="15" t="str">
        <f>IF(Sheet2!S287&lt;19,ROUND(Sheet2!I287,2)&amp;"'",IF(Sheet2!S287&lt;25,ROUND(Sheet2!J287,2)&amp;"'",IF(Sheet2!S287&lt;31,ROUND(Sheet2!K287,2)&amp;"'",IF(Sheet2!S287&lt;37,ROUND(Sheet2!L287,2)&amp;"'",""))))</f>
        <v/>
      </c>
      <c r="L287" s="15" t="str">
        <f>IF(Sheet2!D287="","",Sheet2!D287&amp;"''")</f>
        <v/>
      </c>
      <c r="O287" s="16" t="str">
        <f>IF(Sheet2!H287="","",ROUND(Sheet2!H287,2)&amp;"'")</f>
        <v/>
      </c>
      <c r="P287" s="18" t="str">
        <f>IF(Sheet2!E287="","",Sheet2!E287&amp;"''")</f>
        <v/>
      </c>
      <c r="Q287" s="12" t="str" cm="1">
        <f t="array" ref="Q287">IF(P287="","",_xlfn.XLOOKUP(G287,[1]Sheet1!$G:$G,[1]Sheet1!$Q:$S))</f>
        <v/>
      </c>
      <c r="T287" s="15" t="str">
        <f>IF(Sheet2!F287="","",Sheet2!F287&amp;"""")</f>
        <v/>
      </c>
      <c r="U287" s="12" t="str" cm="1">
        <f t="array" ref="U287">IF(T287="","",_xlfn.XLOOKUP(G287,[1]Sheet1!$G:$G,[1]Sheet1!$U:$W))</f>
        <v/>
      </c>
      <c r="X287" s="15" t="str">
        <f>IF(Sheet2!G287="","",Sheet2!G287&amp;"''")</f>
        <v/>
      </c>
    </row>
    <row r="288" spans="7:24" x14ac:dyDescent="0.25">
      <c r="G288" s="15" t="str">
        <f>IF(Sheet2!A288="","",Sheet2!A288)</f>
        <v/>
      </c>
      <c r="H288" s="18" t="str">
        <f>IF(Sheet2!O288="","",LEFT(Sheet2!O288, FIND(" ", Sheet2!O288)-1))</f>
        <v/>
      </c>
      <c r="I288" s="15" t="str">
        <f>IF(Sheet2!S288&lt;19,ROUND(Sheet2!I288,2)&amp;"'",IF(Sheet2!S288&lt;25,ROUND(Sheet2!J288,2)&amp;"'",IF(Sheet2!S288&lt;31,ROUND(Sheet2!K288,2)&amp;"'",IF(Sheet2!S288&lt;37,ROUND(Sheet2!L288,2)&amp;"'",""))))</f>
        <v/>
      </c>
      <c r="L288" s="15" t="str">
        <f>IF(Sheet2!D288="","",Sheet2!D288&amp;"''")</f>
        <v/>
      </c>
      <c r="O288" s="16" t="str">
        <f>IF(Sheet2!H288="","",ROUND(Sheet2!H288,2)&amp;"'")</f>
        <v/>
      </c>
      <c r="P288" s="18" t="str">
        <f>IF(Sheet2!E288="","",Sheet2!E288&amp;"''")</f>
        <v/>
      </c>
      <c r="Q288" s="12" t="str" cm="1">
        <f t="array" ref="Q288">IF(P288="","",_xlfn.XLOOKUP(G288,[1]Sheet1!$G:$G,[1]Sheet1!$Q:$S))</f>
        <v/>
      </c>
      <c r="T288" s="15" t="str">
        <f>IF(Sheet2!F288="","",Sheet2!F288&amp;"""")</f>
        <v/>
      </c>
      <c r="U288" s="12" t="str" cm="1">
        <f t="array" ref="U288">IF(T288="","",_xlfn.XLOOKUP(G288,[1]Sheet1!$G:$G,[1]Sheet1!$U:$W))</f>
        <v/>
      </c>
      <c r="X288" s="15" t="str">
        <f>IF(Sheet2!G288="","",Sheet2!G288&amp;"''")</f>
        <v/>
      </c>
    </row>
    <row r="289" spans="7:24" x14ac:dyDescent="0.25">
      <c r="G289" s="15" t="str">
        <f>IF(Sheet2!A289="","",Sheet2!A289)</f>
        <v/>
      </c>
      <c r="H289" s="18" t="str">
        <f>IF(Sheet2!O289="","",LEFT(Sheet2!O289, FIND(" ", Sheet2!O289)-1))</f>
        <v/>
      </c>
      <c r="I289" s="15" t="str">
        <f>IF(Sheet2!S289&lt;19,ROUND(Sheet2!I289,2)&amp;"'",IF(Sheet2!S289&lt;25,ROUND(Sheet2!J289,2)&amp;"'",IF(Sheet2!S289&lt;31,ROUND(Sheet2!K289,2)&amp;"'",IF(Sheet2!S289&lt;37,ROUND(Sheet2!L289,2)&amp;"'",""))))</f>
        <v/>
      </c>
      <c r="L289" s="15" t="str">
        <f>IF(Sheet2!D289="","",Sheet2!D289&amp;"''")</f>
        <v/>
      </c>
      <c r="O289" s="16" t="str">
        <f>IF(Sheet2!H289="","",ROUND(Sheet2!H289,2)&amp;"'")</f>
        <v/>
      </c>
      <c r="P289" s="18" t="str">
        <f>IF(Sheet2!E289="","",Sheet2!E289&amp;"''")</f>
        <v/>
      </c>
      <c r="Q289" s="12" t="str" cm="1">
        <f t="array" ref="Q289">IF(P289="","",_xlfn.XLOOKUP(G289,[1]Sheet1!$G:$G,[1]Sheet1!$Q:$S))</f>
        <v/>
      </c>
      <c r="T289" s="15" t="str">
        <f>IF(Sheet2!F289="","",Sheet2!F289&amp;"""")</f>
        <v/>
      </c>
      <c r="U289" s="12" t="str" cm="1">
        <f t="array" ref="U289">IF(T289="","",_xlfn.XLOOKUP(G289,[1]Sheet1!$G:$G,[1]Sheet1!$U:$W))</f>
        <v/>
      </c>
      <c r="X289" s="15" t="str">
        <f>IF(Sheet2!G289="","",Sheet2!G289&amp;"''")</f>
        <v/>
      </c>
    </row>
    <row r="290" spans="7:24" x14ac:dyDescent="0.25">
      <c r="G290" s="15" t="str">
        <f>IF(Sheet2!A290="","",Sheet2!A290)</f>
        <v/>
      </c>
      <c r="H290" s="18" t="str">
        <f>IF(Sheet2!O290="","",LEFT(Sheet2!O290, FIND(" ", Sheet2!O290)-1))</f>
        <v/>
      </c>
      <c r="I290" s="15" t="str">
        <f>IF(Sheet2!S290&lt;19,ROUND(Sheet2!I290,2)&amp;"'",IF(Sheet2!S290&lt;25,ROUND(Sheet2!J290,2)&amp;"'",IF(Sheet2!S290&lt;31,ROUND(Sheet2!K290,2)&amp;"'",IF(Sheet2!S290&lt;37,ROUND(Sheet2!L290,2)&amp;"'",""))))</f>
        <v/>
      </c>
      <c r="L290" s="15" t="str">
        <f>IF(Sheet2!D290="","",Sheet2!D290&amp;"''")</f>
        <v/>
      </c>
      <c r="O290" s="16" t="str">
        <f>IF(Sheet2!H290="","",ROUND(Sheet2!H290,2)&amp;"'")</f>
        <v/>
      </c>
      <c r="P290" s="18" t="str">
        <f>IF(Sheet2!E290="","",Sheet2!E290&amp;"''")</f>
        <v/>
      </c>
      <c r="Q290" s="12" t="str" cm="1">
        <f t="array" ref="Q290">IF(P290="","",_xlfn.XLOOKUP(G290,[1]Sheet1!$G:$G,[1]Sheet1!$Q:$S))</f>
        <v/>
      </c>
      <c r="T290" s="15" t="str">
        <f>IF(Sheet2!F290="","",Sheet2!F290&amp;"""")</f>
        <v/>
      </c>
      <c r="U290" s="12" t="str" cm="1">
        <f t="array" ref="U290">IF(T290="","",_xlfn.XLOOKUP(G290,[1]Sheet1!$G:$G,[1]Sheet1!$U:$W))</f>
        <v/>
      </c>
      <c r="X290" s="15" t="str">
        <f>IF(Sheet2!G290="","",Sheet2!G290&amp;"''")</f>
        <v/>
      </c>
    </row>
    <row r="291" spans="7:24" x14ac:dyDescent="0.25">
      <c r="G291" s="15" t="str">
        <f>IF(Sheet2!A291="","",Sheet2!A291)</f>
        <v/>
      </c>
      <c r="H291" s="18" t="str">
        <f>IF(Sheet2!O291="","",LEFT(Sheet2!O291, FIND(" ", Sheet2!O291)-1))</f>
        <v/>
      </c>
      <c r="I291" s="15" t="str">
        <f>IF(Sheet2!S291&lt;19,ROUND(Sheet2!I291,2)&amp;"'",IF(Sheet2!S291&lt;25,ROUND(Sheet2!J291,2)&amp;"'",IF(Sheet2!S291&lt;31,ROUND(Sheet2!K291,2)&amp;"'",IF(Sheet2!S291&lt;37,ROUND(Sheet2!L291,2)&amp;"'",""))))</f>
        <v/>
      </c>
      <c r="L291" s="15" t="str">
        <f>IF(Sheet2!D291="","",Sheet2!D291&amp;"''")</f>
        <v/>
      </c>
      <c r="O291" s="16" t="str">
        <f>IF(Sheet2!H291="","",ROUND(Sheet2!H291,2)&amp;"'")</f>
        <v/>
      </c>
      <c r="P291" s="18" t="str">
        <f>IF(Sheet2!E291="","",Sheet2!E291&amp;"''")</f>
        <v/>
      </c>
      <c r="Q291" s="12" t="str" cm="1">
        <f t="array" ref="Q291">IF(P291="","",_xlfn.XLOOKUP(G291,[1]Sheet1!$G:$G,[1]Sheet1!$Q:$S))</f>
        <v/>
      </c>
      <c r="T291" s="15" t="str">
        <f>IF(Sheet2!F291="","",Sheet2!F291&amp;"""")</f>
        <v/>
      </c>
      <c r="U291" s="12" t="str" cm="1">
        <f t="array" ref="U291">IF(T291="","",_xlfn.XLOOKUP(G291,[1]Sheet1!$G:$G,[1]Sheet1!$U:$W))</f>
        <v/>
      </c>
      <c r="X291" s="15" t="str">
        <f>IF(Sheet2!G291="","",Sheet2!G291&amp;"''")</f>
        <v/>
      </c>
    </row>
    <row r="292" spans="7:24" x14ac:dyDescent="0.25">
      <c r="G292" s="15" t="str">
        <f>IF(Sheet2!A292="","",Sheet2!A292)</f>
        <v/>
      </c>
      <c r="H292" s="18" t="str">
        <f>IF(Sheet2!O292="","",LEFT(Sheet2!O292, FIND(" ", Sheet2!O292)-1))</f>
        <v/>
      </c>
      <c r="I292" s="15" t="str">
        <f>IF(Sheet2!S292&lt;19,ROUND(Sheet2!I292,2)&amp;"'",IF(Sheet2!S292&lt;25,ROUND(Sheet2!J292,2)&amp;"'",IF(Sheet2!S292&lt;31,ROUND(Sheet2!K292,2)&amp;"'",IF(Sheet2!S292&lt;37,ROUND(Sheet2!L292,2)&amp;"'",""))))</f>
        <v/>
      </c>
      <c r="L292" s="15" t="str">
        <f>IF(Sheet2!D292="","",Sheet2!D292&amp;"''")</f>
        <v/>
      </c>
      <c r="O292" s="16" t="str">
        <f>IF(Sheet2!H292="","",ROUND(Sheet2!H292,2)&amp;"'")</f>
        <v/>
      </c>
      <c r="P292" s="18" t="str">
        <f>IF(Sheet2!E292="","",Sheet2!E292&amp;"''")</f>
        <v/>
      </c>
      <c r="Q292" s="12" t="str" cm="1">
        <f t="array" ref="Q292">IF(P292="","",_xlfn.XLOOKUP(G292,[1]Sheet1!$G:$G,[1]Sheet1!$Q:$S))</f>
        <v/>
      </c>
      <c r="T292" s="15" t="str">
        <f>IF(Sheet2!F292="","",Sheet2!F292&amp;"""")</f>
        <v/>
      </c>
      <c r="U292" s="12" t="str" cm="1">
        <f t="array" ref="U292">IF(T292="","",_xlfn.XLOOKUP(G292,[1]Sheet1!$G:$G,[1]Sheet1!$U:$W))</f>
        <v/>
      </c>
      <c r="X292" s="15" t="str">
        <f>IF(Sheet2!G292="","",Sheet2!G292&amp;"''")</f>
        <v/>
      </c>
    </row>
    <row r="293" spans="7:24" x14ac:dyDescent="0.25">
      <c r="G293" s="15" t="str">
        <f>IF(Sheet2!A293="","",Sheet2!A293)</f>
        <v/>
      </c>
      <c r="H293" s="18" t="str">
        <f>IF(Sheet2!O293="","",LEFT(Sheet2!O293, FIND(" ", Sheet2!O293)-1))</f>
        <v/>
      </c>
      <c r="I293" s="15" t="str">
        <f>IF(Sheet2!S293&lt;19,ROUND(Sheet2!I293,2)&amp;"'",IF(Sheet2!S293&lt;25,ROUND(Sheet2!J293,2)&amp;"'",IF(Sheet2!S293&lt;31,ROUND(Sheet2!K293,2)&amp;"'",IF(Sheet2!S293&lt;37,ROUND(Sheet2!L293,2)&amp;"'",""))))</f>
        <v/>
      </c>
      <c r="L293" s="15" t="str">
        <f>IF(Sheet2!D293="","",Sheet2!D293&amp;"''")</f>
        <v/>
      </c>
      <c r="O293" s="16" t="str">
        <f>IF(Sheet2!H293="","",ROUND(Sheet2!H293,2)&amp;"'")</f>
        <v/>
      </c>
      <c r="P293" s="18" t="str">
        <f>IF(Sheet2!E293="","",Sheet2!E293&amp;"''")</f>
        <v/>
      </c>
      <c r="Q293" s="12" t="str" cm="1">
        <f t="array" ref="Q293">IF(P293="","",_xlfn.XLOOKUP(G293,[1]Sheet1!$G:$G,[1]Sheet1!$Q:$S))</f>
        <v/>
      </c>
      <c r="T293" s="15" t="str">
        <f>IF(Sheet2!F293="","",Sheet2!F293&amp;"""")</f>
        <v/>
      </c>
      <c r="U293" s="12" t="str" cm="1">
        <f t="array" ref="U293">IF(T293="","",_xlfn.XLOOKUP(G293,[1]Sheet1!$G:$G,[1]Sheet1!$U:$W))</f>
        <v/>
      </c>
      <c r="X293" s="15" t="str">
        <f>IF(Sheet2!G293="","",Sheet2!G293&amp;"''")</f>
        <v/>
      </c>
    </row>
    <row r="294" spans="7:24" x14ac:dyDescent="0.25">
      <c r="G294" s="15" t="str">
        <f>IF(Sheet2!A294="","",Sheet2!A294)</f>
        <v/>
      </c>
      <c r="H294" s="18" t="str">
        <f>IF(Sheet2!O294="","",LEFT(Sheet2!O294, FIND(" ", Sheet2!O294)-1))</f>
        <v/>
      </c>
      <c r="I294" s="15" t="str">
        <f>IF(Sheet2!S294&lt;19,ROUND(Sheet2!I294,2)&amp;"'",IF(Sheet2!S294&lt;25,ROUND(Sheet2!J294,2)&amp;"'",IF(Sheet2!S294&lt;31,ROUND(Sheet2!K294,2)&amp;"'",IF(Sheet2!S294&lt;37,ROUND(Sheet2!L294,2)&amp;"'",""))))</f>
        <v/>
      </c>
      <c r="L294" s="15" t="str">
        <f>IF(Sheet2!D294="","",Sheet2!D294&amp;"''")</f>
        <v/>
      </c>
      <c r="O294" s="16" t="str">
        <f>IF(Sheet2!H294="","",ROUND(Sheet2!H294,2)&amp;"'")</f>
        <v/>
      </c>
      <c r="P294" s="18" t="str">
        <f>IF(Sheet2!E294="","",Sheet2!E294&amp;"''")</f>
        <v/>
      </c>
      <c r="Q294" s="12" t="str" cm="1">
        <f t="array" ref="Q294">IF(P294="","",_xlfn.XLOOKUP(G294,[1]Sheet1!$G:$G,[1]Sheet1!$Q:$S))</f>
        <v/>
      </c>
      <c r="T294" s="15" t="str">
        <f>IF(Sheet2!F294="","",Sheet2!F294&amp;"""")</f>
        <v/>
      </c>
      <c r="U294" s="12" t="str" cm="1">
        <f t="array" ref="U294">IF(T294="","",_xlfn.XLOOKUP(G294,[1]Sheet1!$G:$G,[1]Sheet1!$U:$W))</f>
        <v/>
      </c>
      <c r="X294" s="15" t="str">
        <f>IF(Sheet2!G294="","",Sheet2!G294&amp;"''")</f>
        <v/>
      </c>
    </row>
    <row r="295" spans="7:24" x14ac:dyDescent="0.25">
      <c r="G295" s="15" t="str">
        <f>IF(Sheet2!A295="","",Sheet2!A295)</f>
        <v/>
      </c>
      <c r="H295" s="18" t="str">
        <f>IF(Sheet2!O295="","",LEFT(Sheet2!O295, FIND(" ", Sheet2!O295)-1))</f>
        <v/>
      </c>
      <c r="I295" s="15" t="str">
        <f>IF(Sheet2!S295&lt;19,ROUND(Sheet2!I295,2)&amp;"'",IF(Sheet2!S295&lt;25,ROUND(Sheet2!J295,2)&amp;"'",IF(Sheet2!S295&lt;31,ROUND(Sheet2!K295,2)&amp;"'",IF(Sheet2!S295&lt;37,ROUND(Sheet2!L295,2)&amp;"'",""))))</f>
        <v/>
      </c>
      <c r="L295" s="15" t="str">
        <f>IF(Sheet2!D295="","",Sheet2!D295&amp;"''")</f>
        <v/>
      </c>
      <c r="O295" s="16" t="str">
        <f>IF(Sheet2!H295="","",ROUND(Sheet2!H295,2)&amp;"'")</f>
        <v/>
      </c>
      <c r="P295" s="18" t="str">
        <f>IF(Sheet2!E295="","",Sheet2!E295&amp;"''")</f>
        <v/>
      </c>
      <c r="Q295" s="12" t="str" cm="1">
        <f t="array" ref="Q295">IF(P295="","",_xlfn.XLOOKUP(G295,[1]Sheet1!$G:$G,[1]Sheet1!$Q:$S))</f>
        <v/>
      </c>
      <c r="T295" s="15" t="str">
        <f>IF(Sheet2!F295="","",Sheet2!F295&amp;"""")</f>
        <v/>
      </c>
      <c r="U295" s="12" t="str" cm="1">
        <f t="array" ref="U295">IF(T295="","",_xlfn.XLOOKUP(G295,[1]Sheet1!$G:$G,[1]Sheet1!$U:$W))</f>
        <v/>
      </c>
      <c r="X295" s="15" t="str">
        <f>IF(Sheet2!G295="","",Sheet2!G295&amp;"''")</f>
        <v/>
      </c>
    </row>
    <row r="296" spans="7:24" x14ac:dyDescent="0.25">
      <c r="G296" s="15" t="str">
        <f>IF(Sheet2!A296="","",Sheet2!A296)</f>
        <v/>
      </c>
      <c r="H296" s="18" t="str">
        <f>IF(Sheet2!O296="","",LEFT(Sheet2!O296, FIND(" ", Sheet2!O296)-1))</f>
        <v/>
      </c>
      <c r="I296" s="15" t="str">
        <f>IF(Sheet2!S296&lt;19,ROUND(Sheet2!I296,2)&amp;"'",IF(Sheet2!S296&lt;25,ROUND(Sheet2!J296,2)&amp;"'",IF(Sheet2!S296&lt;31,ROUND(Sheet2!K296,2)&amp;"'",IF(Sheet2!S296&lt;37,ROUND(Sheet2!L296,2)&amp;"'",""))))</f>
        <v/>
      </c>
      <c r="L296" s="15" t="str">
        <f>IF(Sheet2!D296="","",Sheet2!D296&amp;"''")</f>
        <v/>
      </c>
      <c r="O296" s="16" t="str">
        <f>IF(Sheet2!H296="","",ROUND(Sheet2!H296,2)&amp;"'")</f>
        <v/>
      </c>
      <c r="P296" s="18" t="str">
        <f>IF(Sheet2!E296="","",Sheet2!E296&amp;"''")</f>
        <v/>
      </c>
      <c r="Q296" s="12" t="str" cm="1">
        <f t="array" ref="Q296">IF(P296="","",_xlfn.XLOOKUP(G296,[1]Sheet1!$G:$G,[1]Sheet1!$Q:$S))</f>
        <v/>
      </c>
      <c r="T296" s="15" t="str">
        <f>IF(Sheet2!F296="","",Sheet2!F296&amp;"""")</f>
        <v/>
      </c>
      <c r="U296" s="12" t="str" cm="1">
        <f t="array" ref="U296">IF(T296="","",_xlfn.XLOOKUP(G296,[1]Sheet1!$G:$G,[1]Sheet1!$U:$W))</f>
        <v/>
      </c>
      <c r="X296" s="15" t="str">
        <f>IF(Sheet2!G296="","",Sheet2!G296&amp;"''")</f>
        <v/>
      </c>
    </row>
    <row r="297" spans="7:24" x14ac:dyDescent="0.25">
      <c r="G297" s="15" t="str">
        <f>IF(Sheet2!A297="","",Sheet2!A297)</f>
        <v/>
      </c>
      <c r="H297" s="18" t="str">
        <f>IF(Sheet2!O297="","",LEFT(Sheet2!O297, FIND(" ", Sheet2!O297)-1))</f>
        <v/>
      </c>
      <c r="I297" s="15" t="str">
        <f>IF(Sheet2!S297&lt;19,ROUND(Sheet2!I297,2)&amp;"'",IF(Sheet2!S297&lt;25,ROUND(Sheet2!J297,2)&amp;"'",IF(Sheet2!S297&lt;31,ROUND(Sheet2!K297,2)&amp;"'",IF(Sheet2!S297&lt;37,ROUND(Sheet2!L297,2)&amp;"'",""))))</f>
        <v/>
      </c>
      <c r="L297" s="15" t="str">
        <f>IF(Sheet2!D297="","",Sheet2!D297&amp;"''")</f>
        <v/>
      </c>
      <c r="O297" s="16" t="str">
        <f>IF(Sheet2!H297="","",ROUND(Sheet2!H297,2)&amp;"'")</f>
        <v/>
      </c>
      <c r="P297" s="18" t="str">
        <f>IF(Sheet2!E297="","",Sheet2!E297&amp;"''")</f>
        <v/>
      </c>
      <c r="Q297" s="12" t="str" cm="1">
        <f t="array" ref="Q297">IF(P297="","",_xlfn.XLOOKUP(G297,[1]Sheet1!$G:$G,[1]Sheet1!$Q:$S))</f>
        <v/>
      </c>
      <c r="T297" s="15" t="str">
        <f>IF(Sheet2!F297="","",Sheet2!F297&amp;"""")</f>
        <v/>
      </c>
      <c r="U297" s="12" t="str" cm="1">
        <f t="array" ref="U297">IF(T297="","",_xlfn.XLOOKUP(G297,[1]Sheet1!$G:$G,[1]Sheet1!$U:$W))</f>
        <v/>
      </c>
      <c r="X297" s="15" t="str">
        <f>IF(Sheet2!G297="","",Sheet2!G297&amp;"''")</f>
        <v/>
      </c>
    </row>
    <row r="298" spans="7:24" x14ac:dyDescent="0.25">
      <c r="G298" s="15" t="str">
        <f>IF(Sheet2!A298="","",Sheet2!A298)</f>
        <v/>
      </c>
      <c r="H298" s="18" t="str">
        <f>IF(Sheet2!O298="","",LEFT(Sheet2!O298, FIND(" ", Sheet2!O298)-1))</f>
        <v/>
      </c>
      <c r="I298" s="15" t="str">
        <f>IF(Sheet2!S298&lt;19,ROUND(Sheet2!I298,2)&amp;"'",IF(Sheet2!S298&lt;25,ROUND(Sheet2!J298,2)&amp;"'",IF(Sheet2!S298&lt;31,ROUND(Sheet2!K298,2)&amp;"'",IF(Sheet2!S298&lt;37,ROUND(Sheet2!L298,2)&amp;"'",""))))</f>
        <v/>
      </c>
      <c r="L298" s="15" t="str">
        <f>IF(Sheet2!D298="","",Sheet2!D298&amp;"''")</f>
        <v/>
      </c>
      <c r="O298" s="16" t="str">
        <f>IF(Sheet2!H298="","",ROUND(Sheet2!H298,2)&amp;"'")</f>
        <v/>
      </c>
      <c r="P298" s="18" t="str">
        <f>IF(Sheet2!E298="","",Sheet2!E298&amp;"''")</f>
        <v/>
      </c>
      <c r="Q298" s="12" t="str" cm="1">
        <f t="array" ref="Q298">IF(P298="","",_xlfn.XLOOKUP(G298,[1]Sheet1!$G:$G,[1]Sheet1!$Q:$S))</f>
        <v/>
      </c>
      <c r="T298" s="15" t="str">
        <f>IF(Sheet2!F298="","",Sheet2!F298&amp;"""")</f>
        <v/>
      </c>
      <c r="U298" s="12" t="str" cm="1">
        <f t="array" ref="U298">IF(T298="","",_xlfn.XLOOKUP(G298,[1]Sheet1!$G:$G,[1]Sheet1!$U:$W))</f>
        <v/>
      </c>
      <c r="X298" s="15" t="str">
        <f>IF(Sheet2!G298="","",Sheet2!G298&amp;"''")</f>
        <v/>
      </c>
    </row>
    <row r="299" spans="7:24" x14ac:dyDescent="0.25">
      <c r="G299" s="15" t="str">
        <f>IF(Sheet2!A299="","",Sheet2!A299)</f>
        <v/>
      </c>
      <c r="H299" s="18" t="str">
        <f>IF(Sheet2!O299="","",LEFT(Sheet2!O299, FIND(" ", Sheet2!O299)-1))</f>
        <v/>
      </c>
      <c r="I299" s="15" t="str">
        <f>IF(Sheet2!S299&lt;19,ROUND(Sheet2!I299,2)&amp;"'",IF(Sheet2!S299&lt;25,ROUND(Sheet2!J299,2)&amp;"'",IF(Sheet2!S299&lt;31,ROUND(Sheet2!K299,2)&amp;"'",IF(Sheet2!S299&lt;37,ROUND(Sheet2!L299,2)&amp;"'",""))))</f>
        <v/>
      </c>
      <c r="L299" s="15" t="str">
        <f>IF(Sheet2!D299="","",Sheet2!D299&amp;"''")</f>
        <v/>
      </c>
      <c r="O299" s="16" t="str">
        <f>IF(Sheet2!H299="","",ROUND(Sheet2!H299,2)&amp;"'")</f>
        <v/>
      </c>
      <c r="P299" s="18" t="str">
        <f>IF(Sheet2!E299="","",Sheet2!E299&amp;"''")</f>
        <v/>
      </c>
      <c r="Q299" s="12" t="str" cm="1">
        <f t="array" ref="Q299">IF(P299="","",_xlfn.XLOOKUP(G299,[1]Sheet1!$G:$G,[1]Sheet1!$Q:$S))</f>
        <v/>
      </c>
      <c r="T299" s="15" t="str">
        <f>IF(Sheet2!F299="","",Sheet2!F299&amp;"""")</f>
        <v/>
      </c>
      <c r="U299" s="12" t="str" cm="1">
        <f t="array" ref="U299">IF(T299="","",_xlfn.XLOOKUP(G299,[1]Sheet1!$G:$G,[1]Sheet1!$U:$W))</f>
        <v/>
      </c>
      <c r="X299" s="15" t="str">
        <f>IF(Sheet2!G299="","",Sheet2!G299&amp;"''")</f>
        <v/>
      </c>
    </row>
    <row r="300" spans="7:24" x14ac:dyDescent="0.25">
      <c r="G300" s="15" t="str">
        <f>IF(Sheet2!A300="","",Sheet2!A300)</f>
        <v/>
      </c>
      <c r="H300" s="18" t="str">
        <f>IF(Sheet2!O300="","",LEFT(Sheet2!O300, FIND(" ", Sheet2!O300)-1))</f>
        <v/>
      </c>
      <c r="I300" s="15" t="str">
        <f>IF(Sheet2!S300&lt;19,ROUND(Sheet2!I300,2)&amp;"'",IF(Sheet2!S300&lt;25,ROUND(Sheet2!J300,2)&amp;"'",IF(Sheet2!S300&lt;31,ROUND(Sheet2!K300,2)&amp;"'",IF(Sheet2!S300&lt;37,ROUND(Sheet2!L300,2)&amp;"'",""))))</f>
        <v/>
      </c>
      <c r="L300" s="15" t="str">
        <f>IF(Sheet2!D300="","",Sheet2!D300&amp;"''")</f>
        <v/>
      </c>
      <c r="O300" s="16" t="str">
        <f>IF(Sheet2!H300="","",ROUND(Sheet2!H300,2)&amp;"'")</f>
        <v/>
      </c>
      <c r="P300" s="18" t="str">
        <f>IF(Sheet2!E300="","",Sheet2!E300&amp;"''")</f>
        <v/>
      </c>
      <c r="Q300" s="12" t="str" cm="1">
        <f t="array" ref="Q300">IF(P300="","",_xlfn.XLOOKUP(G300,[1]Sheet1!$G:$G,[1]Sheet1!$Q:$S))</f>
        <v/>
      </c>
      <c r="T300" s="15" t="str">
        <f>IF(Sheet2!F300="","",Sheet2!F300&amp;"""")</f>
        <v/>
      </c>
      <c r="U300" s="12" t="str" cm="1">
        <f t="array" ref="U300">IF(T300="","",_xlfn.XLOOKUP(G300,[1]Sheet1!$G:$G,[1]Sheet1!$U:$W))</f>
        <v/>
      </c>
      <c r="X300" s="15" t="str">
        <f>IF(Sheet2!G300="","",Sheet2!G300&amp;"''")</f>
        <v/>
      </c>
    </row>
    <row r="301" spans="7:24" x14ac:dyDescent="0.25">
      <c r="G301" s="15" t="str">
        <f>IF(Sheet2!A301="","",Sheet2!A301)</f>
        <v/>
      </c>
      <c r="H301" s="18" t="str">
        <f>IF(Sheet2!O301="","",LEFT(Sheet2!O301, FIND(" ", Sheet2!O301)-1))</f>
        <v/>
      </c>
      <c r="I301" s="15" t="str">
        <f>IF(Sheet2!S301&lt;19,ROUND(Sheet2!I301,2)&amp;"'",IF(Sheet2!S301&lt;25,ROUND(Sheet2!J301,2)&amp;"'",IF(Sheet2!S301&lt;31,ROUND(Sheet2!K301,2)&amp;"'",IF(Sheet2!S301&lt;37,ROUND(Sheet2!L301,2)&amp;"'",""))))</f>
        <v/>
      </c>
      <c r="L301" s="15" t="str">
        <f>IF(Sheet2!D301="","",Sheet2!D301&amp;"''")</f>
        <v/>
      </c>
      <c r="O301" s="16" t="str">
        <f>IF(Sheet2!H301="","",ROUND(Sheet2!H301,2)&amp;"'")</f>
        <v/>
      </c>
      <c r="P301" s="18" t="str">
        <f>IF(Sheet2!E301="","",Sheet2!E301&amp;"''")</f>
        <v/>
      </c>
      <c r="Q301" s="12" t="str" cm="1">
        <f t="array" ref="Q301">IF(P301="","",_xlfn.XLOOKUP(G301,[1]Sheet1!$G:$G,[1]Sheet1!$Q:$S))</f>
        <v/>
      </c>
      <c r="T301" s="15" t="str">
        <f>IF(Sheet2!F301="","",Sheet2!F301&amp;"""")</f>
        <v/>
      </c>
      <c r="U301" s="12" t="str" cm="1">
        <f t="array" ref="U301">IF(T301="","",_xlfn.XLOOKUP(G301,[1]Sheet1!$G:$G,[1]Sheet1!$U:$W))</f>
        <v/>
      </c>
      <c r="X301" s="15" t="str">
        <f>IF(Sheet2!G301="","",Sheet2!G301&amp;"''")</f>
        <v/>
      </c>
    </row>
    <row r="302" spans="7:24" x14ac:dyDescent="0.25">
      <c r="G302" s="15" t="str">
        <f>IF(Sheet2!A302="","",Sheet2!A302)</f>
        <v/>
      </c>
      <c r="H302" s="18" t="str">
        <f>IF(Sheet2!O302="","",LEFT(Sheet2!O302, FIND(" ", Sheet2!O302)-1))</f>
        <v/>
      </c>
      <c r="I302" s="15" t="str">
        <f>IF(Sheet2!S302&lt;19,ROUND(Sheet2!I302,2)&amp;"'",IF(Sheet2!S302&lt;25,ROUND(Sheet2!J302,2)&amp;"'",IF(Sheet2!S302&lt;31,ROUND(Sheet2!K302,2)&amp;"'",IF(Sheet2!S302&lt;37,ROUND(Sheet2!L302,2)&amp;"'",""))))</f>
        <v/>
      </c>
      <c r="L302" s="15" t="str">
        <f>IF(Sheet2!D302="","",Sheet2!D302&amp;"''")</f>
        <v/>
      </c>
      <c r="O302" s="16" t="str">
        <f>IF(Sheet2!H302="","",ROUND(Sheet2!H302,2)&amp;"'")</f>
        <v/>
      </c>
      <c r="P302" s="18" t="str">
        <f>IF(Sheet2!E302="","",Sheet2!E302&amp;"''")</f>
        <v/>
      </c>
      <c r="Q302" s="12" t="str" cm="1">
        <f t="array" ref="Q302">IF(P302="","",_xlfn.XLOOKUP(G302,[1]Sheet1!$G:$G,[1]Sheet1!$Q:$S))</f>
        <v/>
      </c>
      <c r="T302" s="15" t="str">
        <f>IF(Sheet2!F302="","",Sheet2!F302&amp;"""")</f>
        <v/>
      </c>
      <c r="U302" s="12" t="str" cm="1">
        <f t="array" ref="U302">IF(T302="","",_xlfn.XLOOKUP(G302,[1]Sheet1!$G:$G,[1]Sheet1!$U:$W))</f>
        <v/>
      </c>
      <c r="X302" s="15" t="str">
        <f>IF(Sheet2!G302="","",Sheet2!G302&amp;"''")</f>
        <v/>
      </c>
    </row>
    <row r="303" spans="7:24" x14ac:dyDescent="0.25">
      <c r="G303" s="15" t="str">
        <f>IF(Sheet2!A303="","",Sheet2!A303)</f>
        <v/>
      </c>
      <c r="H303" s="18" t="str">
        <f>IF(Sheet2!O303="","",LEFT(Sheet2!O303, FIND(" ", Sheet2!O303)-1))</f>
        <v/>
      </c>
      <c r="I303" s="15" t="str">
        <f>IF(Sheet2!S303&lt;19,ROUND(Sheet2!I303,2)&amp;"'",IF(Sheet2!S303&lt;25,ROUND(Sheet2!J303,2)&amp;"'",IF(Sheet2!S303&lt;31,ROUND(Sheet2!K303,2)&amp;"'",IF(Sheet2!S303&lt;37,ROUND(Sheet2!L303,2)&amp;"'",""))))</f>
        <v/>
      </c>
      <c r="L303" s="15" t="str">
        <f>IF(Sheet2!D303="","",Sheet2!D303&amp;"''")</f>
        <v/>
      </c>
      <c r="O303" s="16" t="str">
        <f>IF(Sheet2!H303="","",ROUND(Sheet2!H303,2)&amp;"'")</f>
        <v/>
      </c>
      <c r="P303" s="18" t="str">
        <f>IF(Sheet2!E303="","",Sheet2!E303&amp;"''")</f>
        <v/>
      </c>
      <c r="Q303" s="12" t="str" cm="1">
        <f t="array" ref="Q303">IF(P303="","",_xlfn.XLOOKUP(G303,[1]Sheet1!$G:$G,[1]Sheet1!$Q:$S))</f>
        <v/>
      </c>
      <c r="T303" s="15" t="str">
        <f>IF(Sheet2!F303="","",Sheet2!F303&amp;"""")</f>
        <v/>
      </c>
      <c r="U303" s="12" t="str" cm="1">
        <f t="array" ref="U303">IF(T303="","",_xlfn.XLOOKUP(G303,[1]Sheet1!$G:$G,[1]Sheet1!$U:$W))</f>
        <v/>
      </c>
      <c r="X303" s="15" t="str">
        <f>IF(Sheet2!G303="","",Sheet2!G303&amp;"''")</f>
        <v/>
      </c>
    </row>
    <row r="304" spans="7:24" x14ac:dyDescent="0.25">
      <c r="G304" s="15" t="str">
        <f>IF(Sheet2!A304="","",Sheet2!A304)</f>
        <v/>
      </c>
      <c r="H304" s="18" t="str">
        <f>IF(Sheet2!O304="","",LEFT(Sheet2!O304, FIND(" ", Sheet2!O304)-1))</f>
        <v/>
      </c>
      <c r="I304" s="15" t="str">
        <f>IF(Sheet2!S304&lt;19,ROUND(Sheet2!I304,2)&amp;"'",IF(Sheet2!S304&lt;25,ROUND(Sheet2!J304,2)&amp;"'",IF(Sheet2!S304&lt;31,ROUND(Sheet2!K304,2)&amp;"'",IF(Sheet2!S304&lt;37,ROUND(Sheet2!L304,2)&amp;"'",""))))</f>
        <v/>
      </c>
      <c r="L304" s="15" t="str">
        <f>IF(Sheet2!D304="","",Sheet2!D304&amp;"''")</f>
        <v/>
      </c>
      <c r="O304" s="16" t="str">
        <f>IF(Sheet2!H304="","",ROUND(Sheet2!H304,2)&amp;"'")</f>
        <v/>
      </c>
      <c r="P304" s="18" t="str">
        <f>IF(Sheet2!E304="","",Sheet2!E304&amp;"''")</f>
        <v/>
      </c>
      <c r="Q304" s="12" t="str" cm="1">
        <f t="array" ref="Q304">IF(P304="","",_xlfn.XLOOKUP(G304,[1]Sheet1!$G:$G,[1]Sheet1!$Q:$S))</f>
        <v/>
      </c>
      <c r="T304" s="15" t="str">
        <f>IF(Sheet2!F304="","",Sheet2!F304&amp;"""")</f>
        <v/>
      </c>
      <c r="U304" s="12" t="str" cm="1">
        <f t="array" ref="U304">IF(T304="","",_xlfn.XLOOKUP(G304,[1]Sheet1!$G:$G,[1]Sheet1!$U:$W))</f>
        <v/>
      </c>
      <c r="X304" s="15" t="str">
        <f>IF(Sheet2!G304="","",Sheet2!G304&amp;"''")</f>
        <v/>
      </c>
    </row>
    <row r="305" spans="7:24" x14ac:dyDescent="0.25">
      <c r="G305" s="15" t="str">
        <f>IF(Sheet2!A305="","",Sheet2!A305)</f>
        <v/>
      </c>
      <c r="H305" s="18" t="str">
        <f>IF(Sheet2!O305="","",LEFT(Sheet2!O305, FIND(" ", Sheet2!O305)-1))</f>
        <v/>
      </c>
      <c r="I305" s="15" t="str">
        <f>IF(Sheet2!S305&lt;19,ROUND(Sheet2!I305,2)&amp;"'",IF(Sheet2!S305&lt;25,ROUND(Sheet2!J305,2)&amp;"'",IF(Sheet2!S305&lt;31,ROUND(Sheet2!K305,2)&amp;"'",IF(Sheet2!S305&lt;37,ROUND(Sheet2!L305,2)&amp;"'",""))))</f>
        <v/>
      </c>
      <c r="L305" s="15" t="str">
        <f>IF(Sheet2!D305="","",Sheet2!D305&amp;"''")</f>
        <v/>
      </c>
      <c r="O305" s="16" t="str">
        <f>IF(Sheet2!H305="","",ROUND(Sheet2!H305,2)&amp;"'")</f>
        <v/>
      </c>
      <c r="P305" s="18" t="str">
        <f>IF(Sheet2!E305="","",Sheet2!E305&amp;"''")</f>
        <v/>
      </c>
      <c r="Q305" s="12" t="str" cm="1">
        <f t="array" ref="Q305">IF(P305="","",_xlfn.XLOOKUP(G305,[1]Sheet1!$G:$G,[1]Sheet1!$Q:$S))</f>
        <v/>
      </c>
      <c r="T305" s="15" t="str">
        <f>IF(Sheet2!F305="","",Sheet2!F305&amp;"""")</f>
        <v/>
      </c>
      <c r="U305" s="12" t="str" cm="1">
        <f t="array" ref="U305">IF(T305="","",_xlfn.XLOOKUP(G305,[1]Sheet1!$G:$G,[1]Sheet1!$U:$W))</f>
        <v/>
      </c>
      <c r="X305" s="15" t="str">
        <f>IF(Sheet2!G305="","",Sheet2!G305&amp;"''")</f>
        <v/>
      </c>
    </row>
    <row r="306" spans="7:24" x14ac:dyDescent="0.25">
      <c r="G306" s="15" t="str">
        <f>IF(Sheet2!A306="","",Sheet2!A306)</f>
        <v/>
      </c>
      <c r="H306" s="18" t="str">
        <f>IF(Sheet2!O306="","",LEFT(Sheet2!O306, FIND(" ", Sheet2!O306)-1))</f>
        <v/>
      </c>
      <c r="I306" s="15" t="str">
        <f>IF(Sheet2!S306&lt;19,ROUND(Sheet2!I306,2)&amp;"'",IF(Sheet2!S306&lt;25,ROUND(Sheet2!J306,2)&amp;"'",IF(Sheet2!S306&lt;31,ROUND(Sheet2!K306,2)&amp;"'",IF(Sheet2!S306&lt;37,ROUND(Sheet2!L306,2)&amp;"'",""))))</f>
        <v/>
      </c>
      <c r="L306" s="15" t="str">
        <f>IF(Sheet2!D306="","",Sheet2!D306&amp;"''")</f>
        <v/>
      </c>
      <c r="O306" s="16" t="str">
        <f>IF(Sheet2!H306="","",ROUND(Sheet2!H306,2)&amp;"'")</f>
        <v/>
      </c>
      <c r="P306" s="18" t="str">
        <f>IF(Sheet2!E306="","",Sheet2!E306&amp;"''")</f>
        <v/>
      </c>
      <c r="Q306" s="12" t="str" cm="1">
        <f t="array" ref="Q306">IF(P306="","",_xlfn.XLOOKUP(G306,[1]Sheet1!$G:$G,[1]Sheet1!$Q:$S))</f>
        <v/>
      </c>
      <c r="T306" s="15" t="str">
        <f>IF(Sheet2!F306="","",Sheet2!F306&amp;"""")</f>
        <v/>
      </c>
      <c r="U306" s="12" t="str" cm="1">
        <f t="array" ref="U306">IF(T306="","",_xlfn.XLOOKUP(G306,[1]Sheet1!$G:$G,[1]Sheet1!$U:$W))</f>
        <v/>
      </c>
      <c r="X306" s="15" t="str">
        <f>IF(Sheet2!G306="","",Sheet2!G306&amp;"''")</f>
        <v/>
      </c>
    </row>
    <row r="307" spans="7:24" x14ac:dyDescent="0.25">
      <c r="G307" s="15" t="str">
        <f>IF(Sheet2!A307="","",Sheet2!A307)</f>
        <v/>
      </c>
      <c r="H307" s="18" t="str">
        <f>IF(Sheet2!O307="","",LEFT(Sheet2!O307, FIND(" ", Sheet2!O307)-1))</f>
        <v/>
      </c>
      <c r="I307" s="15" t="str">
        <f>IF(Sheet2!S307&lt;19,ROUND(Sheet2!I307,2)&amp;"'",IF(Sheet2!S307&lt;25,ROUND(Sheet2!J307,2)&amp;"'",IF(Sheet2!S307&lt;31,ROUND(Sheet2!K307,2)&amp;"'",IF(Sheet2!S307&lt;37,ROUND(Sheet2!L307,2)&amp;"'",""))))</f>
        <v/>
      </c>
      <c r="L307" s="15" t="str">
        <f>IF(Sheet2!D307="","",Sheet2!D307&amp;"''")</f>
        <v/>
      </c>
      <c r="O307" s="16" t="str">
        <f>IF(Sheet2!H307="","",ROUND(Sheet2!H307,2)&amp;"'")</f>
        <v/>
      </c>
      <c r="P307" s="18" t="str">
        <f>IF(Sheet2!E307="","",Sheet2!E307&amp;"''")</f>
        <v/>
      </c>
      <c r="Q307" s="12" t="str" cm="1">
        <f t="array" ref="Q307">IF(P307="","",_xlfn.XLOOKUP(G307,[1]Sheet1!$G:$G,[1]Sheet1!$Q:$S))</f>
        <v/>
      </c>
      <c r="T307" s="15" t="str">
        <f>IF(Sheet2!F307="","",Sheet2!F307&amp;"""")</f>
        <v/>
      </c>
      <c r="U307" s="12" t="str" cm="1">
        <f t="array" ref="U307">IF(T307="","",_xlfn.XLOOKUP(G307,[1]Sheet1!$G:$G,[1]Sheet1!$U:$W))</f>
        <v/>
      </c>
      <c r="X307" s="15" t="str">
        <f>IF(Sheet2!G307="","",Sheet2!G307&amp;"''")</f>
        <v/>
      </c>
    </row>
    <row r="308" spans="7:24" x14ac:dyDescent="0.25">
      <c r="G308" s="15" t="str">
        <f>IF(Sheet2!A308="","",Sheet2!A308)</f>
        <v/>
      </c>
      <c r="H308" s="18" t="str">
        <f>IF(Sheet2!O308="","",LEFT(Sheet2!O308, FIND(" ", Sheet2!O308)-1))</f>
        <v/>
      </c>
      <c r="I308" s="15" t="str">
        <f>IF(Sheet2!S308&lt;19,ROUND(Sheet2!I308,2)&amp;"'",IF(Sheet2!S308&lt;25,ROUND(Sheet2!J308,2)&amp;"'",IF(Sheet2!S308&lt;31,ROUND(Sheet2!K308,2)&amp;"'",IF(Sheet2!S308&lt;37,ROUND(Sheet2!L308,2)&amp;"'",""))))</f>
        <v/>
      </c>
      <c r="L308" s="15" t="str">
        <f>IF(Sheet2!D308="","",Sheet2!D308&amp;"''")</f>
        <v/>
      </c>
      <c r="O308" s="16" t="str">
        <f>IF(Sheet2!H308="","",ROUND(Sheet2!H308,2)&amp;"'")</f>
        <v/>
      </c>
      <c r="P308" s="18" t="str">
        <f>IF(Sheet2!E308="","",Sheet2!E308&amp;"''")</f>
        <v/>
      </c>
      <c r="Q308" s="12" t="str" cm="1">
        <f t="array" ref="Q308">IF(P308="","",_xlfn.XLOOKUP(G308,[1]Sheet1!$G:$G,[1]Sheet1!$Q:$S))</f>
        <v/>
      </c>
      <c r="T308" s="15" t="str">
        <f>IF(Sheet2!F308="","",Sheet2!F308&amp;"""")</f>
        <v/>
      </c>
      <c r="U308" s="12" t="str" cm="1">
        <f t="array" ref="U308">IF(T308="","",_xlfn.XLOOKUP(G308,[1]Sheet1!$G:$G,[1]Sheet1!$U:$W))</f>
        <v/>
      </c>
      <c r="X308" s="15" t="str">
        <f>IF(Sheet2!G308="","",Sheet2!G308&amp;"''")</f>
        <v/>
      </c>
    </row>
    <row r="309" spans="7:24" x14ac:dyDescent="0.25">
      <c r="G309" s="15" t="str">
        <f>IF(Sheet2!A309="","",Sheet2!A309)</f>
        <v/>
      </c>
      <c r="H309" s="18" t="str">
        <f>IF(Sheet2!O309="","",LEFT(Sheet2!O309, FIND(" ", Sheet2!O309)-1))</f>
        <v/>
      </c>
      <c r="I309" s="15" t="str">
        <f>IF(Sheet2!S309&lt;19,ROUND(Sheet2!I309,2)&amp;"'",IF(Sheet2!S309&lt;25,ROUND(Sheet2!J309,2)&amp;"'",IF(Sheet2!S309&lt;31,ROUND(Sheet2!K309,2)&amp;"'",IF(Sheet2!S309&lt;37,ROUND(Sheet2!L309,2)&amp;"'",""))))</f>
        <v/>
      </c>
      <c r="L309" s="15" t="str">
        <f>IF(Sheet2!D309="","",Sheet2!D309&amp;"''")</f>
        <v/>
      </c>
      <c r="O309" s="16" t="str">
        <f>IF(Sheet2!H309="","",ROUND(Sheet2!H309,2)&amp;"'")</f>
        <v/>
      </c>
      <c r="P309" s="18" t="str">
        <f>IF(Sheet2!E309="","",Sheet2!E309&amp;"''")</f>
        <v/>
      </c>
      <c r="Q309" s="12" t="str" cm="1">
        <f t="array" ref="Q309">IF(P309="","",_xlfn.XLOOKUP(G309,[1]Sheet1!$G:$G,[1]Sheet1!$Q:$S))</f>
        <v/>
      </c>
      <c r="T309" s="15" t="str">
        <f>IF(Sheet2!F309="","",Sheet2!F309&amp;"""")</f>
        <v/>
      </c>
      <c r="U309" s="12" t="str" cm="1">
        <f t="array" ref="U309">IF(T309="","",_xlfn.XLOOKUP(G309,[1]Sheet1!$G:$G,[1]Sheet1!$U:$W))</f>
        <v/>
      </c>
      <c r="X309" s="15" t="str">
        <f>IF(Sheet2!G309="","",Sheet2!G309&amp;"''")</f>
        <v/>
      </c>
    </row>
    <row r="310" spans="7:24" x14ac:dyDescent="0.25">
      <c r="G310" s="15" t="str">
        <f>IF(Sheet2!A310="","",Sheet2!A310)</f>
        <v/>
      </c>
      <c r="H310" s="18" t="str">
        <f>IF(Sheet2!O310="","",LEFT(Sheet2!O310, FIND(" ", Sheet2!O310)-1))</f>
        <v/>
      </c>
      <c r="I310" s="15" t="str">
        <f>IF(Sheet2!S310&lt;19,ROUND(Sheet2!I310,2)&amp;"'",IF(Sheet2!S310&lt;25,ROUND(Sheet2!J310,2)&amp;"'",IF(Sheet2!S310&lt;31,ROUND(Sheet2!K310,2)&amp;"'",IF(Sheet2!S310&lt;37,ROUND(Sheet2!L310,2)&amp;"'",""))))</f>
        <v/>
      </c>
      <c r="L310" s="15" t="str">
        <f>IF(Sheet2!D310="","",Sheet2!D310&amp;"''")</f>
        <v/>
      </c>
      <c r="O310" s="16" t="str">
        <f>IF(Sheet2!H310="","",ROUND(Sheet2!H310,2)&amp;"'")</f>
        <v/>
      </c>
      <c r="P310" s="18" t="str">
        <f>IF(Sheet2!E310="","",Sheet2!E310&amp;"''")</f>
        <v/>
      </c>
      <c r="Q310" s="12" t="str" cm="1">
        <f t="array" ref="Q310">IF(P310="","",_xlfn.XLOOKUP(G310,[1]Sheet1!$G:$G,[1]Sheet1!$Q:$S))</f>
        <v/>
      </c>
      <c r="T310" s="15" t="str">
        <f>IF(Sheet2!F310="","",Sheet2!F310&amp;"""")</f>
        <v/>
      </c>
      <c r="U310" s="12" t="str" cm="1">
        <f t="array" ref="U310">IF(T310="","",_xlfn.XLOOKUP(G310,[1]Sheet1!$G:$G,[1]Sheet1!$U:$W))</f>
        <v/>
      </c>
      <c r="X310" s="15" t="str">
        <f>IF(Sheet2!G310="","",Sheet2!G310&amp;"''")</f>
        <v/>
      </c>
    </row>
    <row r="311" spans="7:24" x14ac:dyDescent="0.25">
      <c r="G311" s="15" t="str">
        <f>IF(Sheet2!A311="","",Sheet2!A311)</f>
        <v/>
      </c>
      <c r="H311" s="18" t="str">
        <f>IF(Sheet2!O311="","",LEFT(Sheet2!O311, FIND(" ", Sheet2!O311)-1))</f>
        <v/>
      </c>
      <c r="I311" s="15" t="str">
        <f>IF(Sheet2!S311&lt;19,ROUND(Sheet2!I311,2)&amp;"'",IF(Sheet2!S311&lt;25,ROUND(Sheet2!J311,2)&amp;"'",IF(Sheet2!S311&lt;31,ROUND(Sheet2!K311,2)&amp;"'",IF(Sheet2!S311&lt;37,ROUND(Sheet2!L311,2)&amp;"'",""))))</f>
        <v/>
      </c>
      <c r="L311" s="15" t="str">
        <f>IF(Sheet2!D311="","",Sheet2!D311&amp;"''")</f>
        <v/>
      </c>
      <c r="O311" s="16" t="str">
        <f>IF(Sheet2!H311="","",ROUND(Sheet2!H311,2)&amp;"'")</f>
        <v/>
      </c>
      <c r="P311" s="18" t="str">
        <f>IF(Sheet2!E311="","",Sheet2!E311&amp;"''")</f>
        <v/>
      </c>
      <c r="Q311" s="12" t="str" cm="1">
        <f t="array" ref="Q311">IF(P311="","",_xlfn.XLOOKUP(G311,[1]Sheet1!$G:$G,[1]Sheet1!$Q:$S))</f>
        <v/>
      </c>
      <c r="T311" s="15" t="str">
        <f>IF(Sheet2!F311="","",Sheet2!F311&amp;"""")</f>
        <v/>
      </c>
      <c r="U311" s="12" t="str" cm="1">
        <f t="array" ref="U311">IF(T311="","",_xlfn.XLOOKUP(G311,[1]Sheet1!$G:$G,[1]Sheet1!$U:$W))</f>
        <v/>
      </c>
      <c r="X311" s="15" t="str">
        <f>IF(Sheet2!G311="","",Sheet2!G311&amp;"''")</f>
        <v/>
      </c>
    </row>
    <row r="312" spans="7:24" x14ac:dyDescent="0.25">
      <c r="G312" s="15" t="str">
        <f>IF(Sheet2!A312="","",Sheet2!A312)</f>
        <v/>
      </c>
      <c r="H312" s="18" t="str">
        <f>IF(Sheet2!O312="","",LEFT(Sheet2!O312, FIND(" ", Sheet2!O312)-1))</f>
        <v/>
      </c>
      <c r="I312" s="15" t="str">
        <f>IF(Sheet2!S312&lt;19,ROUND(Sheet2!I312,2)&amp;"'",IF(Sheet2!S312&lt;25,ROUND(Sheet2!J312,2)&amp;"'",IF(Sheet2!S312&lt;31,ROUND(Sheet2!K312,2)&amp;"'",IF(Sheet2!S312&lt;37,ROUND(Sheet2!L312,2)&amp;"'",""))))</f>
        <v/>
      </c>
      <c r="L312" s="15" t="str">
        <f>IF(Sheet2!D312="","",Sheet2!D312&amp;"''")</f>
        <v/>
      </c>
      <c r="O312" s="16" t="str">
        <f>IF(Sheet2!H312="","",ROUND(Sheet2!H312,2)&amp;"'")</f>
        <v/>
      </c>
      <c r="P312" s="18" t="str">
        <f>IF(Sheet2!E312="","",Sheet2!E312&amp;"''")</f>
        <v/>
      </c>
      <c r="Q312" s="12" t="str" cm="1">
        <f t="array" ref="Q312">IF(P312="","",_xlfn.XLOOKUP(G312,[1]Sheet1!$G:$G,[1]Sheet1!$Q:$S))</f>
        <v/>
      </c>
      <c r="T312" s="15" t="str">
        <f>IF(Sheet2!F312="","",Sheet2!F312&amp;"""")</f>
        <v/>
      </c>
      <c r="U312" s="12" t="str" cm="1">
        <f t="array" ref="U312">IF(T312="","",_xlfn.XLOOKUP(G312,[1]Sheet1!$G:$G,[1]Sheet1!$U:$W))</f>
        <v/>
      </c>
      <c r="X312" s="15" t="str">
        <f>IF(Sheet2!G312="","",Sheet2!G312&amp;"''")</f>
        <v/>
      </c>
    </row>
    <row r="313" spans="7:24" x14ac:dyDescent="0.25">
      <c r="G313" s="15" t="str">
        <f>IF(Sheet2!A313="","",Sheet2!A313)</f>
        <v/>
      </c>
      <c r="H313" s="18" t="str">
        <f>IF(Sheet2!O313="","",LEFT(Sheet2!O313, FIND(" ", Sheet2!O313)-1))</f>
        <v/>
      </c>
      <c r="I313" s="15" t="str">
        <f>IF(Sheet2!S313&lt;19,ROUND(Sheet2!I313,2)&amp;"'",IF(Sheet2!S313&lt;25,ROUND(Sheet2!J313,2)&amp;"'",IF(Sheet2!S313&lt;31,ROUND(Sheet2!K313,2)&amp;"'",IF(Sheet2!S313&lt;37,ROUND(Sheet2!L313,2)&amp;"'",""))))</f>
        <v/>
      </c>
      <c r="L313" s="15" t="str">
        <f>IF(Sheet2!D313="","",Sheet2!D313&amp;"''")</f>
        <v/>
      </c>
      <c r="O313" s="16" t="str">
        <f>IF(Sheet2!H313="","",ROUND(Sheet2!H313,2)&amp;"'")</f>
        <v/>
      </c>
      <c r="P313" s="18" t="str">
        <f>IF(Sheet2!E313="","",Sheet2!E313&amp;"''")</f>
        <v/>
      </c>
      <c r="Q313" s="12" t="str" cm="1">
        <f t="array" ref="Q313">IF(P313="","",_xlfn.XLOOKUP(G313,[1]Sheet1!$G:$G,[1]Sheet1!$Q:$S))</f>
        <v/>
      </c>
      <c r="T313" s="15" t="str">
        <f>IF(Sheet2!F313="","",Sheet2!F313&amp;"""")</f>
        <v/>
      </c>
      <c r="U313" s="12" t="str" cm="1">
        <f t="array" ref="U313">IF(T313="","",_xlfn.XLOOKUP(G313,[1]Sheet1!$G:$G,[1]Sheet1!$U:$W))</f>
        <v/>
      </c>
      <c r="X313" s="15" t="str">
        <f>IF(Sheet2!G313="","",Sheet2!G313&amp;"''")</f>
        <v/>
      </c>
    </row>
    <row r="314" spans="7:24" x14ac:dyDescent="0.25">
      <c r="G314" s="15" t="str">
        <f>IF(Sheet2!A314="","",Sheet2!A314)</f>
        <v/>
      </c>
      <c r="H314" s="18" t="str">
        <f>IF(Sheet2!O314="","",LEFT(Sheet2!O314, FIND(" ", Sheet2!O314)-1))</f>
        <v/>
      </c>
      <c r="I314" s="15" t="str">
        <f>IF(Sheet2!S314&lt;19,ROUND(Sheet2!I314,2)&amp;"'",IF(Sheet2!S314&lt;25,ROUND(Sheet2!J314,2)&amp;"'",IF(Sheet2!S314&lt;31,ROUND(Sheet2!K314,2)&amp;"'",IF(Sheet2!S314&lt;37,ROUND(Sheet2!L314,2)&amp;"'",""))))</f>
        <v/>
      </c>
      <c r="L314" s="15" t="str">
        <f>IF(Sheet2!D314="","",Sheet2!D314&amp;"''")</f>
        <v/>
      </c>
      <c r="O314" s="16" t="str">
        <f>IF(Sheet2!H314="","",ROUND(Sheet2!H314,2)&amp;"'")</f>
        <v/>
      </c>
      <c r="P314" s="18" t="str">
        <f>IF(Sheet2!E314="","",Sheet2!E314&amp;"''")</f>
        <v/>
      </c>
      <c r="Q314" s="12" t="str" cm="1">
        <f t="array" ref="Q314">IF(P314="","",_xlfn.XLOOKUP(G314,[1]Sheet1!$G:$G,[1]Sheet1!$Q:$S))</f>
        <v/>
      </c>
      <c r="T314" s="15" t="str">
        <f>IF(Sheet2!F314="","",Sheet2!F314&amp;"""")</f>
        <v/>
      </c>
      <c r="U314" s="12" t="str" cm="1">
        <f t="array" ref="U314">IF(T314="","",_xlfn.XLOOKUP(G314,[1]Sheet1!$G:$G,[1]Sheet1!$U:$W))</f>
        <v/>
      </c>
      <c r="X314" s="15" t="str">
        <f>IF(Sheet2!G314="","",Sheet2!G314&amp;"''")</f>
        <v/>
      </c>
    </row>
    <row r="315" spans="7:24" x14ac:dyDescent="0.25">
      <c r="G315" s="15" t="str">
        <f>IF(Sheet2!A315="","",Sheet2!A315)</f>
        <v/>
      </c>
      <c r="H315" s="18" t="str">
        <f>IF(Sheet2!O315="","",LEFT(Sheet2!O315, FIND(" ", Sheet2!O315)-1))</f>
        <v/>
      </c>
      <c r="I315" s="15" t="str">
        <f>IF(Sheet2!S315&lt;19,ROUND(Sheet2!I315,2)&amp;"'",IF(Sheet2!S315&lt;25,ROUND(Sheet2!J315,2)&amp;"'",IF(Sheet2!S315&lt;31,ROUND(Sheet2!K315,2)&amp;"'",IF(Sheet2!S315&lt;37,ROUND(Sheet2!L315,2)&amp;"'",""))))</f>
        <v/>
      </c>
      <c r="L315" s="15" t="str">
        <f>IF(Sheet2!D315="","",Sheet2!D315&amp;"''")</f>
        <v/>
      </c>
      <c r="O315" s="16" t="str">
        <f>IF(Sheet2!H315="","",ROUND(Sheet2!H315,2)&amp;"'")</f>
        <v/>
      </c>
      <c r="P315" s="18" t="str">
        <f>IF(Sheet2!E315="","",Sheet2!E315&amp;"''")</f>
        <v/>
      </c>
      <c r="Q315" s="12" t="str" cm="1">
        <f t="array" ref="Q315">IF(P315="","",_xlfn.XLOOKUP(G315,[1]Sheet1!$G:$G,[1]Sheet1!$Q:$S))</f>
        <v/>
      </c>
      <c r="T315" s="15" t="str">
        <f>IF(Sheet2!F315="","",Sheet2!F315&amp;"""")</f>
        <v/>
      </c>
      <c r="U315" s="12" t="str" cm="1">
        <f t="array" ref="U315">IF(T315="","",_xlfn.XLOOKUP(G315,[1]Sheet1!$G:$G,[1]Sheet1!$U:$W))</f>
        <v/>
      </c>
      <c r="X315" s="15" t="str">
        <f>IF(Sheet2!G315="","",Sheet2!G315&amp;"''")</f>
        <v/>
      </c>
    </row>
    <row r="316" spans="7:24" x14ac:dyDescent="0.25">
      <c r="G316" s="15" t="str">
        <f>IF(Sheet2!A316="","",Sheet2!A316)</f>
        <v/>
      </c>
      <c r="H316" s="18" t="str">
        <f>IF(Sheet2!O316="","",LEFT(Sheet2!O316, FIND(" ", Sheet2!O316)-1))</f>
        <v/>
      </c>
      <c r="I316" s="15" t="str">
        <f>IF(Sheet2!S316&lt;19,ROUND(Sheet2!I316,2)&amp;"'",IF(Sheet2!S316&lt;25,ROUND(Sheet2!J316,2)&amp;"'",IF(Sheet2!S316&lt;31,ROUND(Sheet2!K316,2)&amp;"'",IF(Sheet2!S316&lt;37,ROUND(Sheet2!L316,2)&amp;"'",""))))</f>
        <v/>
      </c>
      <c r="L316" s="15" t="str">
        <f>IF(Sheet2!D316="","",Sheet2!D316&amp;"''")</f>
        <v/>
      </c>
      <c r="O316" s="16" t="str">
        <f>IF(Sheet2!H316="","",ROUND(Sheet2!H316,2)&amp;"'")</f>
        <v/>
      </c>
      <c r="P316" s="18" t="str">
        <f>IF(Sheet2!E316="","",Sheet2!E316&amp;"''")</f>
        <v/>
      </c>
      <c r="Q316" s="12" t="str" cm="1">
        <f t="array" ref="Q316">IF(P316="","",_xlfn.XLOOKUP(G316,[1]Sheet1!$G:$G,[1]Sheet1!$Q:$S))</f>
        <v/>
      </c>
      <c r="T316" s="15" t="str">
        <f>IF(Sheet2!F316="","",Sheet2!F316&amp;"""")</f>
        <v/>
      </c>
      <c r="U316" s="12" t="str" cm="1">
        <f t="array" ref="U316">IF(T316="","",_xlfn.XLOOKUP(G316,[1]Sheet1!$G:$G,[1]Sheet1!$U:$W))</f>
        <v/>
      </c>
      <c r="X316" s="15" t="str">
        <f>IF(Sheet2!G316="","",Sheet2!G316&amp;"''")</f>
        <v/>
      </c>
    </row>
    <row r="317" spans="7:24" x14ac:dyDescent="0.25">
      <c r="G317" s="15" t="str">
        <f>IF(Sheet2!A317="","",Sheet2!A317)</f>
        <v/>
      </c>
      <c r="H317" s="18" t="str">
        <f>IF(Sheet2!O317="","",LEFT(Sheet2!O317, FIND(" ", Sheet2!O317)-1))</f>
        <v/>
      </c>
      <c r="I317" s="15" t="str">
        <f>IF(Sheet2!S317&lt;19,ROUND(Sheet2!I317,2)&amp;"'",IF(Sheet2!S317&lt;25,ROUND(Sheet2!J317,2)&amp;"'",IF(Sheet2!S317&lt;31,ROUND(Sheet2!K317,2)&amp;"'",IF(Sheet2!S317&lt;37,ROUND(Sheet2!L317,2)&amp;"'",""))))</f>
        <v/>
      </c>
      <c r="L317" s="15" t="str">
        <f>IF(Sheet2!D317="","",Sheet2!D317&amp;"''")</f>
        <v/>
      </c>
      <c r="O317" s="16" t="str">
        <f>IF(Sheet2!H317="","",ROUND(Sheet2!H317,2)&amp;"'")</f>
        <v/>
      </c>
      <c r="P317" s="18" t="str">
        <f>IF(Sheet2!E317="","",Sheet2!E317&amp;"''")</f>
        <v/>
      </c>
      <c r="Q317" s="12" t="str" cm="1">
        <f t="array" ref="Q317">IF(P317="","",_xlfn.XLOOKUP(G317,[1]Sheet1!$G:$G,[1]Sheet1!$Q:$S))</f>
        <v/>
      </c>
      <c r="T317" s="15" t="str">
        <f>IF(Sheet2!F317="","",Sheet2!F317&amp;"""")</f>
        <v/>
      </c>
      <c r="U317" s="12" t="str" cm="1">
        <f t="array" ref="U317">IF(T317="","",_xlfn.XLOOKUP(G317,[1]Sheet1!$G:$G,[1]Sheet1!$U:$W))</f>
        <v/>
      </c>
      <c r="X317" s="15" t="str">
        <f>IF(Sheet2!G317="","",Sheet2!G317&amp;"''")</f>
        <v/>
      </c>
    </row>
    <row r="318" spans="7:24" x14ac:dyDescent="0.25">
      <c r="G318" s="15" t="str">
        <f>IF(Sheet2!A318="","",Sheet2!A318)</f>
        <v/>
      </c>
      <c r="H318" s="18" t="str">
        <f>IF(Sheet2!O318="","",LEFT(Sheet2!O318, FIND(" ", Sheet2!O318)-1))</f>
        <v/>
      </c>
      <c r="I318" s="15" t="str">
        <f>IF(Sheet2!S318&lt;19,ROUND(Sheet2!I318,2)&amp;"'",IF(Sheet2!S318&lt;25,ROUND(Sheet2!J318,2)&amp;"'",IF(Sheet2!S318&lt;31,ROUND(Sheet2!K318,2)&amp;"'",IF(Sheet2!S318&lt;37,ROUND(Sheet2!L318,2)&amp;"'",""))))</f>
        <v/>
      </c>
      <c r="L318" s="15" t="str">
        <f>IF(Sheet2!D318="","",Sheet2!D318&amp;"''")</f>
        <v/>
      </c>
      <c r="O318" s="16" t="str">
        <f>IF(Sheet2!H318="","",ROUND(Sheet2!H318,2)&amp;"'")</f>
        <v/>
      </c>
      <c r="P318" s="18" t="str">
        <f>IF(Sheet2!E318="","",Sheet2!E318&amp;"''")</f>
        <v/>
      </c>
      <c r="Q318" s="12" t="str" cm="1">
        <f t="array" ref="Q318">IF(P318="","",_xlfn.XLOOKUP(G318,[1]Sheet1!$G:$G,[1]Sheet1!$Q:$S))</f>
        <v/>
      </c>
      <c r="T318" s="15" t="str">
        <f>IF(Sheet2!F318="","",Sheet2!F318&amp;"""")</f>
        <v/>
      </c>
      <c r="U318" s="12" t="str" cm="1">
        <f t="array" ref="U318">IF(T318="","",_xlfn.XLOOKUP(G318,[1]Sheet1!$G:$G,[1]Sheet1!$U:$W))</f>
        <v/>
      </c>
      <c r="X318" s="15" t="str">
        <f>IF(Sheet2!G318="","",Sheet2!G318&amp;"''")</f>
        <v/>
      </c>
    </row>
    <row r="319" spans="7:24" x14ac:dyDescent="0.25">
      <c r="G319" s="15" t="str">
        <f>IF(Sheet2!A319="","",Sheet2!A319)</f>
        <v/>
      </c>
      <c r="H319" s="18" t="str">
        <f>IF(Sheet2!O319="","",LEFT(Sheet2!O319, FIND(" ", Sheet2!O319)-1))</f>
        <v/>
      </c>
      <c r="I319" s="15" t="str">
        <f>IF(Sheet2!S319&lt;19,ROUND(Sheet2!I319,2)&amp;"'",IF(Sheet2!S319&lt;25,ROUND(Sheet2!J319,2)&amp;"'",IF(Sheet2!S319&lt;31,ROUND(Sheet2!K319,2)&amp;"'",IF(Sheet2!S319&lt;37,ROUND(Sheet2!L319,2)&amp;"'",""))))</f>
        <v/>
      </c>
      <c r="L319" s="15" t="str">
        <f>IF(Sheet2!D319="","",Sheet2!D319&amp;"''")</f>
        <v/>
      </c>
      <c r="O319" s="16" t="str">
        <f>IF(Sheet2!H319="","",ROUND(Sheet2!H319,2)&amp;"'")</f>
        <v/>
      </c>
      <c r="P319" s="18" t="str">
        <f>IF(Sheet2!E319="","",Sheet2!E319&amp;"''")</f>
        <v/>
      </c>
      <c r="Q319" s="12" t="str" cm="1">
        <f t="array" ref="Q319">IF(P319="","",_xlfn.XLOOKUP(G319,[1]Sheet1!$G:$G,[1]Sheet1!$Q:$S))</f>
        <v/>
      </c>
      <c r="T319" s="15" t="str">
        <f>IF(Sheet2!F319="","",Sheet2!F319&amp;"""")</f>
        <v/>
      </c>
      <c r="U319" s="12" t="str" cm="1">
        <f t="array" ref="U319">IF(T319="","",_xlfn.XLOOKUP(G319,[1]Sheet1!$G:$G,[1]Sheet1!$U:$W))</f>
        <v/>
      </c>
      <c r="X319" s="15" t="str">
        <f>IF(Sheet2!G319="","",Sheet2!G319&amp;"''")</f>
        <v/>
      </c>
    </row>
    <row r="320" spans="7:24" x14ac:dyDescent="0.25">
      <c r="G320" s="15" t="str">
        <f>IF(Sheet2!A320="","",Sheet2!A320)</f>
        <v/>
      </c>
      <c r="H320" s="18" t="str">
        <f>IF(Sheet2!O320="","",LEFT(Sheet2!O320, FIND(" ", Sheet2!O320)-1))</f>
        <v/>
      </c>
      <c r="I320" s="15" t="str">
        <f>IF(Sheet2!S320&lt;19,ROUND(Sheet2!I320,2)&amp;"'",IF(Sheet2!S320&lt;25,ROUND(Sheet2!J320,2)&amp;"'",IF(Sheet2!S320&lt;31,ROUND(Sheet2!K320,2)&amp;"'",IF(Sheet2!S320&lt;37,ROUND(Sheet2!L320,2)&amp;"'",""))))</f>
        <v/>
      </c>
      <c r="L320" s="15" t="str">
        <f>IF(Sheet2!D320="","",Sheet2!D320&amp;"''")</f>
        <v/>
      </c>
      <c r="O320" s="16" t="str">
        <f>IF(Sheet2!H320="","",ROUND(Sheet2!H320,2)&amp;"'")</f>
        <v/>
      </c>
      <c r="P320" s="18" t="str">
        <f>IF(Sheet2!E320="","",Sheet2!E320&amp;"''")</f>
        <v/>
      </c>
      <c r="Q320" s="12" t="str" cm="1">
        <f t="array" ref="Q320">IF(P320="","",_xlfn.XLOOKUP(G320,[1]Sheet1!$G:$G,[1]Sheet1!$Q:$S))</f>
        <v/>
      </c>
      <c r="T320" s="15" t="str">
        <f>IF(Sheet2!F320="","",Sheet2!F320&amp;"""")</f>
        <v/>
      </c>
      <c r="U320" s="12" t="str" cm="1">
        <f t="array" ref="U320">IF(T320="","",_xlfn.XLOOKUP(G320,[1]Sheet1!$G:$G,[1]Sheet1!$U:$W))</f>
        <v/>
      </c>
      <c r="X320" s="15" t="str">
        <f>IF(Sheet2!G320="","",Sheet2!G320&amp;"''")</f>
        <v/>
      </c>
    </row>
    <row r="321" spans="7:24" x14ac:dyDescent="0.25">
      <c r="G321" s="15" t="str">
        <f>IF(Sheet2!A321="","",Sheet2!A321)</f>
        <v/>
      </c>
      <c r="H321" s="18" t="str">
        <f>IF(Sheet2!O321="","",LEFT(Sheet2!O321, FIND(" ", Sheet2!O321)-1))</f>
        <v/>
      </c>
      <c r="I321" s="15" t="str">
        <f>IF(Sheet2!S321&lt;19,ROUND(Sheet2!I321,2)&amp;"'",IF(Sheet2!S321&lt;25,ROUND(Sheet2!J321,2)&amp;"'",IF(Sheet2!S321&lt;31,ROUND(Sheet2!K321,2)&amp;"'",IF(Sheet2!S321&lt;37,ROUND(Sheet2!L321,2)&amp;"'",""))))</f>
        <v/>
      </c>
      <c r="L321" s="15" t="str">
        <f>IF(Sheet2!D321="","",Sheet2!D321&amp;"''")</f>
        <v/>
      </c>
      <c r="O321" s="16" t="str">
        <f>IF(Sheet2!H321="","",ROUND(Sheet2!H321,2)&amp;"'")</f>
        <v/>
      </c>
      <c r="P321" s="18" t="str">
        <f>IF(Sheet2!E321="","",Sheet2!E321&amp;"''")</f>
        <v/>
      </c>
      <c r="Q321" s="12" t="str" cm="1">
        <f t="array" ref="Q321">IF(P321="","",_xlfn.XLOOKUP(G321,[1]Sheet1!$G:$G,[1]Sheet1!$Q:$S))</f>
        <v/>
      </c>
      <c r="T321" s="15" t="str">
        <f>IF(Sheet2!F321="","",Sheet2!F321&amp;"""")</f>
        <v/>
      </c>
      <c r="U321" s="12" t="str" cm="1">
        <f t="array" ref="U321">IF(T321="","",_xlfn.XLOOKUP(G321,[1]Sheet1!$G:$G,[1]Sheet1!$U:$W))</f>
        <v/>
      </c>
      <c r="X321" s="15" t="str">
        <f>IF(Sheet2!G321="","",Sheet2!G321&amp;"''")</f>
        <v/>
      </c>
    </row>
    <row r="322" spans="7:24" x14ac:dyDescent="0.25">
      <c r="G322" s="15" t="str">
        <f>IF(Sheet2!A322="","",Sheet2!A322)</f>
        <v/>
      </c>
      <c r="H322" s="18" t="str">
        <f>IF(Sheet2!O322="","",LEFT(Sheet2!O322, FIND(" ", Sheet2!O322)-1))</f>
        <v/>
      </c>
      <c r="I322" s="15" t="str">
        <f>IF(Sheet2!S322&lt;19,ROUND(Sheet2!I322,2)&amp;"'",IF(Sheet2!S322&lt;25,ROUND(Sheet2!J322,2)&amp;"'",IF(Sheet2!S322&lt;31,ROUND(Sheet2!K322,2)&amp;"'",IF(Sheet2!S322&lt;37,ROUND(Sheet2!L322,2)&amp;"'",""))))</f>
        <v/>
      </c>
      <c r="L322" s="15" t="str">
        <f>IF(Sheet2!D322="","",Sheet2!D322&amp;"''")</f>
        <v/>
      </c>
      <c r="O322" s="16" t="str">
        <f>IF(Sheet2!H322="","",ROUND(Sheet2!H322,2)&amp;"'")</f>
        <v/>
      </c>
      <c r="P322" s="18" t="str">
        <f>IF(Sheet2!E322="","",Sheet2!E322&amp;"''")</f>
        <v/>
      </c>
      <c r="Q322" s="12" t="str" cm="1">
        <f t="array" ref="Q322">IF(P322="","",_xlfn.XLOOKUP(G322,[1]Sheet1!$G:$G,[1]Sheet1!$Q:$S))</f>
        <v/>
      </c>
      <c r="T322" s="15" t="str">
        <f>IF(Sheet2!F322="","",Sheet2!F322&amp;"""")</f>
        <v/>
      </c>
      <c r="U322" s="12" t="str" cm="1">
        <f t="array" ref="U322">IF(T322="","",_xlfn.XLOOKUP(G322,[1]Sheet1!$G:$G,[1]Sheet1!$U:$W))</f>
        <v/>
      </c>
      <c r="X322" s="15" t="str">
        <f>IF(Sheet2!G322="","",Sheet2!G322&amp;"''")</f>
        <v/>
      </c>
    </row>
    <row r="323" spans="7:24" x14ac:dyDescent="0.25">
      <c r="G323" s="15" t="str">
        <f>IF(Sheet2!A323="","",Sheet2!A323)</f>
        <v/>
      </c>
      <c r="H323" s="18" t="str">
        <f>IF(Sheet2!O323="","",LEFT(Sheet2!O323, FIND(" ", Sheet2!O323)-1))</f>
        <v/>
      </c>
      <c r="I323" s="15" t="str">
        <f>IF(Sheet2!S323&lt;19,ROUND(Sheet2!I323,2)&amp;"'",IF(Sheet2!S323&lt;25,ROUND(Sheet2!J323,2)&amp;"'",IF(Sheet2!S323&lt;31,ROUND(Sheet2!K323,2)&amp;"'",IF(Sheet2!S323&lt;37,ROUND(Sheet2!L323,2)&amp;"'",""))))</f>
        <v/>
      </c>
      <c r="L323" s="15" t="str">
        <f>IF(Sheet2!D323="","",Sheet2!D323&amp;"''")</f>
        <v/>
      </c>
      <c r="O323" s="16" t="str">
        <f>IF(Sheet2!H323="","",ROUND(Sheet2!H323,2)&amp;"'")</f>
        <v/>
      </c>
      <c r="P323" s="18" t="str">
        <f>IF(Sheet2!E323="","",Sheet2!E323&amp;"''")</f>
        <v/>
      </c>
      <c r="Q323" s="12" t="str" cm="1">
        <f t="array" ref="Q323">IF(P323="","",_xlfn.XLOOKUP(G323,[1]Sheet1!$G:$G,[1]Sheet1!$Q:$S))</f>
        <v/>
      </c>
      <c r="T323" s="15" t="str">
        <f>IF(Sheet2!F323="","",Sheet2!F323&amp;"""")</f>
        <v/>
      </c>
      <c r="U323" s="12" t="str" cm="1">
        <f t="array" ref="U323">IF(T323="","",_xlfn.XLOOKUP(G323,[1]Sheet1!$G:$G,[1]Sheet1!$U:$W))</f>
        <v/>
      </c>
      <c r="X323" s="15" t="str">
        <f>IF(Sheet2!G323="","",Sheet2!G323&amp;"''")</f>
        <v/>
      </c>
    </row>
    <row r="324" spans="7:24" x14ac:dyDescent="0.25">
      <c r="G324" s="15" t="str">
        <f>IF(Sheet2!A324="","",Sheet2!A324)</f>
        <v/>
      </c>
      <c r="H324" s="18" t="str">
        <f>IF(Sheet2!O324="","",LEFT(Sheet2!O324, FIND(" ", Sheet2!O324)-1))</f>
        <v/>
      </c>
      <c r="I324" s="15" t="str">
        <f>IF(Sheet2!S324&lt;19,ROUND(Sheet2!I324,2)&amp;"'",IF(Sheet2!S324&lt;25,ROUND(Sheet2!J324,2)&amp;"'",IF(Sheet2!S324&lt;31,ROUND(Sheet2!K324,2)&amp;"'",IF(Sheet2!S324&lt;37,ROUND(Sheet2!L324,2)&amp;"'",""))))</f>
        <v/>
      </c>
      <c r="L324" s="15" t="str">
        <f>IF(Sheet2!D324="","",Sheet2!D324&amp;"''")</f>
        <v/>
      </c>
      <c r="O324" s="16" t="str">
        <f>IF(Sheet2!H324="","",ROUND(Sheet2!H324,2)&amp;"'")</f>
        <v/>
      </c>
      <c r="P324" s="18" t="str">
        <f>IF(Sheet2!E324="","",Sheet2!E324&amp;"''")</f>
        <v/>
      </c>
      <c r="Q324" s="12" t="str" cm="1">
        <f t="array" ref="Q324">IF(P324="","",_xlfn.XLOOKUP(G324,[1]Sheet1!$G:$G,[1]Sheet1!$Q:$S))</f>
        <v/>
      </c>
      <c r="T324" s="15" t="str">
        <f>IF(Sheet2!F324="","",Sheet2!F324&amp;"""")</f>
        <v/>
      </c>
      <c r="U324" s="12" t="str" cm="1">
        <f t="array" ref="U324">IF(T324="","",_xlfn.XLOOKUP(G324,[1]Sheet1!$G:$G,[1]Sheet1!$U:$W))</f>
        <v/>
      </c>
      <c r="X324" s="15" t="str">
        <f>IF(Sheet2!G324="","",Sheet2!G324&amp;"''")</f>
        <v/>
      </c>
    </row>
    <row r="325" spans="7:24" x14ac:dyDescent="0.25">
      <c r="G325" s="15" t="str">
        <f>IF(Sheet2!A325="","",Sheet2!A325)</f>
        <v/>
      </c>
      <c r="H325" s="18" t="str">
        <f>IF(Sheet2!O325="","",LEFT(Sheet2!O325, FIND(" ", Sheet2!O325)-1))</f>
        <v/>
      </c>
      <c r="I325" s="15" t="str">
        <f>IF(Sheet2!S325&lt;19,ROUND(Sheet2!I325,2)&amp;"'",IF(Sheet2!S325&lt;25,ROUND(Sheet2!J325,2)&amp;"'",IF(Sheet2!S325&lt;31,ROUND(Sheet2!K325,2)&amp;"'",IF(Sheet2!S325&lt;37,ROUND(Sheet2!L325,2)&amp;"'",""))))</f>
        <v/>
      </c>
      <c r="L325" s="15" t="str">
        <f>IF(Sheet2!D325="","",Sheet2!D325&amp;"''")</f>
        <v/>
      </c>
      <c r="O325" s="16" t="str">
        <f>IF(Sheet2!H325="","",ROUND(Sheet2!H325,2)&amp;"'")</f>
        <v/>
      </c>
      <c r="P325" s="18" t="str">
        <f>IF(Sheet2!E325="","",Sheet2!E325&amp;"''")</f>
        <v/>
      </c>
      <c r="Q325" s="12" t="str" cm="1">
        <f t="array" ref="Q325">IF(P325="","",_xlfn.XLOOKUP(G325,[1]Sheet1!$G:$G,[1]Sheet1!$Q:$S))</f>
        <v/>
      </c>
      <c r="T325" s="15" t="str">
        <f>IF(Sheet2!F325="","",Sheet2!F325&amp;"""")</f>
        <v/>
      </c>
      <c r="U325" s="12" t="str" cm="1">
        <f t="array" ref="U325">IF(T325="","",_xlfn.XLOOKUP(G325,[1]Sheet1!$G:$G,[1]Sheet1!$U:$W))</f>
        <v/>
      </c>
      <c r="X325" s="15" t="str">
        <f>IF(Sheet2!G325="","",Sheet2!G325&amp;"''")</f>
        <v/>
      </c>
    </row>
    <row r="326" spans="7:24" x14ac:dyDescent="0.25">
      <c r="G326" s="15" t="str">
        <f>IF(Sheet2!A326="","",Sheet2!A326)</f>
        <v/>
      </c>
      <c r="H326" s="18" t="str">
        <f>IF(Sheet2!O326="","",LEFT(Sheet2!O326, FIND(" ", Sheet2!O326)-1))</f>
        <v/>
      </c>
      <c r="I326" s="15" t="str">
        <f>IF(Sheet2!S326&lt;19,ROUND(Sheet2!I326,2)&amp;"'",IF(Sheet2!S326&lt;25,ROUND(Sheet2!J326,2)&amp;"'",IF(Sheet2!S326&lt;31,ROUND(Sheet2!K326,2)&amp;"'",IF(Sheet2!S326&lt;37,ROUND(Sheet2!L326,2)&amp;"'",""))))</f>
        <v/>
      </c>
      <c r="L326" s="15" t="str">
        <f>IF(Sheet2!D326="","",Sheet2!D326&amp;"''")</f>
        <v/>
      </c>
      <c r="O326" s="16" t="str">
        <f>IF(Sheet2!H326="","",ROUND(Sheet2!H326,2)&amp;"'")</f>
        <v/>
      </c>
      <c r="P326" s="18" t="str">
        <f>IF(Sheet2!E326="","",Sheet2!E326&amp;"''")</f>
        <v/>
      </c>
      <c r="Q326" s="12" t="str" cm="1">
        <f t="array" ref="Q326">IF(P326="","",_xlfn.XLOOKUP(G326,[1]Sheet1!$G:$G,[1]Sheet1!$Q:$S))</f>
        <v/>
      </c>
      <c r="T326" s="15" t="str">
        <f>IF(Sheet2!F326="","",Sheet2!F326&amp;"""")</f>
        <v/>
      </c>
      <c r="U326" s="12" t="str" cm="1">
        <f t="array" ref="U326">IF(T326="","",_xlfn.XLOOKUP(G326,[1]Sheet1!$G:$G,[1]Sheet1!$U:$W))</f>
        <v/>
      </c>
      <c r="X326" s="15" t="str">
        <f>IF(Sheet2!G326="","",Sheet2!G326&amp;"''")</f>
        <v/>
      </c>
    </row>
    <row r="327" spans="7:24" x14ac:dyDescent="0.25">
      <c r="G327" s="15" t="str">
        <f>IF(Sheet2!A327="","",Sheet2!A327)</f>
        <v/>
      </c>
      <c r="H327" s="18" t="str">
        <f>IF(Sheet2!O327="","",LEFT(Sheet2!O327, FIND(" ", Sheet2!O327)-1))</f>
        <v/>
      </c>
      <c r="I327" s="15" t="str">
        <f>IF(Sheet2!S327&lt;19,ROUND(Sheet2!I327,2)&amp;"'",IF(Sheet2!S327&lt;25,ROUND(Sheet2!J327,2)&amp;"'",IF(Sheet2!S327&lt;31,ROUND(Sheet2!K327,2)&amp;"'",IF(Sheet2!S327&lt;37,ROUND(Sheet2!L327,2)&amp;"'",""))))</f>
        <v/>
      </c>
      <c r="L327" s="15" t="str">
        <f>IF(Sheet2!D327="","",Sheet2!D327&amp;"''")</f>
        <v/>
      </c>
      <c r="O327" s="16" t="str">
        <f>IF(Sheet2!H327="","",ROUND(Sheet2!H327,2)&amp;"'")</f>
        <v/>
      </c>
      <c r="P327" s="18" t="str">
        <f>IF(Sheet2!E327="","",Sheet2!E327&amp;"''")</f>
        <v/>
      </c>
      <c r="Q327" s="12" t="str" cm="1">
        <f t="array" ref="Q327">IF(P327="","",_xlfn.XLOOKUP(G327,[1]Sheet1!$G:$G,[1]Sheet1!$Q:$S))</f>
        <v/>
      </c>
      <c r="T327" s="15" t="str">
        <f>IF(Sheet2!F327="","",Sheet2!F327&amp;"""")</f>
        <v/>
      </c>
      <c r="U327" s="12" t="str" cm="1">
        <f t="array" ref="U327">IF(T327="","",_xlfn.XLOOKUP(G327,[1]Sheet1!$G:$G,[1]Sheet1!$U:$W))</f>
        <v/>
      </c>
      <c r="X327" s="15" t="str">
        <f>IF(Sheet2!G327="","",Sheet2!G327&amp;"''")</f>
        <v/>
      </c>
    </row>
    <row r="328" spans="7:24" x14ac:dyDescent="0.25">
      <c r="G328" s="15" t="str">
        <f>IF(Sheet2!A328="","",Sheet2!A328)</f>
        <v/>
      </c>
      <c r="H328" s="18" t="str">
        <f>IF(Sheet2!O328="","",LEFT(Sheet2!O328, FIND(" ", Sheet2!O328)-1))</f>
        <v/>
      </c>
      <c r="I328" s="15" t="str">
        <f>IF(Sheet2!S328&lt;19,ROUND(Sheet2!I328,2)&amp;"'",IF(Sheet2!S328&lt;25,ROUND(Sheet2!J328,2)&amp;"'",IF(Sheet2!S328&lt;31,ROUND(Sheet2!K328,2)&amp;"'",IF(Sheet2!S328&lt;37,ROUND(Sheet2!L328,2)&amp;"'",""))))</f>
        <v/>
      </c>
      <c r="L328" s="15" t="str">
        <f>IF(Sheet2!D328="","",Sheet2!D328&amp;"''")</f>
        <v/>
      </c>
      <c r="O328" s="16" t="str">
        <f>IF(Sheet2!H328="","",ROUND(Sheet2!H328,2)&amp;"'")</f>
        <v/>
      </c>
      <c r="P328" s="18" t="str">
        <f>IF(Sheet2!E328="","",Sheet2!E328&amp;"''")</f>
        <v/>
      </c>
      <c r="Q328" s="12" t="str" cm="1">
        <f t="array" ref="Q328">IF(P328="","",_xlfn.XLOOKUP(G328,[1]Sheet1!$G:$G,[1]Sheet1!$Q:$S))</f>
        <v/>
      </c>
      <c r="T328" s="15" t="str">
        <f>IF(Sheet2!F328="","",Sheet2!F328&amp;"""")</f>
        <v/>
      </c>
      <c r="U328" s="12" t="str" cm="1">
        <f t="array" ref="U328">IF(T328="","",_xlfn.XLOOKUP(G328,[1]Sheet1!$G:$G,[1]Sheet1!$U:$W))</f>
        <v/>
      </c>
      <c r="X328" s="15" t="str">
        <f>IF(Sheet2!G328="","",Sheet2!G328&amp;"''")</f>
        <v/>
      </c>
    </row>
    <row r="329" spans="7:24" x14ac:dyDescent="0.25">
      <c r="G329" s="15" t="str">
        <f>IF(Sheet2!A329="","",Sheet2!A329)</f>
        <v/>
      </c>
      <c r="H329" s="18" t="str">
        <f>IF(Sheet2!O329="","",LEFT(Sheet2!O329, FIND(" ", Sheet2!O329)-1))</f>
        <v/>
      </c>
      <c r="I329" s="15" t="str">
        <f>IF(Sheet2!S329&lt;19,ROUND(Sheet2!I329,2)&amp;"'",IF(Sheet2!S329&lt;25,ROUND(Sheet2!J329,2)&amp;"'",IF(Sheet2!S329&lt;31,ROUND(Sheet2!K329,2)&amp;"'",IF(Sheet2!S329&lt;37,ROUND(Sheet2!L329,2)&amp;"'",""))))</f>
        <v/>
      </c>
      <c r="L329" s="15" t="str">
        <f>IF(Sheet2!D329="","",Sheet2!D329&amp;"''")</f>
        <v/>
      </c>
      <c r="O329" s="16" t="str">
        <f>IF(Sheet2!H329="","",ROUND(Sheet2!H329,2)&amp;"'")</f>
        <v/>
      </c>
      <c r="P329" s="18" t="str">
        <f>IF(Sheet2!E329="","",Sheet2!E329&amp;"''")</f>
        <v/>
      </c>
      <c r="Q329" s="12" t="str" cm="1">
        <f t="array" ref="Q329">IF(P329="","",_xlfn.XLOOKUP(G329,[1]Sheet1!$G:$G,[1]Sheet1!$Q:$S))</f>
        <v/>
      </c>
      <c r="T329" s="15" t="str">
        <f>IF(Sheet2!F329="","",Sheet2!F329&amp;"""")</f>
        <v/>
      </c>
      <c r="U329" s="12" t="str" cm="1">
        <f t="array" ref="U329">IF(T329="","",_xlfn.XLOOKUP(G329,[1]Sheet1!$G:$G,[1]Sheet1!$U:$W))</f>
        <v/>
      </c>
      <c r="X329" s="15" t="str">
        <f>IF(Sheet2!G329="","",Sheet2!G329&amp;"''")</f>
        <v/>
      </c>
    </row>
    <row r="330" spans="7:24" x14ac:dyDescent="0.25">
      <c r="G330" s="15" t="str">
        <f>IF(Sheet2!A330="","",Sheet2!A330)</f>
        <v/>
      </c>
      <c r="H330" s="18" t="str">
        <f>IF(Sheet2!O330="","",LEFT(Sheet2!O330, FIND(" ", Sheet2!O330)-1))</f>
        <v/>
      </c>
      <c r="I330" s="15" t="str">
        <f>IF(Sheet2!S330&lt;19,ROUND(Sheet2!I330,2)&amp;"'",IF(Sheet2!S330&lt;25,ROUND(Sheet2!J330,2)&amp;"'",IF(Sheet2!S330&lt;31,ROUND(Sheet2!K330,2)&amp;"'",IF(Sheet2!S330&lt;37,ROUND(Sheet2!L330,2)&amp;"'",""))))</f>
        <v/>
      </c>
      <c r="L330" s="15" t="str">
        <f>IF(Sheet2!D330="","",Sheet2!D330&amp;"''")</f>
        <v/>
      </c>
      <c r="O330" s="16" t="str">
        <f>IF(Sheet2!H330="","",ROUND(Sheet2!H330,2)&amp;"'")</f>
        <v/>
      </c>
      <c r="P330" s="18" t="str">
        <f>IF(Sheet2!E330="","",Sheet2!E330&amp;"''")</f>
        <v/>
      </c>
      <c r="Q330" s="12" t="str" cm="1">
        <f t="array" ref="Q330">IF(P330="","",_xlfn.XLOOKUP(G330,[1]Sheet1!$G:$G,[1]Sheet1!$Q:$S))</f>
        <v/>
      </c>
      <c r="T330" s="15" t="str">
        <f>IF(Sheet2!F330="","",Sheet2!F330&amp;"""")</f>
        <v/>
      </c>
      <c r="U330" s="12" t="str" cm="1">
        <f t="array" ref="U330">IF(T330="","",_xlfn.XLOOKUP(G330,[1]Sheet1!$G:$G,[1]Sheet1!$U:$W))</f>
        <v/>
      </c>
      <c r="X330" s="15" t="str">
        <f>IF(Sheet2!G330="","",Sheet2!G330&amp;"''")</f>
        <v/>
      </c>
    </row>
    <row r="331" spans="7:24" x14ac:dyDescent="0.25">
      <c r="G331" s="15" t="str">
        <f>IF(Sheet2!A331="","",Sheet2!A331)</f>
        <v/>
      </c>
      <c r="H331" s="18" t="str">
        <f>IF(Sheet2!O331="","",LEFT(Sheet2!O331, FIND(" ", Sheet2!O331)-1))</f>
        <v/>
      </c>
      <c r="I331" s="15" t="str">
        <f>IF(Sheet2!S331&lt;19,ROUND(Sheet2!I331,2)&amp;"'",IF(Sheet2!S331&lt;25,ROUND(Sheet2!J331,2)&amp;"'",IF(Sheet2!S331&lt;31,ROUND(Sheet2!K331,2)&amp;"'",IF(Sheet2!S331&lt;37,ROUND(Sheet2!L331,2)&amp;"'",""))))</f>
        <v/>
      </c>
      <c r="L331" s="15" t="str">
        <f>IF(Sheet2!D331="","",Sheet2!D331&amp;"''")</f>
        <v/>
      </c>
      <c r="O331" s="16" t="str">
        <f>IF(Sheet2!H331="","",ROUND(Sheet2!H331,2)&amp;"'")</f>
        <v/>
      </c>
      <c r="P331" s="18" t="str">
        <f>IF(Sheet2!E331="","",Sheet2!E331&amp;"''")</f>
        <v/>
      </c>
      <c r="Q331" s="12" t="str" cm="1">
        <f t="array" ref="Q331">IF(P331="","",_xlfn.XLOOKUP(G331,[1]Sheet1!$G:$G,[1]Sheet1!$Q:$S))</f>
        <v/>
      </c>
      <c r="T331" s="15" t="str">
        <f>IF(Sheet2!F331="","",Sheet2!F331&amp;"""")</f>
        <v/>
      </c>
      <c r="U331" s="12" t="str" cm="1">
        <f t="array" ref="U331">IF(T331="","",_xlfn.XLOOKUP(G331,[1]Sheet1!$G:$G,[1]Sheet1!$U:$W))</f>
        <v/>
      </c>
      <c r="X331" s="15" t="str">
        <f>IF(Sheet2!G331="","",Sheet2!G331&amp;"''")</f>
        <v/>
      </c>
    </row>
    <row r="332" spans="7:24" x14ac:dyDescent="0.25">
      <c r="G332" s="15" t="str">
        <f>IF(Sheet2!A332="","",Sheet2!A332)</f>
        <v/>
      </c>
      <c r="H332" s="18" t="str">
        <f>IF(Sheet2!O332="","",LEFT(Sheet2!O332, FIND(" ", Sheet2!O332)-1))</f>
        <v/>
      </c>
      <c r="I332" s="15" t="str">
        <f>IF(Sheet2!S332&lt;19,ROUND(Sheet2!I332,2)&amp;"'",IF(Sheet2!S332&lt;25,ROUND(Sheet2!J332,2)&amp;"'",IF(Sheet2!S332&lt;31,ROUND(Sheet2!K332,2)&amp;"'",IF(Sheet2!S332&lt;37,ROUND(Sheet2!L332,2)&amp;"'",""))))</f>
        <v/>
      </c>
      <c r="L332" s="15" t="str">
        <f>IF(Sheet2!D332="","",Sheet2!D332&amp;"''")</f>
        <v/>
      </c>
      <c r="O332" s="16" t="str">
        <f>IF(Sheet2!H332="","",ROUND(Sheet2!H332,2)&amp;"'")</f>
        <v/>
      </c>
      <c r="P332" s="18" t="str">
        <f>IF(Sheet2!E332="","",Sheet2!E332&amp;"''")</f>
        <v/>
      </c>
      <c r="Q332" s="12" t="str" cm="1">
        <f t="array" ref="Q332">IF(P332="","",_xlfn.XLOOKUP(G332,[1]Sheet1!$G:$G,[1]Sheet1!$Q:$S))</f>
        <v/>
      </c>
      <c r="T332" s="15" t="str">
        <f>IF(Sheet2!F332="","",Sheet2!F332&amp;"""")</f>
        <v/>
      </c>
      <c r="U332" s="12" t="str" cm="1">
        <f t="array" ref="U332">IF(T332="","",_xlfn.XLOOKUP(G332,[1]Sheet1!$G:$G,[1]Sheet1!$U:$W))</f>
        <v/>
      </c>
      <c r="X332" s="15" t="str">
        <f>IF(Sheet2!G332="","",Sheet2!G332&amp;"''")</f>
        <v/>
      </c>
    </row>
    <row r="333" spans="7:24" x14ac:dyDescent="0.25">
      <c r="G333" s="15" t="str">
        <f>IF(Sheet2!A333="","",Sheet2!A333)</f>
        <v/>
      </c>
      <c r="H333" s="18" t="str">
        <f>IF(Sheet2!O333="","",LEFT(Sheet2!O333, FIND(" ", Sheet2!O333)-1))</f>
        <v/>
      </c>
      <c r="I333" s="15" t="str">
        <f>IF(Sheet2!S333&lt;19,ROUND(Sheet2!I333,2)&amp;"'",IF(Sheet2!S333&lt;25,ROUND(Sheet2!J333,2)&amp;"'",IF(Sheet2!S333&lt;31,ROUND(Sheet2!K333,2)&amp;"'",IF(Sheet2!S333&lt;37,ROUND(Sheet2!L333,2)&amp;"'",""))))</f>
        <v/>
      </c>
      <c r="L333" s="15" t="str">
        <f>IF(Sheet2!D333="","",Sheet2!D333&amp;"''")</f>
        <v/>
      </c>
      <c r="O333" s="16" t="str">
        <f>IF(Sheet2!H333="","",ROUND(Sheet2!H333,2)&amp;"'")</f>
        <v/>
      </c>
      <c r="P333" s="18" t="str">
        <f>IF(Sheet2!E333="","",Sheet2!E333&amp;"''")</f>
        <v/>
      </c>
      <c r="Q333" s="12" t="str" cm="1">
        <f t="array" ref="Q333">IF(P333="","",_xlfn.XLOOKUP(G333,[1]Sheet1!$G:$G,[1]Sheet1!$Q:$S))</f>
        <v/>
      </c>
      <c r="T333" s="15" t="str">
        <f>IF(Sheet2!F333="","",Sheet2!F333&amp;"""")</f>
        <v/>
      </c>
      <c r="U333" s="12" t="str" cm="1">
        <f t="array" ref="U333">IF(T333="","",_xlfn.XLOOKUP(G333,[1]Sheet1!$G:$G,[1]Sheet1!$U:$W))</f>
        <v/>
      </c>
      <c r="X333" s="15" t="str">
        <f>IF(Sheet2!G333="","",Sheet2!G333&amp;"''")</f>
        <v/>
      </c>
    </row>
    <row r="334" spans="7:24" x14ac:dyDescent="0.25">
      <c r="G334" s="15" t="str">
        <f>IF(Sheet2!A334="","",Sheet2!A334)</f>
        <v/>
      </c>
      <c r="H334" s="18" t="str">
        <f>IF(Sheet2!O334="","",LEFT(Sheet2!O334, FIND(" ", Sheet2!O334)-1))</f>
        <v/>
      </c>
      <c r="I334" s="15" t="str">
        <f>IF(Sheet2!S334&lt;19,ROUND(Sheet2!I334,2)&amp;"'",IF(Sheet2!S334&lt;25,ROUND(Sheet2!J334,2)&amp;"'",IF(Sheet2!S334&lt;31,ROUND(Sheet2!K334,2)&amp;"'",IF(Sheet2!S334&lt;37,ROUND(Sheet2!L334,2)&amp;"'",""))))</f>
        <v/>
      </c>
      <c r="L334" s="15" t="str">
        <f>IF(Sheet2!D334="","",Sheet2!D334&amp;"''")</f>
        <v/>
      </c>
      <c r="O334" s="16" t="str">
        <f>IF(Sheet2!H334="","",ROUND(Sheet2!H334,2)&amp;"'")</f>
        <v/>
      </c>
      <c r="P334" s="18" t="str">
        <f>IF(Sheet2!E334="","",Sheet2!E334&amp;"''")</f>
        <v/>
      </c>
      <c r="Q334" s="12" t="str" cm="1">
        <f t="array" ref="Q334">IF(P334="","",_xlfn.XLOOKUP(G334,[1]Sheet1!$G:$G,[1]Sheet1!$Q:$S))</f>
        <v/>
      </c>
      <c r="T334" s="15" t="str">
        <f>IF(Sheet2!F334="","",Sheet2!F334&amp;"""")</f>
        <v/>
      </c>
      <c r="U334" s="12" t="str" cm="1">
        <f t="array" ref="U334">IF(T334="","",_xlfn.XLOOKUP(G334,[1]Sheet1!$G:$G,[1]Sheet1!$U:$W))</f>
        <v/>
      </c>
      <c r="X334" s="15" t="str">
        <f>IF(Sheet2!G334="","",Sheet2!G334&amp;"''")</f>
        <v/>
      </c>
    </row>
    <row r="335" spans="7:24" x14ac:dyDescent="0.25">
      <c r="G335" s="15" t="str">
        <f>IF(Sheet2!A335="","",Sheet2!A335)</f>
        <v/>
      </c>
      <c r="H335" s="18" t="str">
        <f>IF(Sheet2!O335="","",LEFT(Sheet2!O335, FIND(" ", Sheet2!O335)-1))</f>
        <v/>
      </c>
      <c r="I335" s="15" t="str">
        <f>IF(Sheet2!S335&lt;19,ROUND(Sheet2!I335,2)&amp;"'",IF(Sheet2!S335&lt;25,ROUND(Sheet2!J335,2)&amp;"'",IF(Sheet2!S335&lt;31,ROUND(Sheet2!K335,2)&amp;"'",IF(Sheet2!S335&lt;37,ROUND(Sheet2!L335,2)&amp;"'",""))))</f>
        <v/>
      </c>
      <c r="L335" s="15" t="str">
        <f>IF(Sheet2!D335="","",Sheet2!D335&amp;"''")</f>
        <v/>
      </c>
      <c r="O335" s="16" t="str">
        <f>IF(Sheet2!H335="","",ROUND(Sheet2!H335,2)&amp;"'")</f>
        <v/>
      </c>
      <c r="P335" s="18" t="str">
        <f>IF(Sheet2!E335="","",Sheet2!E335&amp;"''")</f>
        <v/>
      </c>
      <c r="Q335" s="12" t="str" cm="1">
        <f t="array" ref="Q335">IF(P335="","",_xlfn.XLOOKUP(G335,[1]Sheet1!$G:$G,[1]Sheet1!$Q:$S))</f>
        <v/>
      </c>
      <c r="T335" s="15" t="str">
        <f>IF(Sheet2!F335="","",Sheet2!F335&amp;"""")</f>
        <v/>
      </c>
      <c r="U335" s="12" t="str" cm="1">
        <f t="array" ref="U335">IF(T335="","",_xlfn.XLOOKUP(G335,[1]Sheet1!$G:$G,[1]Sheet1!$U:$W))</f>
        <v/>
      </c>
      <c r="X335" s="15" t="str">
        <f>IF(Sheet2!G335="","",Sheet2!G335&amp;"''")</f>
        <v/>
      </c>
    </row>
    <row r="336" spans="7:24" x14ac:dyDescent="0.25">
      <c r="G336" s="15" t="str">
        <f>IF(Sheet2!A336="","",Sheet2!A336)</f>
        <v/>
      </c>
      <c r="H336" s="18" t="str">
        <f>IF(Sheet2!O336="","",LEFT(Sheet2!O336, FIND(" ", Sheet2!O336)-1))</f>
        <v/>
      </c>
      <c r="I336" s="15" t="str">
        <f>IF(Sheet2!S336&lt;19,ROUND(Sheet2!I336,2)&amp;"'",IF(Sheet2!S336&lt;25,ROUND(Sheet2!J336,2)&amp;"'",IF(Sheet2!S336&lt;31,ROUND(Sheet2!K336,2)&amp;"'",IF(Sheet2!S336&lt;37,ROUND(Sheet2!L336,2)&amp;"'",""))))</f>
        <v/>
      </c>
      <c r="L336" s="15" t="str">
        <f>IF(Sheet2!D336="","",Sheet2!D336&amp;"''")</f>
        <v/>
      </c>
      <c r="O336" s="16" t="str">
        <f>IF(Sheet2!H336="","",ROUND(Sheet2!H336,2)&amp;"'")</f>
        <v/>
      </c>
      <c r="P336" s="18" t="str">
        <f>IF(Sheet2!E336="","",Sheet2!E336&amp;"''")</f>
        <v/>
      </c>
      <c r="Q336" s="12" t="str" cm="1">
        <f t="array" ref="Q336">IF(P336="","",_xlfn.XLOOKUP(G336,[1]Sheet1!$G:$G,[1]Sheet1!$Q:$S))</f>
        <v/>
      </c>
      <c r="T336" s="15" t="str">
        <f>IF(Sheet2!F336="","",Sheet2!F336&amp;"""")</f>
        <v/>
      </c>
      <c r="U336" s="12" t="str" cm="1">
        <f t="array" ref="U336">IF(T336="","",_xlfn.XLOOKUP(G336,[1]Sheet1!$G:$G,[1]Sheet1!$U:$W))</f>
        <v/>
      </c>
      <c r="X336" s="15" t="str">
        <f>IF(Sheet2!G336="","",Sheet2!G336&amp;"''")</f>
        <v/>
      </c>
    </row>
    <row r="337" spans="7:24" x14ac:dyDescent="0.25">
      <c r="G337" s="15" t="str">
        <f>IF(Sheet2!A337="","",Sheet2!A337)</f>
        <v/>
      </c>
      <c r="H337" s="18" t="str">
        <f>IF(Sheet2!O337="","",LEFT(Sheet2!O337, FIND(" ", Sheet2!O337)-1))</f>
        <v/>
      </c>
      <c r="I337" s="15" t="str">
        <f>IF(Sheet2!S337&lt;19,ROUND(Sheet2!I337,2)&amp;"'",IF(Sheet2!S337&lt;25,ROUND(Sheet2!J337,2)&amp;"'",IF(Sheet2!S337&lt;31,ROUND(Sheet2!K337,2)&amp;"'",IF(Sheet2!S337&lt;37,ROUND(Sheet2!L337,2)&amp;"'",""))))</f>
        <v/>
      </c>
      <c r="L337" s="15" t="str">
        <f>IF(Sheet2!D337="","",Sheet2!D337&amp;"''")</f>
        <v/>
      </c>
      <c r="O337" s="16" t="str">
        <f>IF(Sheet2!H337="","",ROUND(Sheet2!H337,2)&amp;"'")</f>
        <v/>
      </c>
      <c r="P337" s="18" t="str">
        <f>IF(Sheet2!E337="","",Sheet2!E337&amp;"''")</f>
        <v/>
      </c>
      <c r="Q337" s="12" t="str" cm="1">
        <f t="array" ref="Q337">IF(P337="","",_xlfn.XLOOKUP(G337,[1]Sheet1!$G:$G,[1]Sheet1!$Q:$S))</f>
        <v/>
      </c>
      <c r="T337" s="15" t="str">
        <f>IF(Sheet2!F337="","",Sheet2!F337&amp;"""")</f>
        <v/>
      </c>
      <c r="U337" s="12" t="str" cm="1">
        <f t="array" ref="U337">IF(T337="","",_xlfn.XLOOKUP(G337,[1]Sheet1!$G:$G,[1]Sheet1!$U:$W))</f>
        <v/>
      </c>
      <c r="X337" s="15" t="str">
        <f>IF(Sheet2!G337="","",Sheet2!G337&amp;"''")</f>
        <v/>
      </c>
    </row>
    <row r="338" spans="7:24" x14ac:dyDescent="0.25">
      <c r="G338" s="15" t="str">
        <f>IF(Sheet2!A338="","",Sheet2!A338)</f>
        <v/>
      </c>
      <c r="H338" s="18" t="str">
        <f>IF(Sheet2!O338="","",LEFT(Sheet2!O338, FIND(" ", Sheet2!O338)-1))</f>
        <v/>
      </c>
      <c r="I338" s="15" t="str">
        <f>IF(Sheet2!S338&lt;19,ROUND(Sheet2!I338,2)&amp;"'",IF(Sheet2!S338&lt;25,ROUND(Sheet2!J338,2)&amp;"'",IF(Sheet2!S338&lt;31,ROUND(Sheet2!K338,2)&amp;"'",IF(Sheet2!S338&lt;37,ROUND(Sheet2!L338,2)&amp;"'",""))))</f>
        <v/>
      </c>
      <c r="L338" s="15" t="str">
        <f>IF(Sheet2!D338="","",Sheet2!D338&amp;"''")</f>
        <v/>
      </c>
      <c r="O338" s="16" t="str">
        <f>IF(Sheet2!H338="","",ROUND(Sheet2!H338,2)&amp;"'")</f>
        <v/>
      </c>
      <c r="P338" s="18" t="str">
        <f>IF(Sheet2!E338="","",Sheet2!E338&amp;"''")</f>
        <v/>
      </c>
      <c r="Q338" s="12" t="str" cm="1">
        <f t="array" ref="Q338">IF(P338="","",_xlfn.XLOOKUP(G338,[1]Sheet1!$G:$G,[1]Sheet1!$Q:$S))</f>
        <v/>
      </c>
      <c r="T338" s="15" t="str">
        <f>IF(Sheet2!F338="","",Sheet2!F338&amp;"""")</f>
        <v/>
      </c>
      <c r="U338" s="12" t="str" cm="1">
        <f t="array" ref="U338">IF(T338="","",_xlfn.XLOOKUP(G338,[1]Sheet1!$G:$G,[1]Sheet1!$U:$W))</f>
        <v/>
      </c>
      <c r="X338" s="15" t="str">
        <f>IF(Sheet2!G338="","",Sheet2!G338&amp;"''")</f>
        <v/>
      </c>
    </row>
    <row r="339" spans="7:24" x14ac:dyDescent="0.25">
      <c r="G339" s="15" t="str">
        <f>IF(Sheet2!A339="","",Sheet2!A339)</f>
        <v/>
      </c>
      <c r="H339" s="18" t="str">
        <f>IF(Sheet2!O339="","",LEFT(Sheet2!O339, FIND(" ", Sheet2!O339)-1))</f>
        <v/>
      </c>
      <c r="I339" s="15" t="str">
        <f>IF(Sheet2!S339&lt;19,ROUND(Sheet2!I339,2)&amp;"'",IF(Sheet2!S339&lt;25,ROUND(Sheet2!J339,2)&amp;"'",IF(Sheet2!S339&lt;31,ROUND(Sheet2!K339,2)&amp;"'",IF(Sheet2!S339&lt;37,ROUND(Sheet2!L339,2)&amp;"'",""))))</f>
        <v/>
      </c>
      <c r="L339" s="15" t="str">
        <f>IF(Sheet2!D339="","",Sheet2!D339&amp;"''")</f>
        <v/>
      </c>
      <c r="O339" s="16" t="str">
        <f>IF(Sheet2!H339="","",ROUND(Sheet2!H339,2)&amp;"'")</f>
        <v/>
      </c>
      <c r="P339" s="18" t="str">
        <f>IF(Sheet2!E339="","",Sheet2!E339&amp;"''")</f>
        <v/>
      </c>
      <c r="Q339" s="12" t="str" cm="1">
        <f t="array" ref="Q339">IF(P339="","",_xlfn.XLOOKUP(G339,[1]Sheet1!$G:$G,[1]Sheet1!$Q:$S))</f>
        <v/>
      </c>
      <c r="T339" s="15" t="str">
        <f>IF(Sheet2!F339="","",Sheet2!F339&amp;"""")</f>
        <v/>
      </c>
      <c r="U339" s="12" t="str" cm="1">
        <f t="array" ref="U339">IF(T339="","",_xlfn.XLOOKUP(G339,[1]Sheet1!$G:$G,[1]Sheet1!$U:$W))</f>
        <v/>
      </c>
      <c r="X339" s="15" t="str">
        <f>IF(Sheet2!G339="","",Sheet2!G339&amp;"''")</f>
        <v/>
      </c>
    </row>
    <row r="340" spans="7:24" x14ac:dyDescent="0.25">
      <c r="G340" s="15" t="str">
        <f>IF(Sheet2!A340="","",Sheet2!A340)</f>
        <v/>
      </c>
      <c r="H340" s="18" t="str">
        <f>IF(Sheet2!O340="","",LEFT(Sheet2!O340, FIND(" ", Sheet2!O340)-1))</f>
        <v/>
      </c>
      <c r="I340" s="15" t="str">
        <f>IF(Sheet2!S340&lt;19,ROUND(Sheet2!I340,2)&amp;"'",IF(Sheet2!S340&lt;25,ROUND(Sheet2!J340,2)&amp;"'",IF(Sheet2!S340&lt;31,ROUND(Sheet2!K340,2)&amp;"'",IF(Sheet2!S340&lt;37,ROUND(Sheet2!L340,2)&amp;"'",""))))</f>
        <v/>
      </c>
      <c r="L340" s="15" t="str">
        <f>IF(Sheet2!D340="","",Sheet2!D340&amp;"''")</f>
        <v/>
      </c>
      <c r="O340" s="16" t="str">
        <f>IF(Sheet2!H340="","",ROUND(Sheet2!H340,2)&amp;"'")</f>
        <v/>
      </c>
      <c r="P340" s="18" t="str">
        <f>IF(Sheet2!E340="","",Sheet2!E340&amp;"''")</f>
        <v/>
      </c>
      <c r="Q340" s="12" t="str" cm="1">
        <f t="array" ref="Q340">IF(P340="","",_xlfn.XLOOKUP(G340,[1]Sheet1!$G:$G,[1]Sheet1!$Q:$S))</f>
        <v/>
      </c>
      <c r="T340" s="15" t="str">
        <f>IF(Sheet2!F340="","",Sheet2!F340&amp;"""")</f>
        <v/>
      </c>
      <c r="U340" s="12" t="str" cm="1">
        <f t="array" ref="U340">IF(T340="","",_xlfn.XLOOKUP(G340,[1]Sheet1!$G:$G,[1]Sheet1!$U:$W))</f>
        <v/>
      </c>
      <c r="X340" s="15" t="str">
        <f>IF(Sheet2!G340="","",Sheet2!G340&amp;"''")</f>
        <v/>
      </c>
    </row>
    <row r="341" spans="7:24" x14ac:dyDescent="0.25">
      <c r="G341" s="15" t="str">
        <f>IF(Sheet2!A341="","",Sheet2!A341)</f>
        <v/>
      </c>
      <c r="H341" s="18" t="str">
        <f>IF(Sheet2!O341="","",LEFT(Sheet2!O341, FIND(" ", Sheet2!O341)-1))</f>
        <v/>
      </c>
      <c r="I341" s="15" t="str">
        <f>IF(Sheet2!S341&lt;19,ROUND(Sheet2!I341,2)&amp;"'",IF(Sheet2!S341&lt;25,ROUND(Sheet2!J341,2)&amp;"'",IF(Sheet2!S341&lt;31,ROUND(Sheet2!K341,2)&amp;"'",IF(Sheet2!S341&lt;37,ROUND(Sheet2!L341,2)&amp;"'",""))))</f>
        <v/>
      </c>
      <c r="L341" s="15" t="str">
        <f>IF(Sheet2!D341="","",Sheet2!D341&amp;"''")</f>
        <v/>
      </c>
      <c r="O341" s="16" t="str">
        <f>IF(Sheet2!H341="","",ROUND(Sheet2!H341,2)&amp;"'")</f>
        <v/>
      </c>
      <c r="P341" s="18" t="str">
        <f>IF(Sheet2!E341="","",Sheet2!E341&amp;"''")</f>
        <v/>
      </c>
      <c r="Q341" s="12" t="str" cm="1">
        <f t="array" ref="Q341">IF(P341="","",_xlfn.XLOOKUP(G341,[1]Sheet1!$G:$G,[1]Sheet1!$Q:$S))</f>
        <v/>
      </c>
      <c r="T341" s="15" t="str">
        <f>IF(Sheet2!F341="","",Sheet2!F341&amp;"""")</f>
        <v/>
      </c>
      <c r="U341" s="12" t="str" cm="1">
        <f t="array" ref="U341">IF(T341="","",_xlfn.XLOOKUP(G341,[1]Sheet1!$G:$G,[1]Sheet1!$U:$W))</f>
        <v/>
      </c>
      <c r="X341" s="15" t="str">
        <f>IF(Sheet2!G341="","",Sheet2!G341&amp;"''")</f>
        <v/>
      </c>
    </row>
    <row r="342" spans="7:24" x14ac:dyDescent="0.25">
      <c r="G342" s="15" t="str">
        <f>IF(Sheet2!A342="","",Sheet2!A342)</f>
        <v/>
      </c>
      <c r="H342" s="18" t="str">
        <f>IF(Sheet2!O342="","",LEFT(Sheet2!O342, FIND(" ", Sheet2!O342)-1))</f>
        <v/>
      </c>
      <c r="I342" s="15" t="str">
        <f>IF(Sheet2!S342&lt;19,ROUND(Sheet2!I342,2)&amp;"'",IF(Sheet2!S342&lt;25,ROUND(Sheet2!J342,2)&amp;"'",IF(Sheet2!S342&lt;31,ROUND(Sheet2!K342,2)&amp;"'",IF(Sheet2!S342&lt;37,ROUND(Sheet2!L342,2)&amp;"'",""))))</f>
        <v/>
      </c>
      <c r="L342" s="15" t="str">
        <f>IF(Sheet2!D342="","",Sheet2!D342&amp;"''")</f>
        <v/>
      </c>
      <c r="O342" s="16" t="str">
        <f>IF(Sheet2!H342="","",ROUND(Sheet2!H342,2)&amp;"'")</f>
        <v/>
      </c>
      <c r="P342" s="18" t="str">
        <f>IF(Sheet2!E342="","",Sheet2!E342&amp;"''")</f>
        <v/>
      </c>
      <c r="Q342" s="12" t="str" cm="1">
        <f t="array" ref="Q342">IF(P342="","",_xlfn.XLOOKUP(G342,[1]Sheet1!$G:$G,[1]Sheet1!$Q:$S))</f>
        <v/>
      </c>
      <c r="T342" s="15" t="str">
        <f>IF(Sheet2!F342="","",Sheet2!F342&amp;"""")</f>
        <v/>
      </c>
      <c r="U342" s="12" t="str" cm="1">
        <f t="array" ref="U342">IF(T342="","",_xlfn.XLOOKUP(G342,[1]Sheet1!$G:$G,[1]Sheet1!$U:$W))</f>
        <v/>
      </c>
      <c r="X342" s="15" t="str">
        <f>IF(Sheet2!G342="","",Sheet2!G342&amp;"''")</f>
        <v/>
      </c>
    </row>
    <row r="343" spans="7:24" x14ac:dyDescent="0.25">
      <c r="G343" s="15" t="str">
        <f>IF(Sheet2!A343="","",Sheet2!A343)</f>
        <v/>
      </c>
      <c r="H343" s="18" t="str">
        <f>IF(Sheet2!O343="","",LEFT(Sheet2!O343, FIND(" ", Sheet2!O343)-1))</f>
        <v/>
      </c>
      <c r="I343" s="15" t="str">
        <f>IF(Sheet2!S343&lt;19,ROUND(Sheet2!I343,2)&amp;"'",IF(Sheet2!S343&lt;25,ROUND(Sheet2!J343,2)&amp;"'",IF(Sheet2!S343&lt;31,ROUND(Sheet2!K343,2)&amp;"'",IF(Sheet2!S343&lt;37,ROUND(Sheet2!L343,2)&amp;"'",""))))</f>
        <v/>
      </c>
      <c r="L343" s="15" t="str">
        <f>IF(Sheet2!D343="","",Sheet2!D343&amp;"''")</f>
        <v/>
      </c>
      <c r="O343" s="16" t="str">
        <f>IF(Sheet2!H343="","",ROUND(Sheet2!H343,2)&amp;"'")</f>
        <v/>
      </c>
      <c r="P343" s="18" t="str">
        <f>IF(Sheet2!E343="","",Sheet2!E343&amp;"''")</f>
        <v/>
      </c>
      <c r="Q343" s="12" t="str" cm="1">
        <f t="array" ref="Q343">IF(P343="","",_xlfn.XLOOKUP(G343,[1]Sheet1!$G:$G,[1]Sheet1!$Q:$S))</f>
        <v/>
      </c>
      <c r="T343" s="15" t="str">
        <f>IF(Sheet2!F343="","",Sheet2!F343&amp;"""")</f>
        <v/>
      </c>
      <c r="U343" s="12" t="str" cm="1">
        <f t="array" ref="U343">IF(T343="","",_xlfn.XLOOKUP(G343,[1]Sheet1!$G:$G,[1]Sheet1!$U:$W))</f>
        <v/>
      </c>
      <c r="X343" s="15" t="str">
        <f>IF(Sheet2!G343="","",Sheet2!G343&amp;"''")</f>
        <v/>
      </c>
    </row>
    <row r="344" spans="7:24" x14ac:dyDescent="0.25">
      <c r="G344" s="15" t="str">
        <f>IF(Sheet2!A344="","",Sheet2!A344)</f>
        <v/>
      </c>
      <c r="H344" s="18" t="str">
        <f>IF(Sheet2!O344="","",LEFT(Sheet2!O344, FIND(" ", Sheet2!O344)-1))</f>
        <v/>
      </c>
      <c r="I344" s="15" t="str">
        <f>IF(Sheet2!S344&lt;19,ROUND(Sheet2!I344,2)&amp;"'",IF(Sheet2!S344&lt;25,ROUND(Sheet2!J344,2)&amp;"'",IF(Sheet2!S344&lt;31,ROUND(Sheet2!K344,2)&amp;"'",IF(Sheet2!S344&lt;37,ROUND(Sheet2!L344,2)&amp;"'",""))))</f>
        <v/>
      </c>
      <c r="L344" s="15" t="str">
        <f>IF(Sheet2!D344="","",Sheet2!D344&amp;"''")</f>
        <v/>
      </c>
      <c r="O344" s="16" t="str">
        <f>IF(Sheet2!H344="","",ROUND(Sheet2!H344,2)&amp;"'")</f>
        <v/>
      </c>
      <c r="P344" s="18" t="str">
        <f>IF(Sheet2!E344="","",Sheet2!E344&amp;"''")</f>
        <v/>
      </c>
      <c r="Q344" s="12" t="str" cm="1">
        <f t="array" ref="Q344">IF(P344="","",_xlfn.XLOOKUP(G344,[1]Sheet1!$G:$G,[1]Sheet1!$Q:$S))</f>
        <v/>
      </c>
      <c r="T344" s="15" t="str">
        <f>IF(Sheet2!F344="","",Sheet2!F344&amp;"""")</f>
        <v/>
      </c>
      <c r="U344" s="12" t="str" cm="1">
        <f t="array" ref="U344">IF(T344="","",_xlfn.XLOOKUP(G344,[1]Sheet1!$G:$G,[1]Sheet1!$U:$W))</f>
        <v/>
      </c>
      <c r="X344" s="15" t="str">
        <f>IF(Sheet2!G344="","",Sheet2!G344&amp;"''")</f>
        <v/>
      </c>
    </row>
    <row r="345" spans="7:24" x14ac:dyDescent="0.25">
      <c r="G345" s="15" t="str">
        <f>IF(Sheet2!A345="","",Sheet2!A345)</f>
        <v/>
      </c>
      <c r="H345" s="18" t="str">
        <f>IF(Sheet2!O345="","",LEFT(Sheet2!O345, FIND(" ", Sheet2!O345)-1))</f>
        <v/>
      </c>
      <c r="I345" s="15" t="str">
        <f>IF(Sheet2!S345&lt;19,ROUND(Sheet2!I345,2)&amp;"'",IF(Sheet2!S345&lt;25,ROUND(Sheet2!J345,2)&amp;"'",IF(Sheet2!S345&lt;31,ROUND(Sheet2!K345,2)&amp;"'",IF(Sheet2!S345&lt;37,ROUND(Sheet2!L345,2)&amp;"'",""))))</f>
        <v/>
      </c>
      <c r="L345" s="15" t="str">
        <f>IF(Sheet2!D345="","",Sheet2!D345&amp;"''")</f>
        <v/>
      </c>
      <c r="O345" s="16" t="str">
        <f>IF(Sheet2!H345="","",ROUND(Sheet2!H345,2)&amp;"'")</f>
        <v/>
      </c>
      <c r="P345" s="18" t="str">
        <f>IF(Sheet2!E345="","",Sheet2!E345&amp;"''")</f>
        <v/>
      </c>
      <c r="Q345" s="12" t="str" cm="1">
        <f t="array" ref="Q345">IF(P345="","",_xlfn.XLOOKUP(G345,[1]Sheet1!$G:$G,[1]Sheet1!$Q:$S))</f>
        <v/>
      </c>
      <c r="T345" s="15" t="str">
        <f>IF(Sheet2!F345="","",Sheet2!F345&amp;"""")</f>
        <v/>
      </c>
      <c r="U345" s="12" t="str" cm="1">
        <f t="array" ref="U345">IF(T345="","",_xlfn.XLOOKUP(G345,[1]Sheet1!$G:$G,[1]Sheet1!$U:$W))</f>
        <v/>
      </c>
      <c r="X345" s="15" t="str">
        <f>IF(Sheet2!G345="","",Sheet2!G345&amp;"''")</f>
        <v/>
      </c>
    </row>
    <row r="346" spans="7:24" x14ac:dyDescent="0.25">
      <c r="G346" s="15" t="str">
        <f>IF(Sheet2!A346="","",Sheet2!A346)</f>
        <v/>
      </c>
      <c r="H346" s="18" t="str">
        <f>IF(Sheet2!O346="","",LEFT(Sheet2!O346, FIND(" ", Sheet2!O346)-1))</f>
        <v/>
      </c>
      <c r="I346" s="15" t="str">
        <f>IF(Sheet2!S346&lt;19,ROUND(Sheet2!I346,2)&amp;"'",IF(Sheet2!S346&lt;25,ROUND(Sheet2!J346,2)&amp;"'",IF(Sheet2!S346&lt;31,ROUND(Sheet2!K346,2)&amp;"'",IF(Sheet2!S346&lt;37,ROUND(Sheet2!L346,2)&amp;"'",""))))</f>
        <v/>
      </c>
      <c r="L346" s="15" t="str">
        <f>IF(Sheet2!D346="","",Sheet2!D346&amp;"''")</f>
        <v/>
      </c>
      <c r="O346" s="16" t="str">
        <f>IF(Sheet2!H346="","",ROUND(Sheet2!H346,2)&amp;"'")</f>
        <v/>
      </c>
      <c r="P346" s="18" t="str">
        <f>IF(Sheet2!E346="","",Sheet2!E346&amp;"''")</f>
        <v/>
      </c>
      <c r="Q346" s="12" t="str" cm="1">
        <f t="array" ref="Q346">IF(P346="","",_xlfn.XLOOKUP(G346,[1]Sheet1!$G:$G,[1]Sheet1!$Q:$S))</f>
        <v/>
      </c>
      <c r="T346" s="15" t="str">
        <f>IF(Sheet2!F346="","",Sheet2!F346&amp;"""")</f>
        <v/>
      </c>
      <c r="U346" s="12" t="str" cm="1">
        <f t="array" ref="U346">IF(T346="","",_xlfn.XLOOKUP(G346,[1]Sheet1!$G:$G,[1]Sheet1!$U:$W))</f>
        <v/>
      </c>
      <c r="X346" s="15" t="str">
        <f>IF(Sheet2!G346="","",Sheet2!G346&amp;"''")</f>
        <v/>
      </c>
    </row>
    <row r="347" spans="7:24" x14ac:dyDescent="0.25">
      <c r="G347" s="15" t="str">
        <f>IF(Sheet2!A347="","",Sheet2!A347)</f>
        <v/>
      </c>
      <c r="H347" s="18" t="str">
        <f>IF(Sheet2!O347="","",LEFT(Sheet2!O347, FIND(" ", Sheet2!O347)-1))</f>
        <v/>
      </c>
      <c r="I347" s="15" t="str">
        <f>IF(Sheet2!S347&lt;19,ROUND(Sheet2!I347,2)&amp;"'",IF(Sheet2!S347&lt;25,ROUND(Sheet2!J347,2)&amp;"'",IF(Sheet2!S347&lt;31,ROUND(Sheet2!K347,2)&amp;"'",IF(Sheet2!S347&lt;37,ROUND(Sheet2!L347,2)&amp;"'",""))))</f>
        <v/>
      </c>
      <c r="L347" s="15" t="str">
        <f>IF(Sheet2!D347="","",Sheet2!D347&amp;"''")</f>
        <v/>
      </c>
      <c r="O347" s="16" t="str">
        <f>IF(Sheet2!H347="","",ROUND(Sheet2!H347,2)&amp;"'")</f>
        <v/>
      </c>
      <c r="P347" s="18" t="str">
        <f>IF(Sheet2!E347="","",Sheet2!E347&amp;"''")</f>
        <v/>
      </c>
      <c r="Q347" s="12" t="str" cm="1">
        <f t="array" ref="Q347">IF(P347="","",_xlfn.XLOOKUP(G347,[1]Sheet1!$G:$G,[1]Sheet1!$Q:$S))</f>
        <v/>
      </c>
      <c r="T347" s="15" t="str">
        <f>IF(Sheet2!F347="","",Sheet2!F347&amp;"""")</f>
        <v/>
      </c>
      <c r="U347" s="12" t="str" cm="1">
        <f t="array" ref="U347">IF(T347="","",_xlfn.XLOOKUP(G347,[1]Sheet1!$G:$G,[1]Sheet1!$U:$W))</f>
        <v/>
      </c>
      <c r="X347" s="15" t="str">
        <f>IF(Sheet2!G347="","",Sheet2!G347&amp;"''")</f>
        <v/>
      </c>
    </row>
    <row r="348" spans="7:24" x14ac:dyDescent="0.25">
      <c r="G348" s="15" t="str">
        <f>IF(Sheet2!A348="","",Sheet2!A348)</f>
        <v/>
      </c>
      <c r="H348" s="18" t="str">
        <f>IF(Sheet2!O348="","",LEFT(Sheet2!O348, FIND(" ", Sheet2!O348)-1))</f>
        <v/>
      </c>
      <c r="I348" s="15" t="str">
        <f>IF(Sheet2!S348&lt;19,ROUND(Sheet2!I348,2)&amp;"'",IF(Sheet2!S348&lt;25,ROUND(Sheet2!J348,2)&amp;"'",IF(Sheet2!S348&lt;31,ROUND(Sheet2!K348,2)&amp;"'",IF(Sheet2!S348&lt;37,ROUND(Sheet2!L348,2)&amp;"'",""))))</f>
        <v/>
      </c>
      <c r="L348" s="15" t="str">
        <f>IF(Sheet2!D348="","",Sheet2!D348&amp;"''")</f>
        <v/>
      </c>
      <c r="O348" s="16" t="str">
        <f>IF(Sheet2!H348="","",ROUND(Sheet2!H348,2)&amp;"'")</f>
        <v/>
      </c>
      <c r="P348" s="18" t="str">
        <f>IF(Sheet2!E348="","",Sheet2!E348&amp;"''")</f>
        <v/>
      </c>
      <c r="Q348" s="12" t="str" cm="1">
        <f t="array" ref="Q348">IF(P348="","",_xlfn.XLOOKUP(G348,[1]Sheet1!$G:$G,[1]Sheet1!$Q:$S))</f>
        <v/>
      </c>
      <c r="T348" s="15" t="str">
        <f>IF(Sheet2!F348="","",Sheet2!F348&amp;"""")</f>
        <v/>
      </c>
      <c r="U348" s="12" t="str" cm="1">
        <f t="array" ref="U348">IF(T348="","",_xlfn.XLOOKUP(G348,[1]Sheet1!$G:$G,[1]Sheet1!$U:$W))</f>
        <v/>
      </c>
      <c r="X348" s="15" t="str">
        <f>IF(Sheet2!G348="","",Sheet2!G348&amp;"''")</f>
        <v/>
      </c>
    </row>
    <row r="349" spans="7:24" x14ac:dyDescent="0.25">
      <c r="G349" s="15" t="str">
        <f>IF(Sheet2!A349="","",Sheet2!A349)</f>
        <v/>
      </c>
      <c r="H349" s="18" t="str">
        <f>IF(Sheet2!O349="","",LEFT(Sheet2!O349, FIND(" ", Sheet2!O349)-1))</f>
        <v/>
      </c>
      <c r="I349" s="15" t="str">
        <f>IF(Sheet2!S349&lt;19,ROUND(Sheet2!I349,2)&amp;"'",IF(Sheet2!S349&lt;25,ROUND(Sheet2!J349,2)&amp;"'",IF(Sheet2!S349&lt;31,ROUND(Sheet2!K349,2)&amp;"'",IF(Sheet2!S349&lt;37,ROUND(Sheet2!L349,2)&amp;"'",""))))</f>
        <v/>
      </c>
      <c r="L349" s="15" t="str">
        <f>IF(Sheet2!D349="","",Sheet2!D349&amp;"''")</f>
        <v/>
      </c>
      <c r="O349" s="16" t="str">
        <f>IF(Sheet2!H349="","",ROUND(Sheet2!H349,2)&amp;"'")</f>
        <v/>
      </c>
      <c r="P349" s="18" t="str">
        <f>IF(Sheet2!E349="","",Sheet2!E349&amp;"''")</f>
        <v/>
      </c>
      <c r="Q349" s="12" t="str" cm="1">
        <f t="array" ref="Q349">IF(P349="","",_xlfn.XLOOKUP(G349,[1]Sheet1!$G:$G,[1]Sheet1!$Q:$S))</f>
        <v/>
      </c>
      <c r="T349" s="15" t="str">
        <f>IF(Sheet2!F349="","",Sheet2!F349&amp;"""")</f>
        <v/>
      </c>
      <c r="U349" s="12" t="str" cm="1">
        <f t="array" ref="U349">IF(T349="","",_xlfn.XLOOKUP(G349,[1]Sheet1!$G:$G,[1]Sheet1!$U:$W))</f>
        <v/>
      </c>
      <c r="X349" s="15" t="str">
        <f>IF(Sheet2!G349="","",Sheet2!G349&amp;"''")</f>
        <v/>
      </c>
    </row>
    <row r="350" spans="7:24" x14ac:dyDescent="0.25">
      <c r="G350" s="15" t="str">
        <f>IF(Sheet2!A350="","",Sheet2!A350)</f>
        <v/>
      </c>
      <c r="H350" s="18" t="str">
        <f>IF(Sheet2!O350="","",LEFT(Sheet2!O350, FIND(" ", Sheet2!O350)-1))</f>
        <v/>
      </c>
      <c r="I350" s="15" t="str">
        <f>IF(Sheet2!S350&lt;19,ROUND(Sheet2!I350,2)&amp;"'",IF(Sheet2!S350&lt;25,ROUND(Sheet2!J350,2)&amp;"'",IF(Sheet2!S350&lt;31,ROUND(Sheet2!K350,2)&amp;"'",IF(Sheet2!S350&lt;37,ROUND(Sheet2!L350,2)&amp;"'",""))))</f>
        <v/>
      </c>
      <c r="L350" s="15" t="str">
        <f>IF(Sheet2!D350="","",Sheet2!D350&amp;"''")</f>
        <v/>
      </c>
      <c r="O350" s="16" t="str">
        <f>IF(Sheet2!H350="","",ROUND(Sheet2!H350,2)&amp;"'")</f>
        <v/>
      </c>
      <c r="P350" s="18" t="str">
        <f>IF(Sheet2!E350="","",Sheet2!E350&amp;"''")</f>
        <v/>
      </c>
      <c r="Q350" s="12" t="str" cm="1">
        <f t="array" ref="Q350">IF(P350="","",_xlfn.XLOOKUP(G350,[1]Sheet1!$G:$G,[1]Sheet1!$Q:$S))</f>
        <v/>
      </c>
      <c r="T350" s="15" t="str">
        <f>IF(Sheet2!F350="","",Sheet2!F350&amp;"""")</f>
        <v/>
      </c>
      <c r="U350" s="12" t="str" cm="1">
        <f t="array" ref="U350">IF(T350="","",_xlfn.XLOOKUP(G350,[1]Sheet1!$G:$G,[1]Sheet1!$U:$W))</f>
        <v/>
      </c>
      <c r="X350" s="15" t="str">
        <f>IF(Sheet2!G350="","",Sheet2!G350&amp;"''")</f>
        <v/>
      </c>
    </row>
    <row r="351" spans="7:24" x14ac:dyDescent="0.25">
      <c r="G351" s="15" t="str">
        <f>IF(Sheet2!A351="","",Sheet2!A351)</f>
        <v/>
      </c>
      <c r="H351" s="18" t="str">
        <f>IF(Sheet2!O351="","",LEFT(Sheet2!O351, FIND(" ", Sheet2!O351)-1))</f>
        <v/>
      </c>
      <c r="I351" s="15" t="str">
        <f>IF(Sheet2!S351&lt;19,ROUND(Sheet2!I351,2)&amp;"'",IF(Sheet2!S351&lt;25,ROUND(Sheet2!J351,2)&amp;"'",IF(Sheet2!S351&lt;31,ROUND(Sheet2!K351,2)&amp;"'",IF(Sheet2!S351&lt;37,ROUND(Sheet2!L351,2)&amp;"'",""))))</f>
        <v/>
      </c>
      <c r="L351" s="15" t="str">
        <f>IF(Sheet2!D351="","",Sheet2!D351&amp;"''")</f>
        <v/>
      </c>
      <c r="O351" s="16" t="str">
        <f>IF(Sheet2!H351="","",ROUND(Sheet2!H351,2)&amp;"'")</f>
        <v/>
      </c>
      <c r="P351" s="18" t="str">
        <f>IF(Sheet2!E351="","",Sheet2!E351&amp;"''")</f>
        <v/>
      </c>
      <c r="Q351" s="12" t="str" cm="1">
        <f t="array" ref="Q351">IF(P351="","",_xlfn.XLOOKUP(G351,[1]Sheet1!$G:$G,[1]Sheet1!$Q:$S))</f>
        <v/>
      </c>
      <c r="T351" s="15" t="str">
        <f>IF(Sheet2!F351="","",Sheet2!F351&amp;"""")</f>
        <v/>
      </c>
      <c r="U351" s="12" t="str" cm="1">
        <f t="array" ref="U351">IF(T351="","",_xlfn.XLOOKUP(G351,[1]Sheet1!$G:$G,[1]Sheet1!$U:$W))</f>
        <v/>
      </c>
      <c r="X351" s="15" t="str">
        <f>IF(Sheet2!G351="","",Sheet2!G351&amp;"''")</f>
        <v/>
      </c>
    </row>
    <row r="352" spans="7:24" x14ac:dyDescent="0.25">
      <c r="G352" s="15" t="str">
        <f>IF(Sheet2!A352="","",Sheet2!A352)</f>
        <v/>
      </c>
      <c r="H352" s="18" t="str">
        <f>IF(Sheet2!O352="","",LEFT(Sheet2!O352, FIND(" ", Sheet2!O352)-1))</f>
        <v/>
      </c>
      <c r="I352" s="15" t="str">
        <f>IF(Sheet2!S352&lt;19,ROUND(Sheet2!I352,2)&amp;"'",IF(Sheet2!S352&lt;25,ROUND(Sheet2!J352,2)&amp;"'",IF(Sheet2!S352&lt;31,ROUND(Sheet2!K352,2)&amp;"'",IF(Sheet2!S352&lt;37,ROUND(Sheet2!L352,2)&amp;"'",""))))</f>
        <v/>
      </c>
      <c r="L352" s="15" t="str">
        <f>IF(Sheet2!D352="","",Sheet2!D352&amp;"''")</f>
        <v/>
      </c>
      <c r="O352" s="16" t="str">
        <f>IF(Sheet2!H352="","",ROUND(Sheet2!H352,2)&amp;"'")</f>
        <v/>
      </c>
      <c r="P352" s="18" t="str">
        <f>IF(Sheet2!E352="","",Sheet2!E352&amp;"''")</f>
        <v/>
      </c>
      <c r="Q352" s="12" t="str" cm="1">
        <f t="array" ref="Q352">IF(P352="","",_xlfn.XLOOKUP(G352,[1]Sheet1!$G:$G,[1]Sheet1!$Q:$S))</f>
        <v/>
      </c>
      <c r="T352" s="15" t="str">
        <f>IF(Sheet2!F352="","",Sheet2!F352&amp;"""")</f>
        <v/>
      </c>
      <c r="U352" s="12" t="str" cm="1">
        <f t="array" ref="U352">IF(T352="","",_xlfn.XLOOKUP(G352,[1]Sheet1!$G:$G,[1]Sheet1!$U:$W))</f>
        <v/>
      </c>
      <c r="X352" s="15" t="str">
        <f>IF(Sheet2!G352="","",Sheet2!G352&amp;"''")</f>
        <v/>
      </c>
    </row>
    <row r="353" spans="7:24" x14ac:dyDescent="0.25">
      <c r="G353" s="15" t="str">
        <f>IF(Sheet2!A353="","",Sheet2!A353)</f>
        <v/>
      </c>
      <c r="H353" s="18" t="str">
        <f>IF(Sheet2!O353="","",LEFT(Sheet2!O353, FIND(" ", Sheet2!O353)-1))</f>
        <v/>
      </c>
      <c r="I353" s="15" t="str">
        <f>IF(Sheet2!S353&lt;19,ROUND(Sheet2!I353,2)&amp;"'",IF(Sheet2!S353&lt;25,ROUND(Sheet2!J353,2)&amp;"'",IF(Sheet2!S353&lt;31,ROUND(Sheet2!K353,2)&amp;"'",IF(Sheet2!S353&lt;37,ROUND(Sheet2!L353,2)&amp;"'",""))))</f>
        <v/>
      </c>
      <c r="L353" s="15" t="str">
        <f>IF(Sheet2!D353="","",Sheet2!D353&amp;"''")</f>
        <v/>
      </c>
      <c r="O353" s="16" t="str">
        <f>IF(Sheet2!H353="","",ROUND(Sheet2!H353,2)&amp;"'")</f>
        <v/>
      </c>
      <c r="P353" s="18" t="str">
        <f>IF(Sheet2!E353="","",Sheet2!E353&amp;"''")</f>
        <v/>
      </c>
      <c r="Q353" s="12" t="str" cm="1">
        <f t="array" ref="Q353">IF(P353="","",_xlfn.XLOOKUP(G353,[1]Sheet1!$G:$G,[1]Sheet1!$Q:$S))</f>
        <v/>
      </c>
      <c r="T353" s="15" t="str">
        <f>IF(Sheet2!F353="","",Sheet2!F353&amp;"""")</f>
        <v/>
      </c>
      <c r="U353" s="12" t="str" cm="1">
        <f t="array" ref="U353">IF(T353="","",_xlfn.XLOOKUP(G353,[1]Sheet1!$G:$G,[1]Sheet1!$U:$W))</f>
        <v/>
      </c>
      <c r="X353" s="15" t="str">
        <f>IF(Sheet2!G353="","",Sheet2!G353&amp;"''")</f>
        <v/>
      </c>
    </row>
    <row r="354" spans="7:24" x14ac:dyDescent="0.25">
      <c r="G354" s="15" t="str">
        <f>IF(Sheet2!A354="","",Sheet2!A354)</f>
        <v/>
      </c>
      <c r="H354" s="18" t="str">
        <f>IF(Sheet2!O354="","",LEFT(Sheet2!O354, FIND(" ", Sheet2!O354)-1))</f>
        <v/>
      </c>
      <c r="I354" s="15" t="str">
        <f>IF(Sheet2!S354&lt;19,ROUND(Sheet2!I354,2)&amp;"'",IF(Sheet2!S354&lt;25,ROUND(Sheet2!J354,2)&amp;"'",IF(Sheet2!S354&lt;31,ROUND(Sheet2!K354,2)&amp;"'",IF(Sheet2!S354&lt;37,ROUND(Sheet2!L354,2)&amp;"'",""))))</f>
        <v/>
      </c>
      <c r="L354" s="15" t="str">
        <f>IF(Sheet2!D354="","",Sheet2!D354&amp;"''")</f>
        <v/>
      </c>
      <c r="O354" s="16" t="str">
        <f>IF(Sheet2!H354="","",ROUND(Sheet2!H354,2)&amp;"'")</f>
        <v/>
      </c>
      <c r="P354" s="18" t="str">
        <f>IF(Sheet2!E354="","",Sheet2!E354&amp;"''")</f>
        <v/>
      </c>
      <c r="Q354" s="12" t="str" cm="1">
        <f t="array" ref="Q354">IF(P354="","",_xlfn.XLOOKUP(G354,[1]Sheet1!$G:$G,[1]Sheet1!$Q:$S))</f>
        <v/>
      </c>
      <c r="T354" s="15" t="str">
        <f>IF(Sheet2!F354="","",Sheet2!F354&amp;"""")</f>
        <v/>
      </c>
      <c r="U354" s="12" t="str" cm="1">
        <f t="array" ref="U354">IF(T354="","",_xlfn.XLOOKUP(G354,[1]Sheet1!$G:$G,[1]Sheet1!$U:$W))</f>
        <v/>
      </c>
      <c r="X354" s="15" t="str">
        <f>IF(Sheet2!G354="","",Sheet2!G354&amp;"''")</f>
        <v/>
      </c>
    </row>
    <row r="355" spans="7:24" x14ac:dyDescent="0.25">
      <c r="G355" s="15" t="str">
        <f>IF(Sheet2!A355="","",Sheet2!A355)</f>
        <v/>
      </c>
      <c r="H355" s="18" t="str">
        <f>IF(Sheet2!O355="","",LEFT(Sheet2!O355, FIND(" ", Sheet2!O355)-1))</f>
        <v/>
      </c>
      <c r="I355" s="15" t="str">
        <f>IF(Sheet2!S355&lt;19,ROUND(Sheet2!I355,2)&amp;"'",IF(Sheet2!S355&lt;25,ROUND(Sheet2!J355,2)&amp;"'",IF(Sheet2!S355&lt;31,ROUND(Sheet2!K355,2)&amp;"'",IF(Sheet2!S355&lt;37,ROUND(Sheet2!L355,2)&amp;"'",""))))</f>
        <v/>
      </c>
      <c r="L355" s="15" t="str">
        <f>IF(Sheet2!D355="","",Sheet2!D355&amp;"''")</f>
        <v/>
      </c>
      <c r="O355" s="16" t="str">
        <f>IF(Sheet2!H355="","",ROUND(Sheet2!H355,2)&amp;"'")</f>
        <v/>
      </c>
      <c r="P355" s="18" t="str">
        <f>IF(Sheet2!E355="","",Sheet2!E355&amp;"''")</f>
        <v/>
      </c>
      <c r="Q355" s="12" t="str" cm="1">
        <f t="array" ref="Q355">IF(P355="","",_xlfn.XLOOKUP(G355,[1]Sheet1!$G:$G,[1]Sheet1!$Q:$S))</f>
        <v/>
      </c>
      <c r="T355" s="15" t="str">
        <f>IF(Sheet2!F355="","",Sheet2!F355&amp;"""")</f>
        <v/>
      </c>
      <c r="U355" s="12" t="str" cm="1">
        <f t="array" ref="U355">IF(T355="","",_xlfn.XLOOKUP(G355,[1]Sheet1!$G:$G,[1]Sheet1!$U:$W))</f>
        <v/>
      </c>
      <c r="X355" s="15" t="str">
        <f>IF(Sheet2!G355="","",Sheet2!G355&amp;"''")</f>
        <v/>
      </c>
    </row>
    <row r="356" spans="7:24" x14ac:dyDescent="0.25">
      <c r="G356" s="15" t="str">
        <f>IF(Sheet2!A356="","",Sheet2!A356)</f>
        <v/>
      </c>
      <c r="H356" s="18" t="str">
        <f>IF(Sheet2!O356="","",LEFT(Sheet2!O356, FIND(" ", Sheet2!O356)-1))</f>
        <v/>
      </c>
      <c r="I356" s="15" t="str">
        <f>IF(Sheet2!S356&lt;19,ROUND(Sheet2!I356,2)&amp;"'",IF(Sheet2!S356&lt;25,ROUND(Sheet2!J356,2)&amp;"'",IF(Sheet2!S356&lt;31,ROUND(Sheet2!K356,2)&amp;"'",IF(Sheet2!S356&lt;37,ROUND(Sheet2!L356,2)&amp;"'",""))))</f>
        <v/>
      </c>
      <c r="L356" s="15" t="str">
        <f>IF(Sheet2!D356="","",Sheet2!D356&amp;"''")</f>
        <v/>
      </c>
      <c r="O356" s="16" t="str">
        <f>IF(Sheet2!H356="","",ROUND(Sheet2!H356,2)&amp;"'")</f>
        <v/>
      </c>
      <c r="P356" s="18" t="str">
        <f>IF(Sheet2!E356="","",Sheet2!E356&amp;"''")</f>
        <v/>
      </c>
      <c r="Q356" s="12" t="str" cm="1">
        <f t="array" ref="Q356">IF(P356="","",_xlfn.XLOOKUP(G356,[1]Sheet1!$G:$G,[1]Sheet1!$Q:$S))</f>
        <v/>
      </c>
      <c r="T356" s="15" t="str">
        <f>IF(Sheet2!F356="","",Sheet2!F356&amp;"""")</f>
        <v/>
      </c>
      <c r="U356" s="12" t="str" cm="1">
        <f t="array" ref="U356">IF(T356="","",_xlfn.XLOOKUP(G356,[1]Sheet1!$G:$G,[1]Sheet1!$U:$W))</f>
        <v/>
      </c>
      <c r="X356" s="15" t="str">
        <f>IF(Sheet2!G356="","",Sheet2!G356&amp;"''")</f>
        <v/>
      </c>
    </row>
    <row r="357" spans="7:24" x14ac:dyDescent="0.25">
      <c r="G357" s="15" t="str">
        <f>IF(Sheet2!A357="","",Sheet2!A357)</f>
        <v/>
      </c>
      <c r="H357" s="18" t="str">
        <f>IF(Sheet2!O357="","",LEFT(Sheet2!O357, FIND(" ", Sheet2!O357)-1))</f>
        <v/>
      </c>
      <c r="I357" s="15" t="str">
        <f>IF(Sheet2!S357&lt;19,ROUND(Sheet2!I357,2)&amp;"'",IF(Sheet2!S357&lt;25,ROUND(Sheet2!J357,2)&amp;"'",IF(Sheet2!S357&lt;31,ROUND(Sheet2!K357,2)&amp;"'",IF(Sheet2!S357&lt;37,ROUND(Sheet2!L357,2)&amp;"'",""))))</f>
        <v/>
      </c>
      <c r="L357" s="15" t="str">
        <f>IF(Sheet2!D357="","",Sheet2!D357&amp;"''")</f>
        <v/>
      </c>
      <c r="O357" s="16" t="str">
        <f>IF(Sheet2!H357="","",ROUND(Sheet2!H357,2)&amp;"'")</f>
        <v/>
      </c>
      <c r="P357" s="18" t="str">
        <f>IF(Sheet2!E357="","",Sheet2!E357&amp;"''")</f>
        <v/>
      </c>
      <c r="Q357" s="12" t="str" cm="1">
        <f t="array" ref="Q357">IF(P357="","",_xlfn.XLOOKUP(G357,[1]Sheet1!$G:$G,[1]Sheet1!$Q:$S))</f>
        <v/>
      </c>
      <c r="T357" s="15" t="str">
        <f>IF(Sheet2!F357="","",Sheet2!F357&amp;"""")</f>
        <v/>
      </c>
      <c r="U357" s="12" t="str" cm="1">
        <f t="array" ref="U357">IF(T357="","",_xlfn.XLOOKUP(G357,[1]Sheet1!$G:$G,[1]Sheet1!$U:$W))</f>
        <v/>
      </c>
      <c r="X357" s="15" t="str">
        <f>IF(Sheet2!G357="","",Sheet2!G357&amp;"''")</f>
        <v/>
      </c>
    </row>
    <row r="358" spans="7:24" x14ac:dyDescent="0.25">
      <c r="G358" s="15" t="str">
        <f>IF(Sheet2!A358="","",Sheet2!A358)</f>
        <v/>
      </c>
      <c r="H358" s="18" t="str">
        <f>IF(Sheet2!O358="","",LEFT(Sheet2!O358, FIND(" ", Sheet2!O358)-1))</f>
        <v/>
      </c>
      <c r="I358" s="15" t="str">
        <f>IF(Sheet2!S358&lt;19,ROUND(Sheet2!I358,2)&amp;"'",IF(Sheet2!S358&lt;25,ROUND(Sheet2!J358,2)&amp;"'",IF(Sheet2!S358&lt;31,ROUND(Sheet2!K358,2)&amp;"'",IF(Sheet2!S358&lt;37,ROUND(Sheet2!L358,2)&amp;"'",""))))</f>
        <v/>
      </c>
      <c r="L358" s="15" t="str">
        <f>IF(Sheet2!D358="","",Sheet2!D358&amp;"''")</f>
        <v/>
      </c>
      <c r="O358" s="16" t="str">
        <f>IF(Sheet2!H358="","",ROUND(Sheet2!H358,2)&amp;"'")</f>
        <v/>
      </c>
      <c r="P358" s="18" t="str">
        <f>IF(Sheet2!E358="","",Sheet2!E358&amp;"''")</f>
        <v/>
      </c>
      <c r="Q358" s="12" t="str" cm="1">
        <f t="array" ref="Q358">IF(P358="","",_xlfn.XLOOKUP(G358,[1]Sheet1!$G:$G,[1]Sheet1!$Q:$S))</f>
        <v/>
      </c>
      <c r="T358" s="15" t="str">
        <f>IF(Sheet2!F358="","",Sheet2!F358&amp;"""")</f>
        <v/>
      </c>
      <c r="U358" s="12" t="str" cm="1">
        <f t="array" ref="U358">IF(T358="","",_xlfn.XLOOKUP(G358,[1]Sheet1!$G:$G,[1]Sheet1!$U:$W))</f>
        <v/>
      </c>
      <c r="X358" s="15" t="str">
        <f>IF(Sheet2!G358="","",Sheet2!G358&amp;"''")</f>
        <v/>
      </c>
    </row>
    <row r="359" spans="7:24" x14ac:dyDescent="0.25">
      <c r="G359" s="15" t="str">
        <f>IF(Sheet2!A359="","",Sheet2!A359)</f>
        <v/>
      </c>
      <c r="H359" s="18" t="str">
        <f>IF(Sheet2!O359="","",LEFT(Sheet2!O359, FIND(" ", Sheet2!O359)-1))</f>
        <v/>
      </c>
      <c r="I359" s="15" t="str">
        <f>IF(Sheet2!S359&lt;19,ROUND(Sheet2!I359,2)&amp;"'",IF(Sheet2!S359&lt;25,ROUND(Sheet2!J359,2)&amp;"'",IF(Sheet2!S359&lt;31,ROUND(Sheet2!K359,2)&amp;"'",IF(Sheet2!S359&lt;37,ROUND(Sheet2!L359,2)&amp;"'",""))))</f>
        <v/>
      </c>
      <c r="L359" s="15" t="str">
        <f>IF(Sheet2!D359="","",Sheet2!D359&amp;"''")</f>
        <v/>
      </c>
      <c r="O359" s="16" t="str">
        <f>IF(Sheet2!H359="","",ROUND(Sheet2!H359,2)&amp;"'")</f>
        <v/>
      </c>
      <c r="P359" s="18" t="str">
        <f>IF(Sheet2!E359="","",Sheet2!E359&amp;"''")</f>
        <v/>
      </c>
      <c r="Q359" s="12" t="str" cm="1">
        <f t="array" ref="Q359">IF(P359="","",_xlfn.XLOOKUP(G359,[1]Sheet1!$G:$G,[1]Sheet1!$Q:$S))</f>
        <v/>
      </c>
      <c r="T359" s="15" t="str">
        <f>IF(Sheet2!F359="","",Sheet2!F359&amp;"""")</f>
        <v/>
      </c>
      <c r="U359" s="12" t="str" cm="1">
        <f t="array" ref="U359">IF(T359="","",_xlfn.XLOOKUP(G359,[1]Sheet1!$G:$G,[1]Sheet1!$U:$W))</f>
        <v/>
      </c>
      <c r="X359" s="15" t="str">
        <f>IF(Sheet2!G359="","",Sheet2!G359&amp;"''")</f>
        <v/>
      </c>
    </row>
    <row r="360" spans="7:24" x14ac:dyDescent="0.25">
      <c r="G360" s="15" t="str">
        <f>IF(Sheet2!A360="","",Sheet2!A360)</f>
        <v/>
      </c>
      <c r="H360" s="18" t="str">
        <f>IF(Sheet2!O360="","",LEFT(Sheet2!O360, FIND(" ", Sheet2!O360)-1))</f>
        <v/>
      </c>
      <c r="I360" s="15" t="str">
        <f>IF(Sheet2!S360&lt;19,ROUND(Sheet2!I360,2)&amp;"'",IF(Sheet2!S360&lt;25,ROUND(Sheet2!J360,2)&amp;"'",IF(Sheet2!S360&lt;31,ROUND(Sheet2!K360,2)&amp;"'",IF(Sheet2!S360&lt;37,ROUND(Sheet2!L360,2)&amp;"'",""))))</f>
        <v/>
      </c>
      <c r="L360" s="15" t="str">
        <f>IF(Sheet2!D360="","",Sheet2!D360&amp;"''")</f>
        <v/>
      </c>
      <c r="O360" s="16" t="str">
        <f>IF(Sheet2!H360="","",ROUND(Sheet2!H360,2)&amp;"'")</f>
        <v/>
      </c>
      <c r="P360" s="18" t="str">
        <f>IF(Sheet2!E360="","",Sheet2!E360&amp;"''")</f>
        <v/>
      </c>
      <c r="Q360" s="12" t="str" cm="1">
        <f t="array" ref="Q360">IF(P360="","",_xlfn.XLOOKUP(G360,[1]Sheet1!$G:$G,[1]Sheet1!$Q:$S))</f>
        <v/>
      </c>
      <c r="T360" s="15" t="str">
        <f>IF(Sheet2!F360="","",Sheet2!F360&amp;"""")</f>
        <v/>
      </c>
      <c r="U360" s="12" t="str" cm="1">
        <f t="array" ref="U360">IF(T360="","",_xlfn.XLOOKUP(G360,[1]Sheet1!$G:$G,[1]Sheet1!$U:$W))</f>
        <v/>
      </c>
      <c r="X360" s="15" t="str">
        <f>IF(Sheet2!G360="","",Sheet2!G360&amp;"''")</f>
        <v/>
      </c>
    </row>
    <row r="361" spans="7:24" x14ac:dyDescent="0.25">
      <c r="G361" s="15" t="str">
        <f>IF(Sheet2!A361="","",Sheet2!A361)</f>
        <v/>
      </c>
      <c r="H361" s="18" t="str">
        <f>IF(Sheet2!O361="","",LEFT(Sheet2!O361, FIND(" ", Sheet2!O361)-1))</f>
        <v/>
      </c>
      <c r="I361" s="15" t="str">
        <f>IF(Sheet2!S361&lt;19,ROUND(Sheet2!I361,2)&amp;"'",IF(Sheet2!S361&lt;25,ROUND(Sheet2!J361,2)&amp;"'",IF(Sheet2!S361&lt;31,ROUND(Sheet2!K361,2)&amp;"'",IF(Sheet2!S361&lt;37,ROUND(Sheet2!L361,2)&amp;"'",""))))</f>
        <v/>
      </c>
      <c r="L361" s="15" t="str">
        <f>IF(Sheet2!D361="","",Sheet2!D361&amp;"''")</f>
        <v/>
      </c>
      <c r="O361" s="16" t="str">
        <f>IF(Sheet2!H361="","",ROUND(Sheet2!H361,2)&amp;"'")</f>
        <v/>
      </c>
      <c r="P361" s="18" t="str">
        <f>IF(Sheet2!E361="","",Sheet2!E361&amp;"''")</f>
        <v/>
      </c>
      <c r="Q361" s="12" t="str" cm="1">
        <f t="array" ref="Q361">IF(P361="","",_xlfn.XLOOKUP(G361,[1]Sheet1!$G:$G,[1]Sheet1!$Q:$S))</f>
        <v/>
      </c>
      <c r="T361" s="15" t="str">
        <f>IF(Sheet2!F361="","",Sheet2!F361&amp;"""")</f>
        <v/>
      </c>
      <c r="U361" s="12" t="str" cm="1">
        <f t="array" ref="U361">IF(T361="","",_xlfn.XLOOKUP(G361,[1]Sheet1!$G:$G,[1]Sheet1!$U:$W))</f>
        <v/>
      </c>
      <c r="X361" s="15" t="str">
        <f>IF(Sheet2!G361="","",Sheet2!G361&amp;"''")</f>
        <v/>
      </c>
    </row>
    <row r="362" spans="7:24" x14ac:dyDescent="0.25">
      <c r="G362" s="15" t="str">
        <f>IF(Sheet2!A362="","",Sheet2!A362)</f>
        <v/>
      </c>
      <c r="H362" s="18" t="str">
        <f>IF(Sheet2!O362="","",LEFT(Sheet2!O362, FIND(" ", Sheet2!O362)-1))</f>
        <v/>
      </c>
      <c r="I362" s="15" t="str">
        <f>IF(Sheet2!S362&lt;19,ROUND(Sheet2!I362,2)&amp;"'",IF(Sheet2!S362&lt;25,ROUND(Sheet2!J362,2)&amp;"'",IF(Sheet2!S362&lt;31,ROUND(Sheet2!K362,2)&amp;"'",IF(Sheet2!S362&lt;37,ROUND(Sheet2!L362,2)&amp;"'",""))))</f>
        <v/>
      </c>
      <c r="L362" s="15" t="str">
        <f>IF(Sheet2!D362="","",Sheet2!D362&amp;"''")</f>
        <v/>
      </c>
      <c r="O362" s="16" t="str">
        <f>IF(Sheet2!H362="","",ROUND(Sheet2!H362,2)&amp;"'")</f>
        <v/>
      </c>
      <c r="P362" s="18" t="str">
        <f>IF(Sheet2!E362="","",Sheet2!E362&amp;"''")</f>
        <v/>
      </c>
      <c r="Q362" s="12" t="str" cm="1">
        <f t="array" ref="Q362">IF(P362="","",_xlfn.XLOOKUP(G362,[1]Sheet1!$G:$G,[1]Sheet1!$Q:$S))</f>
        <v/>
      </c>
      <c r="T362" s="15" t="str">
        <f>IF(Sheet2!F362="","",Sheet2!F362&amp;"""")</f>
        <v/>
      </c>
      <c r="U362" s="12" t="str" cm="1">
        <f t="array" ref="U362">IF(T362="","",_xlfn.XLOOKUP(G362,[1]Sheet1!$G:$G,[1]Sheet1!$U:$W))</f>
        <v/>
      </c>
      <c r="X362" s="15" t="str">
        <f>IF(Sheet2!G362="","",Sheet2!G362&amp;"''")</f>
        <v/>
      </c>
    </row>
    <row r="363" spans="7:24" x14ac:dyDescent="0.25">
      <c r="G363" s="15" t="str">
        <f>IF(Sheet2!A363="","",Sheet2!A363)</f>
        <v/>
      </c>
      <c r="H363" s="18" t="str">
        <f>IF(Sheet2!O363="","",LEFT(Sheet2!O363, FIND(" ", Sheet2!O363)-1))</f>
        <v/>
      </c>
      <c r="I363" s="15" t="str">
        <f>IF(Sheet2!S363&lt;19,ROUND(Sheet2!I363,2)&amp;"'",IF(Sheet2!S363&lt;25,ROUND(Sheet2!J363,2)&amp;"'",IF(Sheet2!S363&lt;31,ROUND(Sheet2!K363,2)&amp;"'",IF(Sheet2!S363&lt;37,ROUND(Sheet2!L363,2)&amp;"'",""))))</f>
        <v/>
      </c>
      <c r="L363" s="15" t="str">
        <f>IF(Sheet2!D363="","",Sheet2!D363&amp;"''")</f>
        <v/>
      </c>
      <c r="O363" s="16" t="str">
        <f>IF(Sheet2!H363="","",ROUND(Sheet2!H363,2)&amp;"'")</f>
        <v/>
      </c>
      <c r="P363" s="18" t="str">
        <f>IF(Sheet2!E363="","",Sheet2!E363&amp;"''")</f>
        <v/>
      </c>
      <c r="Q363" s="12" t="str" cm="1">
        <f t="array" ref="Q363">IF(P363="","",_xlfn.XLOOKUP(G363,[1]Sheet1!$G:$G,[1]Sheet1!$Q:$S))</f>
        <v/>
      </c>
      <c r="T363" s="15" t="str">
        <f>IF(Sheet2!F363="","",Sheet2!F363&amp;"""")</f>
        <v/>
      </c>
      <c r="U363" s="12" t="str" cm="1">
        <f t="array" ref="U363">IF(T363="","",_xlfn.XLOOKUP(G363,[1]Sheet1!$G:$G,[1]Sheet1!$U:$W))</f>
        <v/>
      </c>
      <c r="X363" s="15" t="str">
        <f>IF(Sheet2!G363="","",Sheet2!G363&amp;"''")</f>
        <v/>
      </c>
    </row>
    <row r="364" spans="7:24" x14ac:dyDescent="0.25">
      <c r="G364" s="15" t="str">
        <f>IF(Sheet2!A364="","",Sheet2!A364)</f>
        <v/>
      </c>
      <c r="H364" s="18" t="str">
        <f>IF(Sheet2!O364="","",LEFT(Sheet2!O364, FIND(" ", Sheet2!O364)-1))</f>
        <v/>
      </c>
      <c r="I364" s="15" t="str">
        <f>IF(Sheet2!S364&lt;19,ROUND(Sheet2!I364,2)&amp;"'",IF(Sheet2!S364&lt;25,ROUND(Sheet2!J364,2)&amp;"'",IF(Sheet2!S364&lt;31,ROUND(Sheet2!K364,2)&amp;"'",IF(Sheet2!S364&lt;37,ROUND(Sheet2!L364,2)&amp;"'",""))))</f>
        <v/>
      </c>
      <c r="L364" s="15" t="str">
        <f>IF(Sheet2!D364="","",Sheet2!D364&amp;"''")</f>
        <v/>
      </c>
      <c r="O364" s="16" t="str">
        <f>IF(Sheet2!H364="","",ROUND(Sheet2!H364,2)&amp;"'")</f>
        <v/>
      </c>
      <c r="P364" s="18" t="str">
        <f>IF(Sheet2!E364="","",Sheet2!E364&amp;"''")</f>
        <v/>
      </c>
      <c r="Q364" s="12" t="str" cm="1">
        <f t="array" ref="Q364">IF(P364="","",_xlfn.XLOOKUP(G364,[1]Sheet1!$G:$G,[1]Sheet1!$Q:$S))</f>
        <v/>
      </c>
      <c r="T364" s="15" t="str">
        <f>IF(Sheet2!F364="","",Sheet2!F364&amp;"""")</f>
        <v/>
      </c>
      <c r="U364" s="12" t="str" cm="1">
        <f t="array" ref="U364">IF(T364="","",_xlfn.XLOOKUP(G364,[1]Sheet1!$G:$G,[1]Sheet1!$U:$W))</f>
        <v/>
      </c>
      <c r="X364" s="15" t="str">
        <f>IF(Sheet2!G364="","",Sheet2!G364&amp;"''")</f>
        <v/>
      </c>
    </row>
    <row r="365" spans="7:24" x14ac:dyDescent="0.25">
      <c r="G365" s="15" t="str">
        <f>IF(Sheet2!A365="","",Sheet2!A365)</f>
        <v/>
      </c>
      <c r="H365" s="18" t="str">
        <f>IF(Sheet2!O365="","",LEFT(Sheet2!O365, FIND(" ", Sheet2!O365)-1))</f>
        <v/>
      </c>
      <c r="I365" s="15" t="str">
        <f>IF(Sheet2!S365&lt;19,ROUND(Sheet2!I365,2)&amp;"'",IF(Sheet2!S365&lt;25,ROUND(Sheet2!J365,2)&amp;"'",IF(Sheet2!S365&lt;31,ROUND(Sheet2!K365,2)&amp;"'",IF(Sheet2!S365&lt;37,ROUND(Sheet2!L365,2)&amp;"'",""))))</f>
        <v/>
      </c>
      <c r="L365" s="15" t="str">
        <f>IF(Sheet2!D365="","",Sheet2!D365&amp;"''")</f>
        <v/>
      </c>
      <c r="O365" s="16" t="str">
        <f>IF(Sheet2!H365="","",ROUND(Sheet2!H365,2)&amp;"'")</f>
        <v/>
      </c>
      <c r="P365" s="18" t="str">
        <f>IF(Sheet2!E365="","",Sheet2!E365&amp;"''")</f>
        <v/>
      </c>
      <c r="Q365" s="12" t="str" cm="1">
        <f t="array" ref="Q365">IF(P365="","",_xlfn.XLOOKUP(G365,[1]Sheet1!$G:$G,[1]Sheet1!$Q:$S))</f>
        <v/>
      </c>
      <c r="T365" s="15" t="str">
        <f>IF(Sheet2!F365="","",Sheet2!F365&amp;"""")</f>
        <v/>
      </c>
      <c r="U365" s="12" t="str" cm="1">
        <f t="array" ref="U365">IF(T365="","",_xlfn.XLOOKUP(G365,[1]Sheet1!$G:$G,[1]Sheet1!$U:$W))</f>
        <v/>
      </c>
      <c r="X365" s="15" t="str">
        <f>IF(Sheet2!G365="","",Sheet2!G365&amp;"''")</f>
        <v/>
      </c>
    </row>
    <row r="366" spans="7:24" x14ac:dyDescent="0.25">
      <c r="G366" s="15" t="str">
        <f>IF(Sheet2!A366="","",Sheet2!A366)</f>
        <v/>
      </c>
      <c r="H366" s="18" t="str">
        <f>IF(Sheet2!O366="","",LEFT(Sheet2!O366, FIND(" ", Sheet2!O366)-1))</f>
        <v/>
      </c>
      <c r="I366" s="15" t="str">
        <f>IF(Sheet2!S366&lt;19,ROUND(Sheet2!I366,2)&amp;"'",IF(Sheet2!S366&lt;25,ROUND(Sheet2!J366,2)&amp;"'",IF(Sheet2!S366&lt;31,ROUND(Sheet2!K366,2)&amp;"'",IF(Sheet2!S366&lt;37,ROUND(Sheet2!L366,2)&amp;"'",""))))</f>
        <v/>
      </c>
      <c r="L366" s="15" t="str">
        <f>IF(Sheet2!D366="","",Sheet2!D366&amp;"''")</f>
        <v/>
      </c>
      <c r="O366" s="16" t="str">
        <f>IF(Sheet2!H366="","",ROUND(Sheet2!H366,2)&amp;"'")</f>
        <v/>
      </c>
      <c r="P366" s="18" t="str">
        <f>IF(Sheet2!E366="","",Sheet2!E366&amp;"''")</f>
        <v/>
      </c>
      <c r="Q366" s="12" t="str" cm="1">
        <f t="array" ref="Q366">IF(P366="","",_xlfn.XLOOKUP(G366,[1]Sheet1!$G:$G,[1]Sheet1!$Q:$S))</f>
        <v/>
      </c>
      <c r="T366" s="15" t="str">
        <f>IF(Sheet2!F366="","",Sheet2!F366&amp;"""")</f>
        <v/>
      </c>
      <c r="U366" s="12" t="str" cm="1">
        <f t="array" ref="U366">IF(T366="","",_xlfn.XLOOKUP(G366,[1]Sheet1!$G:$G,[1]Sheet1!$U:$W))</f>
        <v/>
      </c>
      <c r="X366" s="15" t="str">
        <f>IF(Sheet2!G366="","",Sheet2!G366&amp;"''")</f>
        <v/>
      </c>
    </row>
    <row r="367" spans="7:24" x14ac:dyDescent="0.25">
      <c r="G367" s="15" t="str">
        <f>IF(Sheet2!A367="","",Sheet2!A367)</f>
        <v/>
      </c>
      <c r="H367" s="18" t="str">
        <f>IF(Sheet2!O367="","",LEFT(Sheet2!O367, FIND(" ", Sheet2!O367)-1))</f>
        <v/>
      </c>
      <c r="I367" s="15" t="str">
        <f>IF(Sheet2!S367&lt;19,ROUND(Sheet2!I367,2)&amp;"'",IF(Sheet2!S367&lt;25,ROUND(Sheet2!J367,2)&amp;"'",IF(Sheet2!S367&lt;31,ROUND(Sheet2!K367,2)&amp;"'",IF(Sheet2!S367&lt;37,ROUND(Sheet2!L367,2)&amp;"'",""))))</f>
        <v/>
      </c>
      <c r="L367" s="15" t="str">
        <f>IF(Sheet2!D367="","",Sheet2!D367&amp;"''")</f>
        <v/>
      </c>
      <c r="O367" s="16" t="str">
        <f>IF(Sheet2!H367="","",ROUND(Sheet2!H367,2)&amp;"'")</f>
        <v/>
      </c>
      <c r="P367" s="18" t="str">
        <f>IF(Sheet2!E367="","",Sheet2!E367&amp;"''")</f>
        <v/>
      </c>
      <c r="Q367" s="12" t="str" cm="1">
        <f t="array" ref="Q367">IF(P367="","",_xlfn.XLOOKUP(G367,[1]Sheet1!$G:$G,[1]Sheet1!$Q:$S))</f>
        <v/>
      </c>
      <c r="T367" s="15" t="str">
        <f>IF(Sheet2!F367="","",Sheet2!F367&amp;"""")</f>
        <v/>
      </c>
      <c r="U367" s="12" t="str" cm="1">
        <f t="array" ref="U367">IF(T367="","",_xlfn.XLOOKUP(G367,[1]Sheet1!$G:$G,[1]Sheet1!$U:$W))</f>
        <v/>
      </c>
      <c r="X367" s="15" t="str">
        <f>IF(Sheet2!G367="","",Sheet2!G367&amp;"''")</f>
        <v/>
      </c>
    </row>
    <row r="368" spans="7:24" x14ac:dyDescent="0.25">
      <c r="G368" s="15" t="str">
        <f>IF(Sheet2!A368="","",Sheet2!A368)</f>
        <v/>
      </c>
      <c r="H368" s="18" t="str">
        <f>IF(Sheet2!O368="","",LEFT(Sheet2!O368, FIND(" ", Sheet2!O368)-1))</f>
        <v/>
      </c>
      <c r="I368" s="15" t="str">
        <f>IF(Sheet2!S368&lt;19,ROUND(Sheet2!I368,2)&amp;"'",IF(Sheet2!S368&lt;25,ROUND(Sheet2!J368,2)&amp;"'",IF(Sheet2!S368&lt;31,ROUND(Sheet2!K368,2)&amp;"'",IF(Sheet2!S368&lt;37,ROUND(Sheet2!L368,2)&amp;"'",""))))</f>
        <v/>
      </c>
      <c r="L368" s="15" t="str">
        <f>IF(Sheet2!D368="","",Sheet2!D368&amp;"''")</f>
        <v/>
      </c>
      <c r="O368" s="16" t="str">
        <f>IF(Sheet2!H368="","",ROUND(Sheet2!H368,2)&amp;"'")</f>
        <v/>
      </c>
      <c r="P368" s="18" t="str">
        <f>IF(Sheet2!E368="","",Sheet2!E368&amp;"''")</f>
        <v/>
      </c>
      <c r="Q368" s="12" t="str" cm="1">
        <f t="array" ref="Q368">IF(P368="","",_xlfn.XLOOKUP(G368,[1]Sheet1!$G:$G,[1]Sheet1!$Q:$S))</f>
        <v/>
      </c>
      <c r="T368" s="15" t="str">
        <f>IF(Sheet2!F368="","",Sheet2!F368&amp;"""")</f>
        <v/>
      </c>
      <c r="U368" s="12" t="str" cm="1">
        <f t="array" ref="U368">IF(T368="","",_xlfn.XLOOKUP(G368,[1]Sheet1!$G:$G,[1]Sheet1!$U:$W))</f>
        <v/>
      </c>
      <c r="X368" s="15" t="str">
        <f>IF(Sheet2!G368="","",Sheet2!G368&amp;"''")</f>
        <v/>
      </c>
    </row>
    <row r="369" spans="7:24" x14ac:dyDescent="0.25">
      <c r="G369" s="15" t="str">
        <f>IF(Sheet2!A369="","",Sheet2!A369)</f>
        <v/>
      </c>
      <c r="H369" s="18" t="str">
        <f>IF(Sheet2!O369="","",LEFT(Sheet2!O369, FIND(" ", Sheet2!O369)-1))</f>
        <v/>
      </c>
      <c r="I369" s="15" t="str">
        <f>IF(Sheet2!S369&lt;19,ROUND(Sheet2!I369,2)&amp;"'",IF(Sheet2!S369&lt;25,ROUND(Sheet2!J369,2)&amp;"'",IF(Sheet2!S369&lt;31,ROUND(Sheet2!K369,2)&amp;"'",IF(Sheet2!S369&lt;37,ROUND(Sheet2!L369,2)&amp;"'",""))))</f>
        <v/>
      </c>
      <c r="L369" s="15" t="str">
        <f>IF(Sheet2!D369="","",Sheet2!D369&amp;"''")</f>
        <v/>
      </c>
      <c r="O369" s="16" t="str">
        <f>IF(Sheet2!H369="","",ROUND(Sheet2!H369,2)&amp;"'")</f>
        <v/>
      </c>
      <c r="P369" s="18" t="str">
        <f>IF(Sheet2!E369="","",Sheet2!E369&amp;"''")</f>
        <v/>
      </c>
      <c r="Q369" s="12" t="str" cm="1">
        <f t="array" ref="Q369">IF(P369="","",_xlfn.XLOOKUP(G369,[1]Sheet1!$G:$G,[1]Sheet1!$Q:$S))</f>
        <v/>
      </c>
      <c r="T369" s="15" t="str">
        <f>IF(Sheet2!F369="","",Sheet2!F369&amp;"""")</f>
        <v/>
      </c>
      <c r="U369" s="12" t="str" cm="1">
        <f t="array" ref="U369">IF(T369="","",_xlfn.XLOOKUP(G369,[1]Sheet1!$G:$G,[1]Sheet1!$U:$W))</f>
        <v/>
      </c>
      <c r="X369" s="15" t="str">
        <f>IF(Sheet2!G369="","",Sheet2!G369&amp;"''")</f>
        <v/>
      </c>
    </row>
    <row r="370" spans="7:24" x14ac:dyDescent="0.25">
      <c r="G370" s="15" t="str">
        <f>IF(Sheet2!A370="","",Sheet2!A370)</f>
        <v/>
      </c>
      <c r="H370" s="18" t="str">
        <f>IF(Sheet2!O370="","",LEFT(Sheet2!O370, FIND(" ", Sheet2!O370)-1))</f>
        <v/>
      </c>
      <c r="I370" s="15" t="str">
        <f>IF(Sheet2!S370&lt;19,ROUND(Sheet2!I370,2)&amp;"'",IF(Sheet2!S370&lt;25,ROUND(Sheet2!J370,2)&amp;"'",IF(Sheet2!S370&lt;31,ROUND(Sheet2!K370,2)&amp;"'",IF(Sheet2!S370&lt;37,ROUND(Sheet2!L370,2)&amp;"'",""))))</f>
        <v/>
      </c>
      <c r="L370" s="15" t="str">
        <f>IF(Sheet2!D370="","",Sheet2!D370&amp;"''")</f>
        <v/>
      </c>
      <c r="O370" s="16" t="str">
        <f>IF(Sheet2!H370="","",ROUND(Sheet2!H370,2)&amp;"'")</f>
        <v/>
      </c>
      <c r="P370" s="18" t="str">
        <f>IF(Sheet2!E370="","",Sheet2!E370&amp;"''")</f>
        <v/>
      </c>
      <c r="Q370" s="12" t="str" cm="1">
        <f t="array" ref="Q370">IF(P370="","",_xlfn.XLOOKUP(G370,[1]Sheet1!$G:$G,[1]Sheet1!$Q:$S))</f>
        <v/>
      </c>
      <c r="T370" s="15" t="str">
        <f>IF(Sheet2!F370="","",Sheet2!F370&amp;"""")</f>
        <v/>
      </c>
      <c r="U370" s="12" t="str" cm="1">
        <f t="array" ref="U370">IF(T370="","",_xlfn.XLOOKUP(G370,[1]Sheet1!$G:$G,[1]Sheet1!$U:$W))</f>
        <v/>
      </c>
      <c r="X370" s="15" t="str">
        <f>IF(Sheet2!G370="","",Sheet2!G370&amp;"''")</f>
        <v/>
      </c>
    </row>
    <row r="371" spans="7:24" x14ac:dyDescent="0.25">
      <c r="G371" s="15" t="str">
        <f>IF(Sheet2!A371="","",Sheet2!A371)</f>
        <v/>
      </c>
      <c r="H371" s="18" t="str">
        <f>IF(Sheet2!O371="","",LEFT(Sheet2!O371, FIND(" ", Sheet2!O371)-1))</f>
        <v/>
      </c>
      <c r="I371" s="15" t="str">
        <f>IF(Sheet2!S371&lt;19,ROUND(Sheet2!I371,2)&amp;"'",IF(Sheet2!S371&lt;25,ROUND(Sheet2!J371,2)&amp;"'",IF(Sheet2!S371&lt;31,ROUND(Sheet2!K371,2)&amp;"'",IF(Sheet2!S371&lt;37,ROUND(Sheet2!L371,2)&amp;"'",""))))</f>
        <v/>
      </c>
      <c r="L371" s="15" t="str">
        <f>IF(Sheet2!D371="","",Sheet2!D371&amp;"''")</f>
        <v/>
      </c>
      <c r="O371" s="16" t="str">
        <f>IF(Sheet2!H371="","",ROUND(Sheet2!H371,2)&amp;"'")</f>
        <v/>
      </c>
      <c r="P371" s="18" t="str">
        <f>IF(Sheet2!E371="","",Sheet2!E371&amp;"''")</f>
        <v/>
      </c>
      <c r="Q371" s="12" t="str" cm="1">
        <f t="array" ref="Q371">IF(P371="","",_xlfn.XLOOKUP(G371,[1]Sheet1!$G:$G,[1]Sheet1!$Q:$S))</f>
        <v/>
      </c>
      <c r="T371" s="15" t="str">
        <f>IF(Sheet2!F371="","",Sheet2!F371&amp;"""")</f>
        <v/>
      </c>
      <c r="U371" s="12" t="str" cm="1">
        <f t="array" ref="U371">IF(T371="","",_xlfn.XLOOKUP(G371,[1]Sheet1!$G:$G,[1]Sheet1!$U:$W))</f>
        <v/>
      </c>
      <c r="X371" s="15" t="str">
        <f>IF(Sheet2!G371="","",Sheet2!G371&amp;"''")</f>
        <v/>
      </c>
    </row>
    <row r="372" spans="7:24" x14ac:dyDescent="0.25">
      <c r="G372" s="15" t="str">
        <f>IF(Sheet2!A372="","",Sheet2!A372)</f>
        <v/>
      </c>
      <c r="H372" s="18" t="str">
        <f>IF(Sheet2!O372="","",LEFT(Sheet2!O372, FIND(" ", Sheet2!O372)-1))</f>
        <v/>
      </c>
      <c r="I372" s="15" t="str">
        <f>IF(Sheet2!S372&lt;19,ROUND(Sheet2!I372,2)&amp;"'",IF(Sheet2!S372&lt;25,ROUND(Sheet2!J372,2)&amp;"'",IF(Sheet2!S372&lt;31,ROUND(Sheet2!K372,2)&amp;"'",IF(Sheet2!S372&lt;37,ROUND(Sheet2!L372,2)&amp;"'",""))))</f>
        <v/>
      </c>
      <c r="L372" s="15" t="str">
        <f>IF(Sheet2!D372="","",Sheet2!D372&amp;"''")</f>
        <v/>
      </c>
      <c r="O372" s="16" t="str">
        <f>IF(Sheet2!H372="","",ROUND(Sheet2!H372,2)&amp;"'")</f>
        <v/>
      </c>
      <c r="P372" s="18" t="str">
        <f>IF(Sheet2!E372="","",Sheet2!E372&amp;"''")</f>
        <v/>
      </c>
      <c r="Q372" s="12" t="str" cm="1">
        <f t="array" ref="Q372">IF(P372="","",_xlfn.XLOOKUP(G372,[1]Sheet1!$G:$G,[1]Sheet1!$Q:$S))</f>
        <v/>
      </c>
      <c r="T372" s="15" t="str">
        <f>IF(Sheet2!F372="","",Sheet2!F372&amp;"""")</f>
        <v/>
      </c>
      <c r="U372" s="12" t="str" cm="1">
        <f t="array" ref="U372">IF(T372="","",_xlfn.XLOOKUP(G372,[1]Sheet1!$G:$G,[1]Sheet1!$U:$W))</f>
        <v/>
      </c>
      <c r="X372" s="15" t="str">
        <f>IF(Sheet2!G372="","",Sheet2!G372&amp;"''")</f>
        <v/>
      </c>
    </row>
    <row r="373" spans="7:24" x14ac:dyDescent="0.25">
      <c r="G373" s="15" t="str">
        <f>IF(Sheet2!A373="","",Sheet2!A373)</f>
        <v/>
      </c>
      <c r="H373" s="18" t="str">
        <f>IF(Sheet2!O373="","",LEFT(Sheet2!O373, FIND(" ", Sheet2!O373)-1))</f>
        <v/>
      </c>
      <c r="I373" s="15" t="str">
        <f>IF(Sheet2!S373&lt;19,ROUND(Sheet2!I373,2)&amp;"'",IF(Sheet2!S373&lt;25,ROUND(Sheet2!J373,2)&amp;"'",IF(Sheet2!S373&lt;31,ROUND(Sheet2!K373,2)&amp;"'",IF(Sheet2!S373&lt;37,ROUND(Sheet2!L373,2)&amp;"'",""))))</f>
        <v/>
      </c>
      <c r="L373" s="15" t="str">
        <f>IF(Sheet2!D373="","",Sheet2!D373&amp;"''")</f>
        <v/>
      </c>
      <c r="O373" s="16" t="str">
        <f>IF(Sheet2!H373="","",ROUND(Sheet2!H373,2)&amp;"'")</f>
        <v/>
      </c>
      <c r="P373" s="18" t="str">
        <f>IF(Sheet2!E373="","",Sheet2!E373&amp;"''")</f>
        <v/>
      </c>
      <c r="Q373" s="12" t="str" cm="1">
        <f t="array" ref="Q373">IF(P373="","",_xlfn.XLOOKUP(G373,[1]Sheet1!$G:$G,[1]Sheet1!$Q:$S))</f>
        <v/>
      </c>
      <c r="T373" s="15" t="str">
        <f>IF(Sheet2!F373="","",Sheet2!F373&amp;"""")</f>
        <v/>
      </c>
      <c r="U373" s="12" t="str" cm="1">
        <f t="array" ref="U373">IF(T373="","",_xlfn.XLOOKUP(G373,[1]Sheet1!$G:$G,[1]Sheet1!$U:$W))</f>
        <v/>
      </c>
      <c r="X373" s="15" t="str">
        <f>IF(Sheet2!G373="","",Sheet2!G373&amp;"''")</f>
        <v/>
      </c>
    </row>
    <row r="374" spans="7:24" x14ac:dyDescent="0.25">
      <c r="G374" s="15" t="str">
        <f>IF(Sheet2!A374="","",Sheet2!A374)</f>
        <v/>
      </c>
      <c r="H374" s="18" t="str">
        <f>IF(Sheet2!O374="","",LEFT(Sheet2!O374, FIND(" ", Sheet2!O374)-1))</f>
        <v/>
      </c>
      <c r="I374" s="15" t="str">
        <f>IF(Sheet2!S374&lt;19,ROUND(Sheet2!I374,2)&amp;"'",IF(Sheet2!S374&lt;25,ROUND(Sheet2!J374,2)&amp;"'",IF(Sheet2!S374&lt;31,ROUND(Sheet2!K374,2)&amp;"'",IF(Sheet2!S374&lt;37,ROUND(Sheet2!L374,2)&amp;"'",""))))</f>
        <v/>
      </c>
      <c r="L374" s="15" t="str">
        <f>IF(Sheet2!D374="","",Sheet2!D374&amp;"''")</f>
        <v/>
      </c>
      <c r="O374" s="16" t="str">
        <f>IF(Sheet2!H374="","",ROUND(Sheet2!H374,2)&amp;"'")</f>
        <v/>
      </c>
      <c r="P374" s="18" t="str">
        <f>IF(Sheet2!E374="","",Sheet2!E374&amp;"''")</f>
        <v/>
      </c>
      <c r="Q374" s="12" t="str" cm="1">
        <f t="array" ref="Q374">IF(P374="","",_xlfn.XLOOKUP(G374,[1]Sheet1!$G:$G,[1]Sheet1!$Q:$S))</f>
        <v/>
      </c>
      <c r="T374" s="15" t="str">
        <f>IF(Sheet2!F374="","",Sheet2!F374&amp;"""")</f>
        <v/>
      </c>
      <c r="U374" s="12" t="str" cm="1">
        <f t="array" ref="U374">IF(T374="","",_xlfn.XLOOKUP(G374,[1]Sheet1!$G:$G,[1]Sheet1!$U:$W))</f>
        <v/>
      </c>
      <c r="X374" s="15" t="str">
        <f>IF(Sheet2!G374="","",Sheet2!G374&amp;"''")</f>
        <v/>
      </c>
    </row>
    <row r="375" spans="7:24" x14ac:dyDescent="0.25">
      <c r="G375" s="15" t="str">
        <f>IF(Sheet2!A375="","",Sheet2!A375)</f>
        <v/>
      </c>
      <c r="H375" s="18" t="str">
        <f>IF(Sheet2!O375="","",LEFT(Sheet2!O375, FIND(" ", Sheet2!O375)-1))</f>
        <v/>
      </c>
      <c r="I375" s="15" t="str">
        <f>IF(Sheet2!S375&lt;19,ROUND(Sheet2!I375,2)&amp;"'",IF(Sheet2!S375&lt;25,ROUND(Sheet2!J375,2)&amp;"'",IF(Sheet2!S375&lt;31,ROUND(Sheet2!K375,2)&amp;"'",IF(Sheet2!S375&lt;37,ROUND(Sheet2!L375,2)&amp;"'",""))))</f>
        <v/>
      </c>
      <c r="L375" s="15" t="str">
        <f>IF(Sheet2!D375="","",Sheet2!D375&amp;"''")</f>
        <v/>
      </c>
      <c r="O375" s="16" t="str">
        <f>IF(Sheet2!H375="","",ROUND(Sheet2!H375,2)&amp;"'")</f>
        <v/>
      </c>
      <c r="P375" s="18" t="str">
        <f>IF(Sheet2!E375="","",Sheet2!E375&amp;"''")</f>
        <v/>
      </c>
      <c r="Q375" s="12" t="str" cm="1">
        <f t="array" ref="Q375">IF(P375="","",_xlfn.XLOOKUP(G375,[1]Sheet1!$G:$G,[1]Sheet1!$Q:$S))</f>
        <v/>
      </c>
      <c r="T375" s="15" t="str">
        <f>IF(Sheet2!F375="","",Sheet2!F375&amp;"""")</f>
        <v/>
      </c>
      <c r="U375" s="12" t="str" cm="1">
        <f t="array" ref="U375">IF(T375="","",_xlfn.XLOOKUP(G375,[1]Sheet1!$G:$G,[1]Sheet1!$U:$W))</f>
        <v/>
      </c>
      <c r="X375" s="15" t="str">
        <f>IF(Sheet2!G375="","",Sheet2!G375&amp;"''")</f>
        <v/>
      </c>
    </row>
    <row r="376" spans="7:24" x14ac:dyDescent="0.25">
      <c r="G376" s="15" t="str">
        <f>IF(Sheet2!A376="","",Sheet2!A376)</f>
        <v/>
      </c>
      <c r="H376" s="18" t="str">
        <f>IF(Sheet2!O376="","",LEFT(Sheet2!O376, FIND(" ", Sheet2!O376)-1))</f>
        <v/>
      </c>
      <c r="I376" s="15" t="str">
        <f>IF(Sheet2!S376&lt;19,ROUND(Sheet2!I376,2)&amp;"'",IF(Sheet2!S376&lt;25,ROUND(Sheet2!J376,2)&amp;"'",IF(Sheet2!S376&lt;31,ROUND(Sheet2!K376,2)&amp;"'",IF(Sheet2!S376&lt;37,ROUND(Sheet2!L376,2)&amp;"'",""))))</f>
        <v/>
      </c>
      <c r="L376" s="15" t="str">
        <f>IF(Sheet2!D376="","",Sheet2!D376&amp;"''")</f>
        <v/>
      </c>
      <c r="O376" s="16" t="str">
        <f>IF(Sheet2!H376="","",ROUND(Sheet2!H376,2)&amp;"'")</f>
        <v/>
      </c>
      <c r="P376" s="18" t="str">
        <f>IF(Sheet2!E376="","",Sheet2!E376&amp;"''")</f>
        <v/>
      </c>
      <c r="Q376" s="12" t="str" cm="1">
        <f t="array" ref="Q376">IF(P376="","",_xlfn.XLOOKUP(G376,[1]Sheet1!$G:$G,[1]Sheet1!$Q:$S))</f>
        <v/>
      </c>
      <c r="T376" s="15" t="str">
        <f>IF(Sheet2!F376="","",Sheet2!F376&amp;"""")</f>
        <v/>
      </c>
      <c r="U376" s="12" t="str" cm="1">
        <f t="array" ref="U376">IF(T376="","",_xlfn.XLOOKUP(G376,[1]Sheet1!$G:$G,[1]Sheet1!$U:$W))</f>
        <v/>
      </c>
      <c r="X376" s="15" t="str">
        <f>IF(Sheet2!G376="","",Sheet2!G376&amp;"''")</f>
        <v/>
      </c>
    </row>
    <row r="377" spans="7:24" x14ac:dyDescent="0.25">
      <c r="G377" s="15" t="str">
        <f>IF(Sheet2!A377="","",Sheet2!A377)</f>
        <v/>
      </c>
      <c r="H377" s="18" t="str">
        <f>IF(Sheet2!O377="","",LEFT(Sheet2!O377, FIND(" ", Sheet2!O377)-1))</f>
        <v/>
      </c>
      <c r="I377" s="15" t="str">
        <f>IF(Sheet2!S377&lt;19,ROUND(Sheet2!I377,2)&amp;"'",IF(Sheet2!S377&lt;25,ROUND(Sheet2!J377,2)&amp;"'",IF(Sheet2!S377&lt;31,ROUND(Sheet2!K377,2)&amp;"'",IF(Sheet2!S377&lt;37,ROUND(Sheet2!L377,2)&amp;"'",""))))</f>
        <v/>
      </c>
      <c r="L377" s="15" t="str">
        <f>IF(Sheet2!D377="","",Sheet2!D377&amp;"''")</f>
        <v/>
      </c>
      <c r="O377" s="16" t="str">
        <f>IF(Sheet2!H377="","",ROUND(Sheet2!H377,2)&amp;"'")</f>
        <v/>
      </c>
      <c r="P377" s="18" t="str">
        <f>IF(Sheet2!E377="","",Sheet2!E377&amp;"''")</f>
        <v/>
      </c>
      <c r="Q377" s="12" t="str" cm="1">
        <f t="array" ref="Q377">IF(P377="","",_xlfn.XLOOKUP(G377,[1]Sheet1!$G:$G,[1]Sheet1!$Q:$S))</f>
        <v/>
      </c>
      <c r="T377" s="15" t="str">
        <f>IF(Sheet2!F377="","",Sheet2!F377&amp;"""")</f>
        <v/>
      </c>
      <c r="U377" s="12" t="str" cm="1">
        <f t="array" ref="U377">IF(T377="","",_xlfn.XLOOKUP(G377,[1]Sheet1!$G:$G,[1]Sheet1!$U:$W))</f>
        <v/>
      </c>
      <c r="X377" s="15" t="str">
        <f>IF(Sheet2!G377="","",Sheet2!G377&amp;"''")</f>
        <v/>
      </c>
    </row>
    <row r="378" spans="7:24" x14ac:dyDescent="0.25">
      <c r="G378" s="15" t="str">
        <f>IF(Sheet2!A378="","",Sheet2!A378)</f>
        <v/>
      </c>
      <c r="H378" s="18" t="str">
        <f>IF(Sheet2!O378="","",LEFT(Sheet2!O378, FIND(" ", Sheet2!O378)-1))</f>
        <v/>
      </c>
      <c r="I378" s="15" t="str">
        <f>IF(Sheet2!S378&lt;19,ROUND(Sheet2!I378,2)&amp;"'",IF(Sheet2!S378&lt;25,ROUND(Sheet2!J378,2)&amp;"'",IF(Sheet2!S378&lt;31,ROUND(Sheet2!K378,2)&amp;"'",IF(Sheet2!S378&lt;37,ROUND(Sheet2!L378,2)&amp;"'",""))))</f>
        <v/>
      </c>
      <c r="L378" s="15" t="str">
        <f>IF(Sheet2!D378="","",Sheet2!D378&amp;"''")</f>
        <v/>
      </c>
      <c r="O378" s="16" t="str">
        <f>IF(Sheet2!H378="","",ROUND(Sheet2!H378,2)&amp;"'")</f>
        <v/>
      </c>
      <c r="P378" s="18" t="str">
        <f>IF(Sheet2!E378="","",Sheet2!E378&amp;"''")</f>
        <v/>
      </c>
      <c r="Q378" s="12" t="str" cm="1">
        <f t="array" ref="Q378">IF(P378="","",_xlfn.XLOOKUP(G378,[1]Sheet1!$G:$G,[1]Sheet1!$Q:$S))</f>
        <v/>
      </c>
      <c r="T378" s="15" t="str">
        <f>IF(Sheet2!F378="","",Sheet2!F378&amp;"""")</f>
        <v/>
      </c>
      <c r="U378" s="12" t="str" cm="1">
        <f t="array" ref="U378">IF(T378="","",_xlfn.XLOOKUP(G378,[1]Sheet1!$G:$G,[1]Sheet1!$U:$W))</f>
        <v/>
      </c>
      <c r="X378" s="15" t="str">
        <f>IF(Sheet2!G378="","",Sheet2!G378&amp;"''")</f>
        <v/>
      </c>
    </row>
    <row r="379" spans="7:24" x14ac:dyDescent="0.25">
      <c r="G379" s="15" t="str">
        <f>IF(Sheet2!A379="","",Sheet2!A379)</f>
        <v/>
      </c>
      <c r="H379" s="18" t="str">
        <f>IF(Sheet2!O379="","",LEFT(Sheet2!O379, FIND(" ", Sheet2!O379)-1))</f>
        <v/>
      </c>
      <c r="I379" s="15" t="str">
        <f>IF(Sheet2!S379&lt;19,ROUND(Sheet2!I379,2)&amp;"'",IF(Sheet2!S379&lt;25,ROUND(Sheet2!J379,2)&amp;"'",IF(Sheet2!S379&lt;31,ROUND(Sheet2!K379,2)&amp;"'",IF(Sheet2!S379&lt;37,ROUND(Sheet2!L379,2)&amp;"'",""))))</f>
        <v/>
      </c>
      <c r="L379" s="15" t="str">
        <f>IF(Sheet2!D379="","",Sheet2!D379&amp;"''")</f>
        <v/>
      </c>
      <c r="O379" s="16" t="str">
        <f>IF(Sheet2!H379="","",ROUND(Sheet2!H379,2)&amp;"'")</f>
        <v/>
      </c>
      <c r="P379" s="18" t="str">
        <f>IF(Sheet2!E379="","",Sheet2!E379&amp;"''")</f>
        <v/>
      </c>
      <c r="Q379" s="12" t="str" cm="1">
        <f t="array" ref="Q379">IF(P379="","",_xlfn.XLOOKUP(G379,[1]Sheet1!$G:$G,[1]Sheet1!$Q:$S))</f>
        <v/>
      </c>
      <c r="T379" s="15" t="str">
        <f>IF(Sheet2!F379="","",Sheet2!F379&amp;"""")</f>
        <v/>
      </c>
      <c r="U379" s="12" t="str" cm="1">
        <f t="array" ref="U379">IF(T379="","",_xlfn.XLOOKUP(G379,[1]Sheet1!$G:$G,[1]Sheet1!$U:$W))</f>
        <v/>
      </c>
      <c r="X379" s="15" t="str">
        <f>IF(Sheet2!G379="","",Sheet2!G379&amp;"''")</f>
        <v/>
      </c>
    </row>
    <row r="380" spans="7:24" x14ac:dyDescent="0.25">
      <c r="G380" s="15" t="str">
        <f>IF(Sheet2!A380="","",Sheet2!A380)</f>
        <v/>
      </c>
      <c r="H380" s="18" t="str">
        <f>IF(Sheet2!O380="","",LEFT(Sheet2!O380, FIND(" ", Sheet2!O380)-1))</f>
        <v/>
      </c>
      <c r="I380" s="15" t="str">
        <f>IF(Sheet2!S380&lt;19,ROUND(Sheet2!I380,2)&amp;"'",IF(Sheet2!S380&lt;25,ROUND(Sheet2!J380,2)&amp;"'",IF(Sheet2!S380&lt;31,ROUND(Sheet2!K380,2)&amp;"'",IF(Sheet2!S380&lt;37,ROUND(Sheet2!L380,2)&amp;"'",""))))</f>
        <v/>
      </c>
      <c r="L380" s="15" t="str">
        <f>IF(Sheet2!D380="","",Sheet2!D380&amp;"''")</f>
        <v/>
      </c>
      <c r="O380" s="16" t="str">
        <f>IF(Sheet2!H380="","",ROUND(Sheet2!H380,2)&amp;"'")</f>
        <v/>
      </c>
      <c r="P380" s="18" t="str">
        <f>IF(Sheet2!E380="","",Sheet2!E380&amp;"''")</f>
        <v/>
      </c>
      <c r="Q380" s="12" t="str" cm="1">
        <f t="array" ref="Q380">IF(P380="","",_xlfn.XLOOKUP(G380,[1]Sheet1!$G:$G,[1]Sheet1!$Q:$S))</f>
        <v/>
      </c>
      <c r="T380" s="15" t="str">
        <f>IF(Sheet2!F380="","",Sheet2!F380&amp;"""")</f>
        <v/>
      </c>
      <c r="U380" s="12" t="str" cm="1">
        <f t="array" ref="U380">IF(T380="","",_xlfn.XLOOKUP(G380,[1]Sheet1!$G:$G,[1]Sheet1!$U:$W))</f>
        <v/>
      </c>
      <c r="X380" s="15" t="str">
        <f>IF(Sheet2!G380="","",Sheet2!G380&amp;"''")</f>
        <v/>
      </c>
    </row>
    <row r="381" spans="7:24" x14ac:dyDescent="0.25">
      <c r="G381" s="15" t="str">
        <f>IF(Sheet2!A381="","",Sheet2!A381)</f>
        <v/>
      </c>
      <c r="H381" s="18" t="str">
        <f>IF(Sheet2!O381="","",LEFT(Sheet2!O381, FIND(" ", Sheet2!O381)-1))</f>
        <v/>
      </c>
      <c r="I381" s="15" t="str">
        <f>IF(Sheet2!S381&lt;19,ROUND(Sheet2!I381,2)&amp;"'",IF(Sheet2!S381&lt;25,ROUND(Sheet2!J381,2)&amp;"'",IF(Sheet2!S381&lt;31,ROUND(Sheet2!K381,2)&amp;"'",IF(Sheet2!S381&lt;37,ROUND(Sheet2!L381,2)&amp;"'",""))))</f>
        <v/>
      </c>
      <c r="L381" s="15" t="str">
        <f>IF(Sheet2!D381="","",Sheet2!D381&amp;"''")</f>
        <v/>
      </c>
      <c r="O381" s="16" t="str">
        <f>IF(Sheet2!H381="","",ROUND(Sheet2!H381,2)&amp;"'")</f>
        <v/>
      </c>
      <c r="P381" s="18" t="str">
        <f>IF(Sheet2!E381="","",Sheet2!E381&amp;"''")</f>
        <v/>
      </c>
      <c r="Q381" s="12" t="str" cm="1">
        <f t="array" ref="Q381">IF(P381="","",_xlfn.XLOOKUP(G381,[1]Sheet1!$G:$G,[1]Sheet1!$Q:$S))</f>
        <v/>
      </c>
      <c r="T381" s="15" t="str">
        <f>IF(Sheet2!F381="","",Sheet2!F381&amp;"""")</f>
        <v/>
      </c>
      <c r="U381" s="12" t="str" cm="1">
        <f t="array" ref="U381">IF(T381="","",_xlfn.XLOOKUP(G381,[1]Sheet1!$G:$G,[1]Sheet1!$U:$W))</f>
        <v/>
      </c>
      <c r="X381" s="15" t="str">
        <f>IF(Sheet2!G381="","",Sheet2!G381&amp;"''")</f>
        <v/>
      </c>
    </row>
    <row r="382" spans="7:24" x14ac:dyDescent="0.25">
      <c r="G382" s="15" t="str">
        <f>IF(Sheet2!A382="","",Sheet2!A382)</f>
        <v/>
      </c>
      <c r="H382" s="18" t="str">
        <f>IF(Sheet2!O382="","",LEFT(Sheet2!O382, FIND(" ", Sheet2!O382)-1))</f>
        <v/>
      </c>
      <c r="I382" s="15" t="str">
        <f>IF(Sheet2!S382&lt;19,ROUND(Sheet2!I382,2)&amp;"'",IF(Sheet2!S382&lt;25,ROUND(Sheet2!J382,2)&amp;"'",IF(Sheet2!S382&lt;31,ROUND(Sheet2!K382,2)&amp;"'",IF(Sheet2!S382&lt;37,ROUND(Sheet2!L382,2)&amp;"'",""))))</f>
        <v/>
      </c>
      <c r="L382" s="15" t="str">
        <f>IF(Sheet2!D382="","",Sheet2!D382&amp;"''")</f>
        <v/>
      </c>
      <c r="O382" s="16" t="str">
        <f>IF(Sheet2!H382="","",ROUND(Sheet2!H382,2)&amp;"'")</f>
        <v/>
      </c>
      <c r="P382" s="18" t="str">
        <f>IF(Sheet2!E382="","",Sheet2!E382&amp;"''")</f>
        <v/>
      </c>
      <c r="Q382" s="12" t="str" cm="1">
        <f t="array" ref="Q382">IF(P382="","",_xlfn.XLOOKUP(G382,[1]Sheet1!$G:$G,[1]Sheet1!$Q:$S))</f>
        <v/>
      </c>
      <c r="T382" s="15" t="str">
        <f>IF(Sheet2!F382="","",Sheet2!F382&amp;"""")</f>
        <v/>
      </c>
      <c r="U382" s="12" t="str" cm="1">
        <f t="array" ref="U382">IF(T382="","",_xlfn.XLOOKUP(G382,[1]Sheet1!$G:$G,[1]Sheet1!$U:$W))</f>
        <v/>
      </c>
      <c r="X382" s="15" t="str">
        <f>IF(Sheet2!G382="","",Sheet2!G382&amp;"''")</f>
        <v/>
      </c>
    </row>
    <row r="383" spans="7:24" x14ac:dyDescent="0.25">
      <c r="G383" s="15" t="str">
        <f>IF(Sheet2!A383="","",Sheet2!A383)</f>
        <v/>
      </c>
      <c r="H383" s="18" t="str">
        <f>IF(Sheet2!O383="","",LEFT(Sheet2!O383, FIND(" ", Sheet2!O383)-1))</f>
        <v/>
      </c>
      <c r="I383" s="15" t="str">
        <f>IF(Sheet2!S383&lt;19,ROUND(Sheet2!I383,2)&amp;"'",IF(Sheet2!S383&lt;25,ROUND(Sheet2!J383,2)&amp;"'",IF(Sheet2!S383&lt;31,ROUND(Sheet2!K383,2)&amp;"'",IF(Sheet2!S383&lt;37,ROUND(Sheet2!L383,2)&amp;"'",""))))</f>
        <v/>
      </c>
      <c r="L383" s="15" t="str">
        <f>IF(Sheet2!D383="","",Sheet2!D383&amp;"''")</f>
        <v/>
      </c>
      <c r="O383" s="16" t="str">
        <f>IF(Sheet2!H383="","",ROUND(Sheet2!H383,2)&amp;"'")</f>
        <v/>
      </c>
      <c r="P383" s="18" t="str">
        <f>IF(Sheet2!E383="","",Sheet2!E383&amp;"''")</f>
        <v/>
      </c>
      <c r="Q383" s="12" t="str" cm="1">
        <f t="array" ref="Q383">IF(P383="","",_xlfn.XLOOKUP(G383,[1]Sheet1!$G:$G,[1]Sheet1!$Q:$S))</f>
        <v/>
      </c>
      <c r="T383" s="15" t="str">
        <f>IF(Sheet2!F383="","",Sheet2!F383&amp;"""")</f>
        <v/>
      </c>
      <c r="U383" s="12" t="str" cm="1">
        <f t="array" ref="U383">IF(T383="","",_xlfn.XLOOKUP(G383,[1]Sheet1!$G:$G,[1]Sheet1!$U:$W))</f>
        <v/>
      </c>
      <c r="X383" s="15" t="str">
        <f>IF(Sheet2!G383="","",Sheet2!G383&amp;"''")</f>
        <v/>
      </c>
    </row>
    <row r="384" spans="7:24" x14ac:dyDescent="0.25">
      <c r="G384" s="15" t="str">
        <f>IF(Sheet2!A384="","",Sheet2!A384)</f>
        <v/>
      </c>
      <c r="H384" s="18" t="str">
        <f>IF(Sheet2!O384="","",LEFT(Sheet2!O384, FIND(" ", Sheet2!O384)-1))</f>
        <v/>
      </c>
      <c r="I384" s="15" t="str">
        <f>IF(Sheet2!S384&lt;19,ROUND(Sheet2!I384,2)&amp;"'",IF(Sheet2!S384&lt;25,ROUND(Sheet2!J384,2)&amp;"'",IF(Sheet2!S384&lt;31,ROUND(Sheet2!K384,2)&amp;"'",IF(Sheet2!S384&lt;37,ROUND(Sheet2!L384,2)&amp;"'",""))))</f>
        <v/>
      </c>
      <c r="L384" s="15" t="str">
        <f>IF(Sheet2!D384="","",Sheet2!D384&amp;"''")</f>
        <v/>
      </c>
      <c r="O384" s="16" t="str">
        <f>IF(Sheet2!H384="","",ROUND(Sheet2!H384,2)&amp;"'")</f>
        <v/>
      </c>
      <c r="P384" s="18" t="str">
        <f>IF(Sheet2!E384="","",Sheet2!E384&amp;"''")</f>
        <v/>
      </c>
      <c r="Q384" s="12" t="str" cm="1">
        <f t="array" ref="Q384">IF(P384="","",_xlfn.XLOOKUP(G384,[1]Sheet1!$G:$G,[1]Sheet1!$Q:$S))</f>
        <v/>
      </c>
      <c r="T384" s="15" t="str">
        <f>IF(Sheet2!F384="","",Sheet2!F384&amp;"""")</f>
        <v/>
      </c>
      <c r="U384" s="12" t="str" cm="1">
        <f t="array" ref="U384">IF(T384="","",_xlfn.XLOOKUP(G384,[1]Sheet1!$G:$G,[1]Sheet1!$U:$W))</f>
        <v/>
      </c>
      <c r="X384" s="15" t="str">
        <f>IF(Sheet2!G384="","",Sheet2!G384&amp;"''")</f>
        <v/>
      </c>
    </row>
    <row r="385" spans="7:24" x14ac:dyDescent="0.25">
      <c r="G385" s="15" t="str">
        <f>IF(Sheet2!A385="","",Sheet2!A385)</f>
        <v/>
      </c>
      <c r="H385" s="18" t="str">
        <f>IF(Sheet2!O385="","",LEFT(Sheet2!O385, FIND(" ", Sheet2!O385)-1))</f>
        <v/>
      </c>
      <c r="I385" s="15" t="str">
        <f>IF(Sheet2!S385&lt;19,ROUND(Sheet2!I385,2)&amp;"'",IF(Sheet2!S385&lt;25,ROUND(Sheet2!J385,2)&amp;"'",IF(Sheet2!S385&lt;31,ROUND(Sheet2!K385,2)&amp;"'",IF(Sheet2!S385&lt;37,ROUND(Sheet2!L385,2)&amp;"'",""))))</f>
        <v/>
      </c>
      <c r="L385" s="15" t="str">
        <f>IF(Sheet2!D385="","",Sheet2!D385&amp;"''")</f>
        <v/>
      </c>
      <c r="O385" s="16" t="str">
        <f>IF(Sheet2!H385="","",ROUND(Sheet2!H385,2)&amp;"'")</f>
        <v/>
      </c>
      <c r="P385" s="18" t="str">
        <f>IF(Sheet2!E385="","",Sheet2!E385&amp;"''")</f>
        <v/>
      </c>
      <c r="Q385" s="12" t="str" cm="1">
        <f t="array" ref="Q385">IF(P385="","",_xlfn.XLOOKUP(G385,[1]Sheet1!$G:$G,[1]Sheet1!$Q:$S))</f>
        <v/>
      </c>
      <c r="T385" s="15" t="str">
        <f>IF(Sheet2!F385="","",Sheet2!F385&amp;"""")</f>
        <v/>
      </c>
      <c r="U385" s="12" t="str" cm="1">
        <f t="array" ref="U385">IF(T385="","",_xlfn.XLOOKUP(G385,[1]Sheet1!$G:$G,[1]Sheet1!$U:$W))</f>
        <v/>
      </c>
      <c r="X385" s="15" t="str">
        <f>IF(Sheet2!G385="","",Sheet2!G385&amp;"''")</f>
        <v/>
      </c>
    </row>
    <row r="386" spans="7:24" x14ac:dyDescent="0.25">
      <c r="G386" s="15" t="str">
        <f>IF(Sheet2!A386="","",Sheet2!A386)</f>
        <v/>
      </c>
      <c r="H386" s="18" t="str">
        <f>IF(Sheet2!O386="","",LEFT(Sheet2!O386, FIND(" ", Sheet2!O386)-1))</f>
        <v/>
      </c>
      <c r="I386" s="15" t="str">
        <f>IF(Sheet2!S386&lt;19,ROUND(Sheet2!I386,2)&amp;"'",IF(Sheet2!S386&lt;25,ROUND(Sheet2!J386,2)&amp;"'",IF(Sheet2!S386&lt;31,ROUND(Sheet2!K386,2)&amp;"'",IF(Sheet2!S386&lt;37,ROUND(Sheet2!L386,2)&amp;"'",""))))</f>
        <v/>
      </c>
      <c r="L386" s="15" t="str">
        <f>IF(Sheet2!D386="","",Sheet2!D386&amp;"''")</f>
        <v/>
      </c>
      <c r="O386" s="16" t="str">
        <f>IF(Sheet2!H386="","",ROUND(Sheet2!H386,2)&amp;"'")</f>
        <v/>
      </c>
      <c r="P386" s="18" t="str">
        <f>IF(Sheet2!E386="","",Sheet2!E386&amp;"''")</f>
        <v/>
      </c>
      <c r="Q386" s="12" t="str" cm="1">
        <f t="array" ref="Q386">IF(P386="","",_xlfn.XLOOKUP(G386,[1]Sheet1!$G:$G,[1]Sheet1!$Q:$S))</f>
        <v/>
      </c>
      <c r="T386" s="15" t="str">
        <f>IF(Sheet2!F386="","",Sheet2!F386&amp;"""")</f>
        <v/>
      </c>
      <c r="U386" s="12" t="str" cm="1">
        <f t="array" ref="U386">IF(T386="","",_xlfn.XLOOKUP(G386,[1]Sheet1!$G:$G,[1]Sheet1!$U:$W))</f>
        <v/>
      </c>
      <c r="X386" s="15" t="str">
        <f>IF(Sheet2!G386="","",Sheet2!G386&amp;"''")</f>
        <v/>
      </c>
    </row>
    <row r="387" spans="7:24" x14ac:dyDescent="0.25">
      <c r="G387" s="15" t="str">
        <f>IF(Sheet2!A387="","",Sheet2!A387)</f>
        <v/>
      </c>
      <c r="H387" s="18" t="str">
        <f>IF(Sheet2!O387="","",LEFT(Sheet2!O387, FIND(" ", Sheet2!O387)-1))</f>
        <v/>
      </c>
      <c r="I387" s="15" t="str">
        <f>IF(Sheet2!S387&lt;19,ROUND(Sheet2!I387,2)&amp;"'",IF(Sheet2!S387&lt;25,ROUND(Sheet2!J387,2)&amp;"'",IF(Sheet2!S387&lt;31,ROUND(Sheet2!K387,2)&amp;"'",IF(Sheet2!S387&lt;37,ROUND(Sheet2!L387,2)&amp;"'",""))))</f>
        <v/>
      </c>
      <c r="L387" s="15" t="str">
        <f>IF(Sheet2!D387="","",Sheet2!D387&amp;"''")</f>
        <v/>
      </c>
      <c r="O387" s="16" t="str">
        <f>IF(Sheet2!H387="","",ROUND(Sheet2!H387,2)&amp;"'")</f>
        <v/>
      </c>
      <c r="P387" s="18" t="str">
        <f>IF(Sheet2!E387="","",Sheet2!E387&amp;"''")</f>
        <v/>
      </c>
      <c r="Q387" s="12" t="str" cm="1">
        <f t="array" ref="Q387">IF(P387="","",_xlfn.XLOOKUP(G387,[1]Sheet1!$G:$G,[1]Sheet1!$Q:$S))</f>
        <v/>
      </c>
      <c r="T387" s="15" t="str">
        <f>IF(Sheet2!F387="","",Sheet2!F387&amp;"""")</f>
        <v/>
      </c>
      <c r="U387" s="12" t="str" cm="1">
        <f t="array" ref="U387">IF(T387="","",_xlfn.XLOOKUP(G387,[1]Sheet1!$G:$G,[1]Sheet1!$U:$W))</f>
        <v/>
      </c>
      <c r="X387" s="15" t="str">
        <f>IF(Sheet2!G387="","",Sheet2!G387&amp;"''")</f>
        <v/>
      </c>
    </row>
    <row r="388" spans="7:24" x14ac:dyDescent="0.25">
      <c r="G388" s="15" t="str">
        <f>IF(Sheet2!A388="","",Sheet2!A388)</f>
        <v/>
      </c>
      <c r="H388" s="18" t="str">
        <f>IF(Sheet2!O388="","",LEFT(Sheet2!O388, FIND(" ", Sheet2!O388)-1))</f>
        <v/>
      </c>
      <c r="I388" s="15" t="str">
        <f>IF(Sheet2!S388&lt;19,ROUND(Sheet2!I388,2)&amp;"'",IF(Sheet2!S388&lt;25,ROUND(Sheet2!J388,2)&amp;"'",IF(Sheet2!S388&lt;31,ROUND(Sheet2!K388,2)&amp;"'",IF(Sheet2!S388&lt;37,ROUND(Sheet2!L388,2)&amp;"'",""))))</f>
        <v/>
      </c>
      <c r="L388" s="15" t="str">
        <f>IF(Sheet2!D388="","",Sheet2!D388&amp;"''")</f>
        <v/>
      </c>
      <c r="O388" s="16" t="str">
        <f>IF(Sheet2!H388="","",ROUND(Sheet2!H388,2)&amp;"'")</f>
        <v/>
      </c>
      <c r="P388" s="18" t="str">
        <f>IF(Sheet2!E388="","",Sheet2!E388&amp;"''")</f>
        <v/>
      </c>
      <c r="Q388" s="12" t="str" cm="1">
        <f t="array" ref="Q388">IF(P388="","",_xlfn.XLOOKUP(G388,[1]Sheet1!$G:$G,[1]Sheet1!$Q:$S))</f>
        <v/>
      </c>
      <c r="T388" s="15" t="str">
        <f>IF(Sheet2!F388="","",Sheet2!F388&amp;"""")</f>
        <v/>
      </c>
      <c r="U388" s="12" t="str" cm="1">
        <f t="array" ref="U388">IF(T388="","",_xlfn.XLOOKUP(G388,[1]Sheet1!$G:$G,[1]Sheet1!$U:$W))</f>
        <v/>
      </c>
      <c r="X388" s="15" t="str">
        <f>IF(Sheet2!G388="","",Sheet2!G388&amp;"''")</f>
        <v/>
      </c>
    </row>
    <row r="389" spans="7:24" x14ac:dyDescent="0.25">
      <c r="G389" s="15" t="str">
        <f>IF(Sheet2!A389="","",Sheet2!A389)</f>
        <v/>
      </c>
      <c r="H389" s="18" t="str">
        <f>IF(Sheet2!O389="","",LEFT(Sheet2!O389, FIND(" ", Sheet2!O389)-1))</f>
        <v/>
      </c>
      <c r="I389" s="15" t="str">
        <f>IF(Sheet2!S389&lt;19,ROUND(Sheet2!I389,2)&amp;"'",IF(Sheet2!S389&lt;25,ROUND(Sheet2!J389,2)&amp;"'",IF(Sheet2!S389&lt;31,ROUND(Sheet2!K389,2)&amp;"'",IF(Sheet2!S389&lt;37,ROUND(Sheet2!L389,2)&amp;"'",""))))</f>
        <v/>
      </c>
      <c r="L389" s="15" t="str">
        <f>IF(Sheet2!D389="","",Sheet2!D389&amp;"''")</f>
        <v/>
      </c>
      <c r="O389" s="16" t="str">
        <f>IF(Sheet2!H389="","",ROUND(Sheet2!H389,2)&amp;"'")</f>
        <v/>
      </c>
      <c r="P389" s="18" t="str">
        <f>IF(Sheet2!E389="","",Sheet2!E389&amp;"''")</f>
        <v/>
      </c>
      <c r="Q389" s="12" t="str" cm="1">
        <f t="array" ref="Q389">IF(P389="","",_xlfn.XLOOKUP(G389,[1]Sheet1!$G:$G,[1]Sheet1!$Q:$S))</f>
        <v/>
      </c>
      <c r="T389" s="15" t="str">
        <f>IF(Sheet2!F389="","",Sheet2!F389&amp;"""")</f>
        <v/>
      </c>
      <c r="U389" s="12" t="str" cm="1">
        <f t="array" ref="U389">IF(T389="","",_xlfn.XLOOKUP(G389,[1]Sheet1!$G:$G,[1]Sheet1!$U:$W))</f>
        <v/>
      </c>
      <c r="X389" s="15" t="str">
        <f>IF(Sheet2!G389="","",Sheet2!G389&amp;"''")</f>
        <v/>
      </c>
    </row>
    <row r="390" spans="7:24" x14ac:dyDescent="0.25">
      <c r="G390" s="15" t="str">
        <f>IF(Sheet2!A390="","",Sheet2!A390)</f>
        <v/>
      </c>
      <c r="H390" s="18" t="str">
        <f>IF(Sheet2!O390="","",LEFT(Sheet2!O390, FIND(" ", Sheet2!O390)-1))</f>
        <v/>
      </c>
      <c r="I390" s="15" t="str">
        <f>IF(Sheet2!S390&lt;19,ROUND(Sheet2!I390,2)&amp;"'",IF(Sheet2!S390&lt;25,ROUND(Sheet2!J390,2)&amp;"'",IF(Sheet2!S390&lt;31,ROUND(Sheet2!K390,2)&amp;"'",IF(Sheet2!S390&lt;37,ROUND(Sheet2!L390,2)&amp;"'",""))))</f>
        <v/>
      </c>
      <c r="L390" s="15" t="str">
        <f>IF(Sheet2!D390="","",Sheet2!D390&amp;"''")</f>
        <v/>
      </c>
      <c r="O390" s="16" t="str">
        <f>IF(Sheet2!H390="","",ROUND(Sheet2!H390,2)&amp;"'")</f>
        <v/>
      </c>
      <c r="P390" s="18" t="str">
        <f>IF(Sheet2!E390="","",Sheet2!E390&amp;"''")</f>
        <v/>
      </c>
      <c r="Q390" s="12" t="str" cm="1">
        <f t="array" ref="Q390">IF(P390="","",_xlfn.XLOOKUP(G390,[1]Sheet1!$G:$G,[1]Sheet1!$Q:$S))</f>
        <v/>
      </c>
      <c r="T390" s="15" t="str">
        <f>IF(Sheet2!F390="","",Sheet2!F390&amp;"""")</f>
        <v/>
      </c>
      <c r="U390" s="12" t="str" cm="1">
        <f t="array" ref="U390">IF(T390="","",_xlfn.XLOOKUP(G390,[1]Sheet1!$G:$G,[1]Sheet1!$U:$W))</f>
        <v/>
      </c>
      <c r="X390" s="15" t="str">
        <f>IF(Sheet2!G390="","",Sheet2!G390&amp;"''")</f>
        <v/>
      </c>
    </row>
    <row r="391" spans="7:24" x14ac:dyDescent="0.25">
      <c r="G391" s="15" t="str">
        <f>IF(Sheet2!A391="","",Sheet2!A391)</f>
        <v/>
      </c>
      <c r="H391" s="18" t="str">
        <f>IF(Sheet2!O391="","",LEFT(Sheet2!O391, FIND(" ", Sheet2!O391)-1))</f>
        <v/>
      </c>
      <c r="I391" s="15" t="str">
        <f>IF(Sheet2!S391&lt;19,ROUND(Sheet2!I391,2)&amp;"'",IF(Sheet2!S391&lt;25,ROUND(Sheet2!J391,2)&amp;"'",IF(Sheet2!S391&lt;31,ROUND(Sheet2!K391,2)&amp;"'",IF(Sheet2!S391&lt;37,ROUND(Sheet2!L391,2)&amp;"'",""))))</f>
        <v/>
      </c>
      <c r="L391" s="15" t="str">
        <f>IF(Sheet2!D391="","",Sheet2!D391&amp;"''")</f>
        <v/>
      </c>
      <c r="O391" s="16" t="str">
        <f>IF(Sheet2!H391="","",ROUND(Sheet2!H391,2)&amp;"'")</f>
        <v/>
      </c>
      <c r="P391" s="18" t="str">
        <f>IF(Sheet2!E391="","",Sheet2!E391&amp;"''")</f>
        <v/>
      </c>
      <c r="Q391" s="12" t="str" cm="1">
        <f t="array" ref="Q391">IF(P391="","",_xlfn.XLOOKUP(G391,[1]Sheet1!$G:$G,[1]Sheet1!$Q:$S))</f>
        <v/>
      </c>
      <c r="T391" s="15" t="str">
        <f>IF(Sheet2!F391="","",Sheet2!F391&amp;"""")</f>
        <v/>
      </c>
      <c r="U391" s="12" t="str" cm="1">
        <f t="array" ref="U391">IF(T391="","",_xlfn.XLOOKUP(G391,[1]Sheet1!$G:$G,[1]Sheet1!$U:$W))</f>
        <v/>
      </c>
      <c r="X391" s="15" t="str">
        <f>IF(Sheet2!G391="","",Sheet2!G391&amp;"''")</f>
        <v/>
      </c>
    </row>
    <row r="392" spans="7:24" x14ac:dyDescent="0.25">
      <c r="G392" s="15" t="str">
        <f>IF(Sheet2!A392="","",Sheet2!A392)</f>
        <v/>
      </c>
      <c r="H392" s="18" t="str">
        <f>IF(Sheet2!O392="","",LEFT(Sheet2!O392, FIND(" ", Sheet2!O392)-1))</f>
        <v/>
      </c>
      <c r="I392" s="15" t="str">
        <f>IF(Sheet2!S392&lt;19,ROUND(Sheet2!I392,2)&amp;"'",IF(Sheet2!S392&lt;25,ROUND(Sheet2!J392,2)&amp;"'",IF(Sheet2!S392&lt;31,ROUND(Sheet2!K392,2)&amp;"'",IF(Sheet2!S392&lt;37,ROUND(Sheet2!L392,2)&amp;"'",""))))</f>
        <v/>
      </c>
      <c r="L392" s="15" t="str">
        <f>IF(Sheet2!D392="","",Sheet2!D392&amp;"''")</f>
        <v/>
      </c>
      <c r="O392" s="16" t="str">
        <f>IF(Sheet2!H392="","",ROUND(Sheet2!H392,2)&amp;"'")</f>
        <v/>
      </c>
      <c r="P392" s="18" t="str">
        <f>IF(Sheet2!E392="","",Sheet2!E392&amp;"''")</f>
        <v/>
      </c>
      <c r="Q392" s="12" t="str" cm="1">
        <f t="array" ref="Q392">IF(P392="","",_xlfn.XLOOKUP(G392,[1]Sheet1!$G:$G,[1]Sheet1!$Q:$S))</f>
        <v/>
      </c>
      <c r="T392" s="15" t="str">
        <f>IF(Sheet2!F392="","",Sheet2!F392&amp;"""")</f>
        <v/>
      </c>
      <c r="U392" s="12" t="str" cm="1">
        <f t="array" ref="U392">IF(T392="","",_xlfn.XLOOKUP(G392,[1]Sheet1!$G:$G,[1]Sheet1!$U:$W))</f>
        <v/>
      </c>
      <c r="X392" s="15" t="str">
        <f>IF(Sheet2!G392="","",Sheet2!G392&amp;"''")</f>
        <v/>
      </c>
    </row>
    <row r="393" spans="7:24" x14ac:dyDescent="0.25">
      <c r="G393" s="15" t="str">
        <f>IF(Sheet2!A393="","",Sheet2!A393)</f>
        <v/>
      </c>
      <c r="H393" s="18" t="str">
        <f>IF(Sheet2!O393="","",LEFT(Sheet2!O393, FIND(" ", Sheet2!O393)-1))</f>
        <v/>
      </c>
      <c r="I393" s="15" t="str">
        <f>IF(Sheet2!S393&lt;19,ROUND(Sheet2!I393,2)&amp;"'",IF(Sheet2!S393&lt;25,ROUND(Sheet2!J393,2)&amp;"'",IF(Sheet2!S393&lt;31,ROUND(Sheet2!K393,2)&amp;"'",IF(Sheet2!S393&lt;37,ROUND(Sheet2!L393,2)&amp;"'",""))))</f>
        <v/>
      </c>
      <c r="L393" s="15" t="str">
        <f>IF(Sheet2!D393="","",Sheet2!D393&amp;"''")</f>
        <v/>
      </c>
      <c r="O393" s="16" t="str">
        <f>IF(Sheet2!H393="","",ROUND(Sheet2!H393,2)&amp;"'")</f>
        <v/>
      </c>
      <c r="P393" s="18" t="str">
        <f>IF(Sheet2!E393="","",Sheet2!E393&amp;"''")</f>
        <v/>
      </c>
      <c r="Q393" s="12" t="str" cm="1">
        <f t="array" ref="Q393">IF(P393="","",_xlfn.XLOOKUP(G393,[1]Sheet1!$G:$G,[1]Sheet1!$Q:$S))</f>
        <v/>
      </c>
      <c r="T393" s="15" t="str">
        <f>IF(Sheet2!F393="","",Sheet2!F393&amp;"""")</f>
        <v/>
      </c>
      <c r="U393" s="12" t="str" cm="1">
        <f t="array" ref="U393">IF(T393="","",_xlfn.XLOOKUP(G393,[1]Sheet1!$G:$G,[1]Sheet1!$U:$W))</f>
        <v/>
      </c>
      <c r="X393" s="15" t="str">
        <f>IF(Sheet2!G393="","",Sheet2!G393&amp;"''")</f>
        <v/>
      </c>
    </row>
    <row r="394" spans="7:24" x14ac:dyDescent="0.25">
      <c r="G394" s="15" t="str">
        <f>IF(Sheet2!A394="","",Sheet2!A394)</f>
        <v/>
      </c>
      <c r="H394" s="18" t="str">
        <f>IF(Sheet2!O394="","",LEFT(Sheet2!O394, FIND(" ", Sheet2!O394)-1))</f>
        <v/>
      </c>
      <c r="I394" s="15" t="str">
        <f>IF(Sheet2!S394&lt;19,ROUND(Sheet2!I394,2)&amp;"'",IF(Sheet2!S394&lt;25,ROUND(Sheet2!J394,2)&amp;"'",IF(Sheet2!S394&lt;31,ROUND(Sheet2!K394,2)&amp;"'",IF(Sheet2!S394&lt;37,ROUND(Sheet2!L394,2)&amp;"'",""))))</f>
        <v/>
      </c>
      <c r="L394" s="15" t="str">
        <f>IF(Sheet2!D394="","",Sheet2!D394&amp;"''")</f>
        <v/>
      </c>
      <c r="O394" s="16" t="str">
        <f>IF(Sheet2!H394="","",ROUND(Sheet2!H394,2)&amp;"'")</f>
        <v/>
      </c>
      <c r="P394" s="18" t="str">
        <f>IF(Sheet2!E394="","",Sheet2!E394&amp;"''")</f>
        <v/>
      </c>
      <c r="Q394" s="12" t="str" cm="1">
        <f t="array" ref="Q394">IF(P394="","",_xlfn.XLOOKUP(G394,[1]Sheet1!$G:$G,[1]Sheet1!$Q:$S))</f>
        <v/>
      </c>
      <c r="T394" s="15" t="str">
        <f>IF(Sheet2!F394="","",Sheet2!F394&amp;"""")</f>
        <v/>
      </c>
      <c r="U394" s="12" t="str" cm="1">
        <f t="array" ref="U394">IF(T394="","",_xlfn.XLOOKUP(G394,[1]Sheet1!$G:$G,[1]Sheet1!$U:$W))</f>
        <v/>
      </c>
      <c r="X394" s="15" t="str">
        <f>IF(Sheet2!G394="","",Sheet2!G394&amp;"''")</f>
        <v/>
      </c>
    </row>
    <row r="395" spans="7:24" x14ac:dyDescent="0.25">
      <c r="G395" s="15" t="str">
        <f>IF(Sheet2!A395="","",Sheet2!A395)</f>
        <v/>
      </c>
      <c r="H395" s="18" t="str">
        <f>IF(Sheet2!O395="","",LEFT(Sheet2!O395, FIND(" ", Sheet2!O395)-1))</f>
        <v/>
      </c>
      <c r="I395" s="15" t="str">
        <f>IF(Sheet2!S395&lt;19,ROUND(Sheet2!I395,2)&amp;"'",IF(Sheet2!S395&lt;25,ROUND(Sheet2!J395,2)&amp;"'",IF(Sheet2!S395&lt;31,ROUND(Sheet2!K395,2)&amp;"'",IF(Sheet2!S395&lt;37,ROUND(Sheet2!L395,2)&amp;"'",""))))</f>
        <v/>
      </c>
      <c r="L395" s="15" t="str">
        <f>IF(Sheet2!D395="","",Sheet2!D395&amp;"''")</f>
        <v/>
      </c>
      <c r="O395" s="16" t="str">
        <f>IF(Sheet2!H395="","",ROUND(Sheet2!H395,2)&amp;"'")</f>
        <v/>
      </c>
      <c r="P395" s="18" t="str">
        <f>IF(Sheet2!E395="","",Sheet2!E395&amp;"''")</f>
        <v/>
      </c>
      <c r="Q395" s="12" t="str" cm="1">
        <f t="array" ref="Q395">IF(P395="","",_xlfn.XLOOKUP(G395,[1]Sheet1!$G:$G,[1]Sheet1!$Q:$S))</f>
        <v/>
      </c>
      <c r="T395" s="15" t="str">
        <f>IF(Sheet2!F395="","",Sheet2!F395&amp;"""")</f>
        <v/>
      </c>
      <c r="U395" s="12" t="str" cm="1">
        <f t="array" ref="U395">IF(T395="","",_xlfn.XLOOKUP(G395,[1]Sheet1!$G:$G,[1]Sheet1!$U:$W))</f>
        <v/>
      </c>
      <c r="X395" s="15" t="str">
        <f>IF(Sheet2!G395="","",Sheet2!G395&amp;"''")</f>
        <v/>
      </c>
    </row>
    <row r="396" spans="7:24" x14ac:dyDescent="0.25">
      <c r="G396" s="15" t="str">
        <f>IF(Sheet2!A396="","",Sheet2!A396)</f>
        <v/>
      </c>
      <c r="H396" s="18" t="str">
        <f>IF(Sheet2!O396="","",LEFT(Sheet2!O396, FIND(" ", Sheet2!O396)-1))</f>
        <v/>
      </c>
      <c r="I396" s="15" t="str">
        <f>IF(Sheet2!S396&lt;19,ROUND(Sheet2!I396,2)&amp;"'",IF(Sheet2!S396&lt;25,ROUND(Sheet2!J396,2)&amp;"'",IF(Sheet2!S396&lt;31,ROUND(Sheet2!K396,2)&amp;"'",IF(Sheet2!S396&lt;37,ROUND(Sheet2!L396,2)&amp;"'",""))))</f>
        <v/>
      </c>
      <c r="L396" s="15" t="str">
        <f>IF(Sheet2!D396="","",Sheet2!D396&amp;"''")</f>
        <v/>
      </c>
      <c r="O396" s="16" t="str">
        <f>IF(Sheet2!H396="","",ROUND(Sheet2!H396,2)&amp;"'")</f>
        <v/>
      </c>
      <c r="P396" s="18" t="str">
        <f>IF(Sheet2!E396="","",Sheet2!E396&amp;"''")</f>
        <v/>
      </c>
      <c r="Q396" s="12" t="str" cm="1">
        <f t="array" ref="Q396">IF(P396="","",_xlfn.XLOOKUP(G396,[1]Sheet1!$G:$G,[1]Sheet1!$Q:$S))</f>
        <v/>
      </c>
      <c r="T396" s="15" t="str">
        <f>IF(Sheet2!F396="","",Sheet2!F396&amp;"""")</f>
        <v/>
      </c>
      <c r="U396" s="12" t="str" cm="1">
        <f t="array" ref="U396">IF(T396="","",_xlfn.XLOOKUP(G396,[1]Sheet1!$G:$G,[1]Sheet1!$U:$W))</f>
        <v/>
      </c>
      <c r="X396" s="15" t="str">
        <f>IF(Sheet2!G396="","",Sheet2!G396&amp;"''")</f>
        <v/>
      </c>
    </row>
    <row r="397" spans="7:24" x14ac:dyDescent="0.25">
      <c r="G397" s="15" t="str">
        <f>IF(Sheet2!A397="","",Sheet2!A397)</f>
        <v/>
      </c>
      <c r="H397" s="18" t="str">
        <f>IF(Sheet2!O397="","",LEFT(Sheet2!O397, FIND(" ", Sheet2!O397)-1))</f>
        <v/>
      </c>
      <c r="I397" s="15" t="str">
        <f>IF(Sheet2!S397&lt;19,ROUND(Sheet2!I397,2)&amp;"'",IF(Sheet2!S397&lt;25,ROUND(Sheet2!J397,2)&amp;"'",IF(Sheet2!S397&lt;31,ROUND(Sheet2!K397,2)&amp;"'",IF(Sheet2!S397&lt;37,ROUND(Sheet2!L397,2)&amp;"'",""))))</f>
        <v/>
      </c>
      <c r="L397" s="15" t="str">
        <f>IF(Sheet2!D397="","",Sheet2!D397&amp;"''")</f>
        <v/>
      </c>
      <c r="O397" s="16" t="str">
        <f>IF(Sheet2!H397="","",ROUND(Sheet2!H397,2)&amp;"'")</f>
        <v/>
      </c>
      <c r="P397" s="18" t="str">
        <f>IF(Sheet2!E397="","",Sheet2!E397&amp;"''")</f>
        <v/>
      </c>
      <c r="Q397" s="12" t="str" cm="1">
        <f t="array" ref="Q397">IF(P397="","",_xlfn.XLOOKUP(G397,[1]Sheet1!$G:$G,[1]Sheet1!$Q:$S))</f>
        <v/>
      </c>
      <c r="T397" s="15" t="str">
        <f>IF(Sheet2!F397="","",Sheet2!F397&amp;"""")</f>
        <v/>
      </c>
      <c r="U397" s="12" t="str" cm="1">
        <f t="array" ref="U397">IF(T397="","",_xlfn.XLOOKUP(G397,[1]Sheet1!$G:$G,[1]Sheet1!$U:$W))</f>
        <v/>
      </c>
      <c r="X397" s="15" t="str">
        <f>IF(Sheet2!G397="","",Sheet2!G397&amp;"''")</f>
        <v/>
      </c>
    </row>
    <row r="398" spans="7:24" x14ac:dyDescent="0.25">
      <c r="G398" s="15" t="str">
        <f>IF(Sheet2!A398="","",Sheet2!A398)</f>
        <v/>
      </c>
      <c r="H398" s="18" t="str">
        <f>IF(Sheet2!O398="","",LEFT(Sheet2!O398, FIND(" ", Sheet2!O398)-1))</f>
        <v/>
      </c>
      <c r="I398" s="15" t="str">
        <f>IF(Sheet2!S398&lt;19,ROUND(Sheet2!I398,2)&amp;"'",IF(Sheet2!S398&lt;25,ROUND(Sheet2!J398,2)&amp;"'",IF(Sheet2!S398&lt;31,ROUND(Sheet2!K398,2)&amp;"'",IF(Sheet2!S398&lt;37,ROUND(Sheet2!L398,2)&amp;"'",""))))</f>
        <v/>
      </c>
      <c r="L398" s="15" t="str">
        <f>IF(Sheet2!D398="","",Sheet2!D398&amp;"''")</f>
        <v/>
      </c>
      <c r="O398" s="16" t="str">
        <f>IF(Sheet2!H398="","",ROUND(Sheet2!H398,2)&amp;"'")</f>
        <v/>
      </c>
      <c r="P398" s="18" t="str">
        <f>IF(Sheet2!E398="","",Sheet2!E398&amp;"''")</f>
        <v/>
      </c>
      <c r="Q398" s="12" t="str" cm="1">
        <f t="array" ref="Q398">IF(P398="","",_xlfn.XLOOKUP(G398,[1]Sheet1!$G:$G,[1]Sheet1!$Q:$S))</f>
        <v/>
      </c>
      <c r="T398" s="15" t="str">
        <f>IF(Sheet2!F398="","",Sheet2!F398&amp;"""")</f>
        <v/>
      </c>
      <c r="U398" s="12" t="str" cm="1">
        <f t="array" ref="U398">IF(T398="","",_xlfn.XLOOKUP(G398,[1]Sheet1!$G:$G,[1]Sheet1!$U:$W))</f>
        <v/>
      </c>
      <c r="X398" s="15" t="str">
        <f>IF(Sheet2!G398="","",Sheet2!G398&amp;"''")</f>
        <v/>
      </c>
    </row>
    <row r="399" spans="7:24" x14ac:dyDescent="0.25">
      <c r="G399" s="15" t="str">
        <f>IF(Sheet2!A399="","",Sheet2!A399)</f>
        <v/>
      </c>
      <c r="H399" s="18" t="str">
        <f>IF(Sheet2!O399="","",LEFT(Sheet2!O399, FIND(" ", Sheet2!O399)-1))</f>
        <v/>
      </c>
      <c r="I399" s="15" t="str">
        <f>IF(Sheet2!S399&lt;19,ROUND(Sheet2!I399,2)&amp;"'",IF(Sheet2!S399&lt;25,ROUND(Sheet2!J399,2)&amp;"'",IF(Sheet2!S399&lt;31,ROUND(Sheet2!K399,2)&amp;"'",IF(Sheet2!S399&lt;37,ROUND(Sheet2!L399,2)&amp;"'",""))))</f>
        <v/>
      </c>
      <c r="L399" s="15" t="str">
        <f>IF(Sheet2!D399="","",Sheet2!D399&amp;"''")</f>
        <v/>
      </c>
      <c r="O399" s="16" t="str">
        <f>IF(Sheet2!H399="","",ROUND(Sheet2!H399,2)&amp;"'")</f>
        <v/>
      </c>
      <c r="P399" s="18" t="str">
        <f>IF(Sheet2!E399="","",Sheet2!E399&amp;"''")</f>
        <v/>
      </c>
      <c r="Q399" s="12" t="str" cm="1">
        <f t="array" ref="Q399">IF(P399="","",_xlfn.XLOOKUP(G399,[1]Sheet1!$G:$G,[1]Sheet1!$Q:$S))</f>
        <v/>
      </c>
      <c r="T399" s="15" t="str">
        <f>IF(Sheet2!F399="","",Sheet2!F399&amp;"""")</f>
        <v/>
      </c>
      <c r="U399" s="12" t="str" cm="1">
        <f t="array" ref="U399">IF(T399="","",_xlfn.XLOOKUP(G399,[1]Sheet1!$G:$G,[1]Sheet1!$U:$W))</f>
        <v/>
      </c>
      <c r="X399" s="15" t="str">
        <f>IF(Sheet2!G399="","",Sheet2!G399&amp;"''")</f>
        <v/>
      </c>
    </row>
    <row r="400" spans="7:24" x14ac:dyDescent="0.25">
      <c r="G400" s="15" t="str">
        <f>IF(Sheet2!A400="","",Sheet2!A400)</f>
        <v/>
      </c>
      <c r="H400" s="18" t="str">
        <f>IF(Sheet2!O400="","",LEFT(Sheet2!O400, FIND(" ", Sheet2!O400)-1))</f>
        <v/>
      </c>
      <c r="I400" s="15" t="str">
        <f>IF(Sheet2!S400&lt;19,ROUND(Sheet2!I400,2)&amp;"'",IF(Sheet2!S400&lt;25,ROUND(Sheet2!J400,2)&amp;"'",IF(Sheet2!S400&lt;31,ROUND(Sheet2!K400,2)&amp;"'",IF(Sheet2!S400&lt;37,ROUND(Sheet2!L400,2)&amp;"'",""))))</f>
        <v/>
      </c>
      <c r="L400" s="15" t="str">
        <f>IF(Sheet2!D400="","",Sheet2!D400&amp;"''")</f>
        <v/>
      </c>
      <c r="O400" s="16" t="str">
        <f>IF(Sheet2!H400="","",ROUND(Sheet2!H400,2)&amp;"'")</f>
        <v/>
      </c>
      <c r="P400" s="18" t="str">
        <f>IF(Sheet2!E400="","",Sheet2!E400&amp;"''")</f>
        <v/>
      </c>
      <c r="Q400" s="12" t="str" cm="1">
        <f t="array" ref="Q400">IF(P400="","",_xlfn.XLOOKUP(G400,[1]Sheet1!$G:$G,[1]Sheet1!$Q:$S))</f>
        <v/>
      </c>
      <c r="T400" s="15" t="str">
        <f>IF(Sheet2!F400="","",Sheet2!F400&amp;"""")</f>
        <v/>
      </c>
      <c r="U400" s="12" t="str" cm="1">
        <f t="array" ref="U400">IF(T400="","",_xlfn.XLOOKUP(G400,[1]Sheet1!$G:$G,[1]Sheet1!$U:$W))</f>
        <v/>
      </c>
      <c r="X400" s="15" t="str">
        <f>IF(Sheet2!G400="","",Sheet2!G400&amp;"''")</f>
        <v/>
      </c>
    </row>
    <row r="401" spans="12:12" x14ac:dyDescent="0.25">
      <c r="L401" s="15"/>
    </row>
    <row r="402" spans="12:12" x14ac:dyDescent="0.25">
      <c r="L402" s="15"/>
    </row>
    <row r="403" spans="12:12" x14ac:dyDescent="0.25">
      <c r="L403" s="15"/>
    </row>
    <row r="404" spans="12:12" x14ac:dyDescent="0.25">
      <c r="L404" s="15"/>
    </row>
    <row r="405" spans="12:12" x14ac:dyDescent="0.25">
      <c r="L405" s="15"/>
    </row>
    <row r="406" spans="12:12" x14ac:dyDescent="0.25">
      <c r="L406" s="15"/>
    </row>
    <row r="407" spans="12:12" x14ac:dyDescent="0.25">
      <c r="L407" s="15"/>
    </row>
    <row r="408" spans="12:12" x14ac:dyDescent="0.25">
      <c r="L408" s="15"/>
    </row>
    <row r="409" spans="12:12" x14ac:dyDescent="0.25">
      <c r="L409" s="15"/>
    </row>
    <row r="410" spans="12:12" x14ac:dyDescent="0.25">
      <c r="L410" s="15"/>
    </row>
    <row r="411" spans="12:12" x14ac:dyDescent="0.25">
      <c r="L411" s="15"/>
    </row>
    <row r="412" spans="12:12" x14ac:dyDescent="0.25">
      <c r="L412" s="15"/>
    </row>
    <row r="413" spans="12:12" x14ac:dyDescent="0.25">
      <c r="L413" s="15"/>
    </row>
    <row r="414" spans="12:12" x14ac:dyDescent="0.25">
      <c r="L414" s="15"/>
    </row>
    <row r="415" spans="12:12" x14ac:dyDescent="0.25">
      <c r="L415" s="15"/>
    </row>
    <row r="416" spans="12:12" x14ac:dyDescent="0.25">
      <c r="L416" s="15"/>
    </row>
    <row r="417" spans="12:12" x14ac:dyDescent="0.25">
      <c r="L417" s="15"/>
    </row>
    <row r="418" spans="12:12" x14ac:dyDescent="0.25">
      <c r="L418" s="15"/>
    </row>
    <row r="419" spans="12:12" x14ac:dyDescent="0.25">
      <c r="L419" s="15"/>
    </row>
    <row r="420" spans="12:12" x14ac:dyDescent="0.25">
      <c r="L420" s="15"/>
    </row>
    <row r="421" spans="12:12" x14ac:dyDescent="0.25">
      <c r="L421" s="15"/>
    </row>
    <row r="422" spans="12:12" x14ac:dyDescent="0.25">
      <c r="L422" s="15"/>
    </row>
    <row r="423" spans="12:12" x14ac:dyDescent="0.25">
      <c r="L423" s="15"/>
    </row>
    <row r="424" spans="12:12" x14ac:dyDescent="0.25">
      <c r="L424" s="15"/>
    </row>
    <row r="425" spans="12:12" x14ac:dyDescent="0.25">
      <c r="L425" s="15"/>
    </row>
    <row r="426" spans="12:12" x14ac:dyDescent="0.25">
      <c r="L426" s="15"/>
    </row>
    <row r="427" spans="12:12" x14ac:dyDescent="0.25">
      <c r="L427" s="15"/>
    </row>
    <row r="428" spans="12:12" x14ac:dyDescent="0.25">
      <c r="L428" s="15"/>
    </row>
    <row r="429" spans="12:12" x14ac:dyDescent="0.25">
      <c r="L429" s="15"/>
    </row>
    <row r="430" spans="12:12" x14ac:dyDescent="0.25">
      <c r="L430" s="15"/>
    </row>
    <row r="431" spans="12:12" x14ac:dyDescent="0.25">
      <c r="L431" s="15"/>
    </row>
    <row r="432" spans="12:12" x14ac:dyDescent="0.25">
      <c r="L432" s="15"/>
    </row>
    <row r="433" spans="12:12" x14ac:dyDescent="0.25">
      <c r="L433" s="15"/>
    </row>
    <row r="434" spans="12:12" x14ac:dyDescent="0.25">
      <c r="L434" s="15"/>
    </row>
    <row r="435" spans="12:12" x14ac:dyDescent="0.25">
      <c r="L435" s="15"/>
    </row>
    <row r="436" spans="12:12" x14ac:dyDescent="0.25">
      <c r="L436" s="15"/>
    </row>
    <row r="437" spans="12:12" x14ac:dyDescent="0.25">
      <c r="L437" s="15"/>
    </row>
    <row r="438" spans="12:12" x14ac:dyDescent="0.25">
      <c r="L438" s="15"/>
    </row>
    <row r="439" spans="12:12" x14ac:dyDescent="0.25">
      <c r="L439" s="15"/>
    </row>
    <row r="440" spans="12:12" x14ac:dyDescent="0.25">
      <c r="L440" s="15"/>
    </row>
    <row r="441" spans="12:12" x14ac:dyDescent="0.25">
      <c r="L441" s="15"/>
    </row>
    <row r="442" spans="12:12" x14ac:dyDescent="0.25">
      <c r="L442" s="15"/>
    </row>
    <row r="443" spans="12:12" x14ac:dyDescent="0.25">
      <c r="L443" s="15"/>
    </row>
    <row r="444" spans="12:12" x14ac:dyDescent="0.25">
      <c r="L444" s="15"/>
    </row>
    <row r="445" spans="12:12" x14ac:dyDescent="0.25">
      <c r="L445" s="15"/>
    </row>
    <row r="446" spans="12:12" x14ac:dyDescent="0.25">
      <c r="L446" s="15"/>
    </row>
    <row r="447" spans="12:12" x14ac:dyDescent="0.25">
      <c r="L447" s="15"/>
    </row>
    <row r="448" spans="12:12" x14ac:dyDescent="0.25">
      <c r="L448" s="15"/>
    </row>
    <row r="449" spans="12:12" x14ac:dyDescent="0.25">
      <c r="L449" s="15"/>
    </row>
    <row r="450" spans="12:12" x14ac:dyDescent="0.25">
      <c r="L450" s="15"/>
    </row>
    <row r="451" spans="12:12" x14ac:dyDescent="0.25">
      <c r="L451" s="15"/>
    </row>
    <row r="452" spans="12:12" x14ac:dyDescent="0.25">
      <c r="L452" s="15"/>
    </row>
    <row r="453" spans="12:12" x14ac:dyDescent="0.25">
      <c r="L453" s="15"/>
    </row>
    <row r="454" spans="12:12" x14ac:dyDescent="0.25">
      <c r="L454" s="15"/>
    </row>
    <row r="455" spans="12:12" x14ac:dyDescent="0.25">
      <c r="L455" s="15"/>
    </row>
    <row r="456" spans="12:12" x14ac:dyDescent="0.25">
      <c r="L456" s="15"/>
    </row>
    <row r="457" spans="12:12" x14ac:dyDescent="0.25">
      <c r="L457" s="15"/>
    </row>
    <row r="458" spans="12:12" x14ac:dyDescent="0.25">
      <c r="L458" s="15"/>
    </row>
    <row r="459" spans="12:12" x14ac:dyDescent="0.25">
      <c r="L459" s="15"/>
    </row>
    <row r="460" spans="12:12" x14ac:dyDescent="0.25">
      <c r="L460" s="15"/>
    </row>
    <row r="461" spans="12:12" x14ac:dyDescent="0.25">
      <c r="L461" s="15"/>
    </row>
    <row r="462" spans="12:12" x14ac:dyDescent="0.25">
      <c r="L462" s="15"/>
    </row>
    <row r="463" spans="12:12" x14ac:dyDescent="0.25">
      <c r="L463" s="15"/>
    </row>
    <row r="464" spans="12:12" x14ac:dyDescent="0.25">
      <c r="L464" s="15"/>
    </row>
    <row r="465" spans="12:12" x14ac:dyDescent="0.25">
      <c r="L465" s="15"/>
    </row>
    <row r="466" spans="12:12" x14ac:dyDescent="0.25">
      <c r="L466" s="15"/>
    </row>
    <row r="467" spans="12:12" x14ac:dyDescent="0.25">
      <c r="L467" s="15"/>
    </row>
    <row r="468" spans="12:12" x14ac:dyDescent="0.25">
      <c r="L468" s="15"/>
    </row>
    <row r="469" spans="12:12" x14ac:dyDescent="0.25">
      <c r="L469" s="15"/>
    </row>
    <row r="470" spans="12:12" x14ac:dyDescent="0.25">
      <c r="L470" s="15"/>
    </row>
    <row r="471" spans="12:12" x14ac:dyDescent="0.25">
      <c r="L471" s="15"/>
    </row>
    <row r="472" spans="12:12" x14ac:dyDescent="0.25">
      <c r="L472" s="15"/>
    </row>
    <row r="473" spans="12:12" x14ac:dyDescent="0.25">
      <c r="L473" s="15"/>
    </row>
    <row r="474" spans="12:12" x14ac:dyDescent="0.25">
      <c r="L474" s="15"/>
    </row>
    <row r="475" spans="12:12" x14ac:dyDescent="0.25">
      <c r="L475" s="15"/>
    </row>
    <row r="476" spans="12:12" x14ac:dyDescent="0.25">
      <c r="L476" s="15"/>
    </row>
    <row r="477" spans="12:12" x14ac:dyDescent="0.25">
      <c r="L477" s="15"/>
    </row>
    <row r="478" spans="12:12" x14ac:dyDescent="0.25">
      <c r="L478" s="15"/>
    </row>
    <row r="479" spans="12:12" x14ac:dyDescent="0.25">
      <c r="L479" s="15"/>
    </row>
    <row r="480" spans="12:12" x14ac:dyDescent="0.25">
      <c r="L480" s="15"/>
    </row>
    <row r="481" spans="12:12" x14ac:dyDescent="0.25">
      <c r="L481" s="15"/>
    </row>
    <row r="482" spans="12:12" x14ac:dyDescent="0.25">
      <c r="L482" s="15"/>
    </row>
    <row r="483" spans="12:12" x14ac:dyDescent="0.25">
      <c r="L483" s="15"/>
    </row>
    <row r="484" spans="12:12" x14ac:dyDescent="0.25">
      <c r="L484" s="15"/>
    </row>
    <row r="485" spans="12:12" x14ac:dyDescent="0.25">
      <c r="L485" s="15"/>
    </row>
    <row r="486" spans="12:12" x14ac:dyDescent="0.25">
      <c r="L486" s="15"/>
    </row>
    <row r="487" spans="12:12" x14ac:dyDescent="0.25">
      <c r="L487" s="15"/>
    </row>
    <row r="488" spans="12:12" x14ac:dyDescent="0.25">
      <c r="L488" s="15"/>
    </row>
    <row r="489" spans="12:12" x14ac:dyDescent="0.25">
      <c r="L489" s="15"/>
    </row>
    <row r="490" spans="12:12" x14ac:dyDescent="0.25">
      <c r="L490" s="15"/>
    </row>
    <row r="491" spans="12:12" x14ac:dyDescent="0.25">
      <c r="L491" s="15"/>
    </row>
    <row r="492" spans="12:12" x14ac:dyDescent="0.25">
      <c r="L492" s="15"/>
    </row>
    <row r="493" spans="12:12" x14ac:dyDescent="0.25">
      <c r="L493" s="15"/>
    </row>
    <row r="494" spans="12:12" x14ac:dyDescent="0.25">
      <c r="L494" s="15"/>
    </row>
    <row r="495" spans="12:12" x14ac:dyDescent="0.25">
      <c r="L495" s="15"/>
    </row>
    <row r="496" spans="12:12" x14ac:dyDescent="0.25">
      <c r="L496" s="15"/>
    </row>
    <row r="497" spans="12:12" x14ac:dyDescent="0.25">
      <c r="L497" s="15"/>
    </row>
    <row r="498" spans="12:12" x14ac:dyDescent="0.25">
      <c r="L498" s="15"/>
    </row>
    <row r="499" spans="12:12" x14ac:dyDescent="0.25">
      <c r="L499" s="15"/>
    </row>
    <row r="500" spans="12:12" x14ac:dyDescent="0.25">
      <c r="L500" s="15"/>
    </row>
    <row r="501" spans="12:12" x14ac:dyDescent="0.25">
      <c r="L501" s="15"/>
    </row>
    <row r="502" spans="12:12" x14ac:dyDescent="0.25">
      <c r="L502" s="15"/>
    </row>
    <row r="503" spans="12:12" x14ac:dyDescent="0.25">
      <c r="L503" s="15"/>
    </row>
    <row r="504" spans="12:12" x14ac:dyDescent="0.25">
      <c r="L504" s="15"/>
    </row>
    <row r="505" spans="12:12" x14ac:dyDescent="0.25">
      <c r="L505" s="15"/>
    </row>
    <row r="506" spans="12:12" x14ac:dyDescent="0.25">
      <c r="L506" s="15"/>
    </row>
    <row r="507" spans="12:12" x14ac:dyDescent="0.25">
      <c r="L507" s="15"/>
    </row>
    <row r="508" spans="12:12" x14ac:dyDescent="0.25">
      <c r="L508" s="15"/>
    </row>
    <row r="509" spans="12:12" x14ac:dyDescent="0.25">
      <c r="L509" s="15"/>
    </row>
    <row r="510" spans="12:12" x14ac:dyDescent="0.25">
      <c r="L510" s="15"/>
    </row>
    <row r="511" spans="12:12" x14ac:dyDescent="0.25">
      <c r="L511" s="15"/>
    </row>
    <row r="512" spans="12:12" x14ac:dyDescent="0.25">
      <c r="L512" s="15"/>
    </row>
    <row r="513" spans="12:12" x14ac:dyDescent="0.25">
      <c r="L513" s="15"/>
    </row>
    <row r="514" spans="12:12" x14ac:dyDescent="0.25">
      <c r="L514" s="15"/>
    </row>
    <row r="515" spans="12:12" x14ac:dyDescent="0.25">
      <c r="L515" s="15"/>
    </row>
    <row r="516" spans="12:12" x14ac:dyDescent="0.25">
      <c r="L516" s="15"/>
    </row>
    <row r="517" spans="12:12" x14ac:dyDescent="0.25">
      <c r="L517" s="15"/>
    </row>
    <row r="518" spans="12:12" x14ac:dyDescent="0.25">
      <c r="L518" s="15"/>
    </row>
    <row r="519" spans="12:12" x14ac:dyDescent="0.25">
      <c r="L519" s="15"/>
    </row>
    <row r="520" spans="12:12" x14ac:dyDescent="0.25">
      <c r="L520" s="15"/>
    </row>
    <row r="521" spans="12:12" x14ac:dyDescent="0.25">
      <c r="L521" s="15"/>
    </row>
    <row r="522" spans="12:12" x14ac:dyDescent="0.25">
      <c r="L522" s="15"/>
    </row>
    <row r="523" spans="12:12" x14ac:dyDescent="0.25">
      <c r="L523" s="15"/>
    </row>
    <row r="524" spans="12:12" x14ac:dyDescent="0.25">
      <c r="L524" s="15"/>
    </row>
    <row r="525" spans="12:12" x14ac:dyDescent="0.25">
      <c r="L525" s="15"/>
    </row>
    <row r="526" spans="12:12" x14ac:dyDescent="0.25">
      <c r="L526" s="15"/>
    </row>
    <row r="527" spans="12:12" x14ac:dyDescent="0.25">
      <c r="L527" s="15"/>
    </row>
    <row r="528" spans="12:12" x14ac:dyDescent="0.25">
      <c r="L528" s="15"/>
    </row>
    <row r="529" spans="12:12" x14ac:dyDescent="0.25">
      <c r="L529" s="15"/>
    </row>
    <row r="530" spans="12:12" x14ac:dyDescent="0.25">
      <c r="L530" s="15"/>
    </row>
    <row r="531" spans="12:12" x14ac:dyDescent="0.25">
      <c r="L531" s="15"/>
    </row>
    <row r="532" spans="12:12" x14ac:dyDescent="0.25">
      <c r="L532" s="15"/>
    </row>
    <row r="533" spans="12:12" x14ac:dyDescent="0.25">
      <c r="L533" s="15"/>
    </row>
    <row r="534" spans="12:12" x14ac:dyDescent="0.25">
      <c r="L534" s="15"/>
    </row>
    <row r="535" spans="12:12" x14ac:dyDescent="0.25">
      <c r="L535" s="15"/>
    </row>
    <row r="536" spans="12:12" x14ac:dyDescent="0.25">
      <c r="L536" s="15"/>
    </row>
    <row r="537" spans="12:12" x14ac:dyDescent="0.25">
      <c r="L537" s="15"/>
    </row>
    <row r="538" spans="12:12" x14ac:dyDescent="0.25">
      <c r="L538" s="15"/>
    </row>
    <row r="539" spans="12:12" x14ac:dyDescent="0.25">
      <c r="L539" s="15"/>
    </row>
    <row r="540" spans="12:12" x14ac:dyDescent="0.25">
      <c r="L540" s="15"/>
    </row>
    <row r="541" spans="12:12" x14ac:dyDescent="0.25">
      <c r="L541" s="15"/>
    </row>
    <row r="542" spans="12:12" x14ac:dyDescent="0.25">
      <c r="L542" s="15"/>
    </row>
    <row r="543" spans="12:12" x14ac:dyDescent="0.25">
      <c r="L543" s="15"/>
    </row>
    <row r="544" spans="12:12" x14ac:dyDescent="0.25">
      <c r="L544" s="15"/>
    </row>
    <row r="545" spans="12:12" x14ac:dyDescent="0.25">
      <c r="L545" s="15"/>
    </row>
    <row r="546" spans="12:12" x14ac:dyDescent="0.25">
      <c r="L546" s="15"/>
    </row>
    <row r="547" spans="12:12" x14ac:dyDescent="0.25">
      <c r="L547" s="15"/>
    </row>
    <row r="548" spans="12:12" x14ac:dyDescent="0.25">
      <c r="L548" s="15"/>
    </row>
    <row r="549" spans="12:12" x14ac:dyDescent="0.25">
      <c r="L549" s="15"/>
    </row>
    <row r="550" spans="12:12" x14ac:dyDescent="0.25">
      <c r="L550" s="15"/>
    </row>
    <row r="551" spans="12:12" x14ac:dyDescent="0.25">
      <c r="L551" s="15"/>
    </row>
    <row r="552" spans="12:12" x14ac:dyDescent="0.25">
      <c r="L552" s="15"/>
    </row>
    <row r="553" spans="12:12" x14ac:dyDescent="0.25">
      <c r="L553" s="15"/>
    </row>
    <row r="554" spans="12:12" x14ac:dyDescent="0.25">
      <c r="L554" s="15"/>
    </row>
    <row r="555" spans="12:12" x14ac:dyDescent="0.25">
      <c r="L555" s="15"/>
    </row>
    <row r="556" spans="12:12" x14ac:dyDescent="0.25">
      <c r="L556" s="15"/>
    </row>
    <row r="557" spans="12:12" x14ac:dyDescent="0.25">
      <c r="L557" s="15"/>
    </row>
    <row r="558" spans="12:12" x14ac:dyDescent="0.25">
      <c r="L558" s="15"/>
    </row>
    <row r="559" spans="12:12" x14ac:dyDescent="0.25">
      <c r="L559" s="15"/>
    </row>
    <row r="560" spans="12:12" x14ac:dyDescent="0.25">
      <c r="L560" s="15"/>
    </row>
    <row r="561" spans="12:12" x14ac:dyDescent="0.25">
      <c r="L561" s="15"/>
    </row>
    <row r="562" spans="12:12" x14ac:dyDescent="0.25">
      <c r="L562" s="15"/>
    </row>
    <row r="563" spans="12:12" x14ac:dyDescent="0.25">
      <c r="L563" s="15"/>
    </row>
    <row r="564" spans="12:12" x14ac:dyDescent="0.25">
      <c r="L564" s="15"/>
    </row>
    <row r="565" spans="12:12" x14ac:dyDescent="0.25">
      <c r="L565" s="15"/>
    </row>
    <row r="566" spans="12:12" x14ac:dyDescent="0.25">
      <c r="L566" s="15"/>
    </row>
    <row r="567" spans="12:12" x14ac:dyDescent="0.25">
      <c r="L567" s="15"/>
    </row>
    <row r="568" spans="12:12" x14ac:dyDescent="0.25">
      <c r="L568" s="15"/>
    </row>
    <row r="569" spans="12:12" x14ac:dyDescent="0.25">
      <c r="L569" s="15"/>
    </row>
    <row r="570" spans="12:12" x14ac:dyDescent="0.25">
      <c r="L570" s="15"/>
    </row>
    <row r="571" spans="12:12" x14ac:dyDescent="0.25">
      <c r="L571" s="15"/>
    </row>
    <row r="572" spans="12:12" x14ac:dyDescent="0.25">
      <c r="L572" s="15"/>
    </row>
    <row r="573" spans="12:12" x14ac:dyDescent="0.25">
      <c r="L573" s="15"/>
    </row>
    <row r="574" spans="12:12" x14ac:dyDescent="0.25">
      <c r="L574" s="15"/>
    </row>
    <row r="575" spans="12:12" x14ac:dyDescent="0.25">
      <c r="L575" s="15"/>
    </row>
    <row r="576" spans="12:12" x14ac:dyDescent="0.25">
      <c r="L576" s="15"/>
    </row>
    <row r="577" spans="12:12" x14ac:dyDescent="0.25">
      <c r="L577" s="15"/>
    </row>
    <row r="578" spans="12:12" x14ac:dyDescent="0.25">
      <c r="L578" s="15"/>
    </row>
    <row r="579" spans="12:12" x14ac:dyDescent="0.25">
      <c r="L579" s="15"/>
    </row>
    <row r="580" spans="12:12" x14ac:dyDescent="0.25">
      <c r="L580" s="15"/>
    </row>
    <row r="581" spans="12:12" x14ac:dyDescent="0.25">
      <c r="L581" s="15"/>
    </row>
    <row r="582" spans="12:12" x14ac:dyDescent="0.25">
      <c r="L582" s="15"/>
    </row>
    <row r="583" spans="12:12" x14ac:dyDescent="0.25">
      <c r="L583" s="15"/>
    </row>
    <row r="584" spans="12:12" x14ac:dyDescent="0.25">
      <c r="L584" s="15"/>
    </row>
    <row r="585" spans="12:12" x14ac:dyDescent="0.25">
      <c r="L585" s="15"/>
    </row>
    <row r="586" spans="12:12" x14ac:dyDescent="0.25">
      <c r="L586" s="15"/>
    </row>
    <row r="587" spans="12:12" x14ac:dyDescent="0.25">
      <c r="L587" s="15"/>
    </row>
    <row r="588" spans="12:12" x14ac:dyDescent="0.25">
      <c r="L588" s="15"/>
    </row>
    <row r="589" spans="12:12" x14ac:dyDescent="0.25">
      <c r="L589" s="15"/>
    </row>
    <row r="590" spans="12:12" x14ac:dyDescent="0.25">
      <c r="L590" s="15"/>
    </row>
    <row r="591" spans="12:12" x14ac:dyDescent="0.25">
      <c r="L591" s="15"/>
    </row>
    <row r="592" spans="12:12" x14ac:dyDescent="0.25">
      <c r="L592" s="15"/>
    </row>
    <row r="593" spans="12:12" x14ac:dyDescent="0.25">
      <c r="L593" s="15"/>
    </row>
    <row r="594" spans="12:12" x14ac:dyDescent="0.25">
      <c r="L594" s="15"/>
    </row>
    <row r="595" spans="12:12" x14ac:dyDescent="0.25">
      <c r="L595" s="15"/>
    </row>
    <row r="596" spans="12:12" x14ac:dyDescent="0.25">
      <c r="L596" s="15"/>
    </row>
    <row r="597" spans="12:12" x14ac:dyDescent="0.25">
      <c r="L597" s="15"/>
    </row>
    <row r="598" spans="12:12" x14ac:dyDescent="0.25">
      <c r="L598" s="15"/>
    </row>
    <row r="599" spans="12:12" x14ac:dyDescent="0.25">
      <c r="L599" s="15"/>
    </row>
    <row r="600" spans="12:12" x14ac:dyDescent="0.25">
      <c r="L600" s="15"/>
    </row>
    <row r="601" spans="12:12" x14ac:dyDescent="0.25">
      <c r="L601" s="15"/>
    </row>
    <row r="602" spans="12:12" x14ac:dyDescent="0.25">
      <c r="L602" s="15"/>
    </row>
    <row r="603" spans="12:12" x14ac:dyDescent="0.25">
      <c r="L603" s="15"/>
    </row>
    <row r="604" spans="12:12" x14ac:dyDescent="0.25">
      <c r="L604" s="15"/>
    </row>
    <row r="605" spans="12:12" x14ac:dyDescent="0.25">
      <c r="L605" s="15"/>
    </row>
    <row r="606" spans="12:12" x14ac:dyDescent="0.25">
      <c r="L606" s="15"/>
    </row>
    <row r="607" spans="12:12" x14ac:dyDescent="0.25">
      <c r="L607" s="15"/>
    </row>
    <row r="608" spans="12:12" x14ac:dyDescent="0.25">
      <c r="L608" s="15"/>
    </row>
    <row r="609" spans="12:12" x14ac:dyDescent="0.25">
      <c r="L609" s="15"/>
    </row>
    <row r="610" spans="12:12" x14ac:dyDescent="0.25">
      <c r="L610" s="15"/>
    </row>
    <row r="611" spans="12:12" x14ac:dyDescent="0.25">
      <c r="L611" s="15"/>
    </row>
    <row r="612" spans="12:12" x14ac:dyDescent="0.25">
      <c r="L612" s="15"/>
    </row>
    <row r="613" spans="12:12" x14ac:dyDescent="0.25">
      <c r="L613" s="15"/>
    </row>
    <row r="614" spans="12:12" x14ac:dyDescent="0.25">
      <c r="L614" s="15"/>
    </row>
    <row r="615" spans="12:12" x14ac:dyDescent="0.25">
      <c r="L615" s="15"/>
    </row>
    <row r="616" spans="12:12" x14ac:dyDescent="0.25">
      <c r="L616" s="15"/>
    </row>
    <row r="617" spans="12:12" x14ac:dyDescent="0.25">
      <c r="L617" s="15"/>
    </row>
    <row r="618" spans="12:12" x14ac:dyDescent="0.25">
      <c r="L618" s="15"/>
    </row>
    <row r="619" spans="12:12" x14ac:dyDescent="0.25">
      <c r="L619" s="15"/>
    </row>
    <row r="620" spans="12:12" x14ac:dyDescent="0.25">
      <c r="L620" s="15"/>
    </row>
    <row r="621" spans="12:12" x14ac:dyDescent="0.25">
      <c r="L621" s="15"/>
    </row>
    <row r="622" spans="12:12" x14ac:dyDescent="0.25">
      <c r="L622" s="15"/>
    </row>
    <row r="623" spans="12:12" x14ac:dyDescent="0.25">
      <c r="L623" s="15"/>
    </row>
    <row r="624" spans="12:12" x14ac:dyDescent="0.25">
      <c r="L624" s="15"/>
    </row>
    <row r="625" spans="12:12" x14ac:dyDescent="0.25">
      <c r="L625" s="15"/>
    </row>
    <row r="626" spans="12:12" x14ac:dyDescent="0.25">
      <c r="L626" s="15"/>
    </row>
    <row r="627" spans="12:12" x14ac:dyDescent="0.25">
      <c r="L627" s="15"/>
    </row>
    <row r="628" spans="12:12" x14ac:dyDescent="0.25">
      <c r="L628" s="15"/>
    </row>
    <row r="629" spans="12:12" x14ac:dyDescent="0.25">
      <c r="L629" s="15"/>
    </row>
    <row r="630" spans="12:12" x14ac:dyDescent="0.25">
      <c r="L630" s="15"/>
    </row>
    <row r="631" spans="12:12" x14ac:dyDescent="0.25">
      <c r="L631" s="15"/>
    </row>
    <row r="632" spans="12:12" x14ac:dyDescent="0.25">
      <c r="L632" s="15"/>
    </row>
    <row r="633" spans="12:12" x14ac:dyDescent="0.25">
      <c r="L633" s="15"/>
    </row>
    <row r="634" spans="12:12" x14ac:dyDescent="0.25">
      <c r="L634" s="15"/>
    </row>
    <row r="635" spans="12:12" x14ac:dyDescent="0.25">
      <c r="L635" s="15"/>
    </row>
    <row r="636" spans="12:12" x14ac:dyDescent="0.25">
      <c r="L636" s="15"/>
    </row>
    <row r="637" spans="12:12" x14ac:dyDescent="0.25">
      <c r="L637" s="15"/>
    </row>
    <row r="638" spans="12:12" x14ac:dyDescent="0.25">
      <c r="L638" s="15"/>
    </row>
    <row r="639" spans="12:12" x14ac:dyDescent="0.25">
      <c r="L639" s="15"/>
    </row>
    <row r="640" spans="12:12" x14ac:dyDescent="0.25">
      <c r="L640" s="15"/>
    </row>
    <row r="641" spans="12:12" x14ac:dyDescent="0.25">
      <c r="L641" s="15"/>
    </row>
    <row r="642" spans="12:12" x14ac:dyDescent="0.25">
      <c r="L642" s="15"/>
    </row>
    <row r="643" spans="12:12" x14ac:dyDescent="0.25">
      <c r="L643" s="15"/>
    </row>
    <row r="644" spans="12:12" x14ac:dyDescent="0.25">
      <c r="L644" s="15"/>
    </row>
    <row r="645" spans="12:12" x14ac:dyDescent="0.25">
      <c r="L645" s="15"/>
    </row>
    <row r="646" spans="12:12" x14ac:dyDescent="0.25">
      <c r="L646" s="15"/>
    </row>
    <row r="647" spans="12:12" x14ac:dyDescent="0.25">
      <c r="L647" s="15"/>
    </row>
    <row r="648" spans="12:12" x14ac:dyDescent="0.25">
      <c r="L648" s="15"/>
    </row>
    <row r="649" spans="12:12" x14ac:dyDescent="0.25">
      <c r="L649" s="15"/>
    </row>
    <row r="650" spans="12:12" x14ac:dyDescent="0.25">
      <c r="L650" s="15"/>
    </row>
    <row r="651" spans="12:12" x14ac:dyDescent="0.25">
      <c r="L651" s="15"/>
    </row>
    <row r="652" spans="12:12" x14ac:dyDescent="0.25">
      <c r="L652" s="15"/>
    </row>
    <row r="653" spans="12:12" x14ac:dyDescent="0.25">
      <c r="L653" s="15"/>
    </row>
    <row r="654" spans="12:12" x14ac:dyDescent="0.25">
      <c r="L654" s="15"/>
    </row>
    <row r="655" spans="12:12" x14ac:dyDescent="0.25">
      <c r="L655" s="15"/>
    </row>
    <row r="656" spans="12:12" x14ac:dyDescent="0.25">
      <c r="L656" s="15"/>
    </row>
    <row r="657" spans="12:12" x14ac:dyDescent="0.25">
      <c r="L657" s="15"/>
    </row>
    <row r="658" spans="12:12" x14ac:dyDescent="0.25">
      <c r="L658" s="15"/>
    </row>
    <row r="659" spans="12:12" x14ac:dyDescent="0.25">
      <c r="L659" s="15"/>
    </row>
    <row r="660" spans="12:12" x14ac:dyDescent="0.25">
      <c r="L660" s="15"/>
    </row>
    <row r="661" spans="12:12" x14ac:dyDescent="0.25">
      <c r="L661" s="15"/>
    </row>
    <row r="662" spans="12:12" x14ac:dyDescent="0.25">
      <c r="L662" s="15"/>
    </row>
    <row r="663" spans="12:12" x14ac:dyDescent="0.25">
      <c r="L663" s="15"/>
    </row>
    <row r="664" spans="12:12" x14ac:dyDescent="0.25">
      <c r="L664" s="15"/>
    </row>
    <row r="665" spans="12:12" x14ac:dyDescent="0.25">
      <c r="L665" s="15"/>
    </row>
    <row r="666" spans="12:12" x14ac:dyDescent="0.25">
      <c r="L666" s="15"/>
    </row>
    <row r="667" spans="12:12" x14ac:dyDescent="0.25">
      <c r="L667" s="15"/>
    </row>
    <row r="668" spans="12:12" x14ac:dyDescent="0.25">
      <c r="L668" s="15"/>
    </row>
    <row r="669" spans="12:12" x14ac:dyDescent="0.25">
      <c r="L669" s="15"/>
    </row>
    <row r="670" spans="12:12" x14ac:dyDescent="0.25">
      <c r="L670" s="15"/>
    </row>
    <row r="671" spans="12:12" x14ac:dyDescent="0.25">
      <c r="L671" s="15"/>
    </row>
    <row r="672" spans="12:12" x14ac:dyDescent="0.25">
      <c r="L672" s="15"/>
    </row>
    <row r="673" spans="12:12" x14ac:dyDescent="0.25">
      <c r="L673" s="15"/>
    </row>
    <row r="674" spans="12:12" x14ac:dyDescent="0.25">
      <c r="L674" s="15"/>
    </row>
    <row r="675" spans="12:12" x14ac:dyDescent="0.25">
      <c r="L675" s="15"/>
    </row>
    <row r="676" spans="12:12" x14ac:dyDescent="0.25">
      <c r="L676" s="15"/>
    </row>
    <row r="677" spans="12:12" x14ac:dyDescent="0.25">
      <c r="L677" s="15"/>
    </row>
    <row r="678" spans="12:12" x14ac:dyDescent="0.25">
      <c r="L678" s="15"/>
    </row>
    <row r="679" spans="12:12" x14ac:dyDescent="0.25">
      <c r="L679" s="15"/>
    </row>
    <row r="680" spans="12:12" x14ac:dyDescent="0.25">
      <c r="L680" s="15"/>
    </row>
    <row r="681" spans="12:12" x14ac:dyDescent="0.25">
      <c r="L681" s="15"/>
    </row>
    <row r="682" spans="12:12" x14ac:dyDescent="0.25">
      <c r="L682" s="15"/>
    </row>
    <row r="683" spans="12:12" x14ac:dyDescent="0.25">
      <c r="L683" s="15"/>
    </row>
    <row r="684" spans="12:12" x14ac:dyDescent="0.25">
      <c r="L684" s="15"/>
    </row>
    <row r="685" spans="12:12" x14ac:dyDescent="0.25">
      <c r="L685" s="15"/>
    </row>
    <row r="686" spans="12:12" x14ac:dyDescent="0.25">
      <c r="L686" s="15"/>
    </row>
    <row r="687" spans="12:12" x14ac:dyDescent="0.25">
      <c r="L687" s="15"/>
    </row>
    <row r="688" spans="12:12" x14ac:dyDescent="0.25">
      <c r="L688" s="15"/>
    </row>
    <row r="689" spans="12:12" x14ac:dyDescent="0.25">
      <c r="L689" s="15"/>
    </row>
    <row r="690" spans="12:12" x14ac:dyDescent="0.25">
      <c r="L690" s="15"/>
    </row>
    <row r="691" spans="12:12" x14ac:dyDescent="0.25">
      <c r="L691" s="15"/>
    </row>
    <row r="692" spans="12:12" x14ac:dyDescent="0.25">
      <c r="L692" s="15"/>
    </row>
    <row r="693" spans="12:12" x14ac:dyDescent="0.25">
      <c r="L693" s="15"/>
    </row>
    <row r="694" spans="12:12" x14ac:dyDescent="0.25">
      <c r="L694" s="15"/>
    </row>
    <row r="695" spans="12:12" x14ac:dyDescent="0.25">
      <c r="L695" s="15"/>
    </row>
    <row r="696" spans="12:12" x14ac:dyDescent="0.25">
      <c r="L696" s="15"/>
    </row>
    <row r="697" spans="12:12" x14ac:dyDescent="0.25">
      <c r="L697" s="15"/>
    </row>
    <row r="698" spans="12:12" x14ac:dyDescent="0.25">
      <c r="L698" s="15"/>
    </row>
    <row r="699" spans="12:12" x14ac:dyDescent="0.25">
      <c r="L699" s="15"/>
    </row>
    <row r="700" spans="12:12" x14ac:dyDescent="0.25">
      <c r="L700" s="15"/>
    </row>
    <row r="701" spans="12:12" x14ac:dyDescent="0.25">
      <c r="L701" s="15"/>
    </row>
    <row r="702" spans="12:12" x14ac:dyDescent="0.25">
      <c r="L702" s="15"/>
    </row>
    <row r="703" spans="12:12" x14ac:dyDescent="0.25">
      <c r="L703" s="15"/>
    </row>
    <row r="704" spans="12:12" x14ac:dyDescent="0.25">
      <c r="L704" s="15"/>
    </row>
    <row r="705" spans="12:12" x14ac:dyDescent="0.25">
      <c r="L705" s="15"/>
    </row>
    <row r="706" spans="12:12" x14ac:dyDescent="0.25">
      <c r="L706" s="15"/>
    </row>
    <row r="707" spans="12:12" x14ac:dyDescent="0.25">
      <c r="L707" s="15"/>
    </row>
    <row r="708" spans="12:12" x14ac:dyDescent="0.25">
      <c r="L708" s="15"/>
    </row>
    <row r="709" spans="12:12" x14ac:dyDescent="0.25">
      <c r="L709" s="15"/>
    </row>
    <row r="710" spans="12:12" x14ac:dyDescent="0.25">
      <c r="L710" s="15"/>
    </row>
    <row r="711" spans="12:12" x14ac:dyDescent="0.25">
      <c r="L711" s="15"/>
    </row>
    <row r="712" spans="12:12" x14ac:dyDescent="0.25">
      <c r="L712" s="15"/>
    </row>
    <row r="713" spans="12:12" x14ac:dyDescent="0.25">
      <c r="L713" s="15"/>
    </row>
    <row r="714" spans="12:12" x14ac:dyDescent="0.25">
      <c r="L714" s="15"/>
    </row>
    <row r="715" spans="12:12" x14ac:dyDescent="0.25">
      <c r="L715" s="15"/>
    </row>
    <row r="716" spans="12:12" x14ac:dyDescent="0.25">
      <c r="L716" s="15"/>
    </row>
    <row r="717" spans="12:12" x14ac:dyDescent="0.25">
      <c r="L717" s="15"/>
    </row>
    <row r="718" spans="12:12" x14ac:dyDescent="0.25">
      <c r="L718" s="15"/>
    </row>
    <row r="719" spans="12:12" x14ac:dyDescent="0.25">
      <c r="L719" s="15"/>
    </row>
    <row r="720" spans="12:12" x14ac:dyDescent="0.25">
      <c r="L720" s="15"/>
    </row>
    <row r="721" spans="12:12" x14ac:dyDescent="0.25">
      <c r="L721" s="15"/>
    </row>
    <row r="722" spans="12:12" x14ac:dyDescent="0.25">
      <c r="L722" s="15"/>
    </row>
    <row r="723" spans="12:12" x14ac:dyDescent="0.25">
      <c r="L723" s="15"/>
    </row>
    <row r="724" spans="12:12" x14ac:dyDescent="0.25">
      <c r="L724" s="15"/>
    </row>
    <row r="725" spans="12:12" x14ac:dyDescent="0.25">
      <c r="L725" s="15"/>
    </row>
    <row r="726" spans="12:12" x14ac:dyDescent="0.25">
      <c r="L726" s="15"/>
    </row>
    <row r="727" spans="12:12" x14ac:dyDescent="0.25">
      <c r="L727" s="15"/>
    </row>
    <row r="728" spans="12:12" x14ac:dyDescent="0.25">
      <c r="L728" s="15"/>
    </row>
    <row r="729" spans="12:12" x14ac:dyDescent="0.25">
      <c r="L729" s="15"/>
    </row>
    <row r="730" spans="12:12" x14ac:dyDescent="0.25">
      <c r="L730" s="15"/>
    </row>
    <row r="731" spans="12:12" x14ac:dyDescent="0.25">
      <c r="L731" s="15"/>
    </row>
    <row r="732" spans="12:12" x14ac:dyDescent="0.25">
      <c r="L732" s="15"/>
    </row>
    <row r="733" spans="12:12" x14ac:dyDescent="0.25">
      <c r="L733" s="15"/>
    </row>
    <row r="734" spans="12:12" x14ac:dyDescent="0.25">
      <c r="L734" s="15"/>
    </row>
    <row r="735" spans="12:12" x14ac:dyDescent="0.25">
      <c r="L735" s="15"/>
    </row>
    <row r="736" spans="12:12" x14ac:dyDescent="0.25">
      <c r="L736" s="15"/>
    </row>
    <row r="737" spans="12:12" x14ac:dyDescent="0.25">
      <c r="L737" s="15"/>
    </row>
    <row r="738" spans="12:12" x14ac:dyDescent="0.25">
      <c r="L738" s="15"/>
    </row>
    <row r="739" spans="12:12" x14ac:dyDescent="0.25">
      <c r="L739" s="15"/>
    </row>
    <row r="740" spans="12:12" x14ac:dyDescent="0.25">
      <c r="L740" s="15"/>
    </row>
    <row r="741" spans="12:12" x14ac:dyDescent="0.25">
      <c r="L741" s="15"/>
    </row>
    <row r="742" spans="12:12" x14ac:dyDescent="0.25">
      <c r="L742" s="15"/>
    </row>
    <row r="743" spans="12:12" x14ac:dyDescent="0.25">
      <c r="L743" s="15"/>
    </row>
    <row r="744" spans="12:12" x14ac:dyDescent="0.25">
      <c r="L744" s="15"/>
    </row>
    <row r="745" spans="12:12" x14ac:dyDescent="0.25">
      <c r="L745" s="15"/>
    </row>
    <row r="746" spans="12:12" x14ac:dyDescent="0.25">
      <c r="L746" s="15"/>
    </row>
    <row r="747" spans="12:12" x14ac:dyDescent="0.25">
      <c r="L747" s="15"/>
    </row>
    <row r="748" spans="12:12" x14ac:dyDescent="0.25">
      <c r="L748" s="15"/>
    </row>
    <row r="749" spans="12:12" x14ac:dyDescent="0.25">
      <c r="L749" s="15"/>
    </row>
    <row r="750" spans="12:12" x14ac:dyDescent="0.25">
      <c r="L750" s="15"/>
    </row>
    <row r="751" spans="12:12" x14ac:dyDescent="0.25">
      <c r="L751" s="15"/>
    </row>
    <row r="752" spans="12:12" x14ac:dyDescent="0.25">
      <c r="L752" s="15"/>
    </row>
    <row r="753" spans="12:12" x14ac:dyDescent="0.25">
      <c r="L753" s="15"/>
    </row>
    <row r="754" spans="12:12" x14ac:dyDescent="0.25">
      <c r="L754" s="15"/>
    </row>
    <row r="755" spans="12:12" x14ac:dyDescent="0.25">
      <c r="L755" s="15"/>
    </row>
    <row r="756" spans="12:12" x14ac:dyDescent="0.25">
      <c r="L756" s="15"/>
    </row>
    <row r="757" spans="12:12" x14ac:dyDescent="0.25">
      <c r="L757" s="15"/>
    </row>
    <row r="758" spans="12:12" x14ac:dyDescent="0.25">
      <c r="L758" s="15"/>
    </row>
    <row r="759" spans="12:12" x14ac:dyDescent="0.25">
      <c r="L759" s="15"/>
    </row>
    <row r="760" spans="12:12" x14ac:dyDescent="0.25">
      <c r="L760" s="15"/>
    </row>
    <row r="761" spans="12:12" x14ac:dyDescent="0.25">
      <c r="L761" s="15"/>
    </row>
    <row r="762" spans="12:12" x14ac:dyDescent="0.25">
      <c r="L762" s="15"/>
    </row>
    <row r="763" spans="12:12" x14ac:dyDescent="0.25">
      <c r="L763" s="15"/>
    </row>
    <row r="764" spans="12:12" x14ac:dyDescent="0.25">
      <c r="L764" s="15"/>
    </row>
    <row r="765" spans="12:12" x14ac:dyDescent="0.25">
      <c r="L765" s="15"/>
    </row>
    <row r="766" spans="12:12" x14ac:dyDescent="0.25">
      <c r="L766" s="15"/>
    </row>
    <row r="767" spans="12:12" x14ac:dyDescent="0.25">
      <c r="L767" s="15"/>
    </row>
    <row r="768" spans="12:12" x14ac:dyDescent="0.25">
      <c r="L768" s="15"/>
    </row>
    <row r="769" spans="12:12" x14ac:dyDescent="0.25">
      <c r="L769" s="15"/>
    </row>
    <row r="770" spans="12:12" x14ac:dyDescent="0.25">
      <c r="L770" s="15"/>
    </row>
    <row r="771" spans="12:12" x14ac:dyDescent="0.25">
      <c r="L771" s="15"/>
    </row>
    <row r="772" spans="12:12" x14ac:dyDescent="0.25">
      <c r="L772" s="15"/>
    </row>
    <row r="773" spans="12:12" x14ac:dyDescent="0.25">
      <c r="L773" s="15"/>
    </row>
    <row r="774" spans="12:12" x14ac:dyDescent="0.25">
      <c r="L774" s="15"/>
    </row>
    <row r="775" spans="12:12" x14ac:dyDescent="0.25">
      <c r="L775" s="15"/>
    </row>
    <row r="776" spans="12:12" x14ac:dyDescent="0.25">
      <c r="L776" s="15"/>
    </row>
    <row r="777" spans="12:12" x14ac:dyDescent="0.25">
      <c r="L777" s="15"/>
    </row>
    <row r="778" spans="12:12" x14ac:dyDescent="0.25">
      <c r="L778" s="15"/>
    </row>
    <row r="779" spans="12:12" x14ac:dyDescent="0.25">
      <c r="L779" s="15"/>
    </row>
    <row r="780" spans="12:12" x14ac:dyDescent="0.25">
      <c r="L780" s="15"/>
    </row>
    <row r="781" spans="12:12" x14ac:dyDescent="0.25">
      <c r="L781" s="15"/>
    </row>
    <row r="782" spans="12:12" x14ac:dyDescent="0.25">
      <c r="L782" s="15"/>
    </row>
    <row r="783" spans="12:12" x14ac:dyDescent="0.25">
      <c r="L783" s="15"/>
    </row>
    <row r="784" spans="12:12" x14ac:dyDescent="0.25">
      <c r="L784" s="15"/>
    </row>
    <row r="785" spans="12:12" x14ac:dyDescent="0.25">
      <c r="L785" s="15"/>
    </row>
    <row r="786" spans="12:12" x14ac:dyDescent="0.25">
      <c r="L786" s="15"/>
    </row>
    <row r="787" spans="12:12" x14ac:dyDescent="0.25">
      <c r="L787" s="15"/>
    </row>
    <row r="788" spans="12:12" x14ac:dyDescent="0.25">
      <c r="L788" s="15"/>
    </row>
    <row r="789" spans="12:12" x14ac:dyDescent="0.25">
      <c r="L789" s="15"/>
    </row>
    <row r="790" spans="12:12" x14ac:dyDescent="0.25">
      <c r="L790" s="15"/>
    </row>
    <row r="791" spans="12:12" x14ac:dyDescent="0.25">
      <c r="L791" s="15"/>
    </row>
    <row r="792" spans="12:12" x14ac:dyDescent="0.25">
      <c r="L792" s="15"/>
    </row>
    <row r="793" spans="12:12" x14ac:dyDescent="0.25">
      <c r="L793" s="15"/>
    </row>
    <row r="794" spans="12:12" x14ac:dyDescent="0.25">
      <c r="L794" s="15"/>
    </row>
    <row r="795" spans="12:12" x14ac:dyDescent="0.25">
      <c r="L795" s="15"/>
    </row>
    <row r="796" spans="12:12" x14ac:dyDescent="0.25">
      <c r="L796" s="15"/>
    </row>
    <row r="797" spans="12:12" x14ac:dyDescent="0.25">
      <c r="L797" s="15"/>
    </row>
    <row r="798" spans="12:12" x14ac:dyDescent="0.25">
      <c r="L798" s="15"/>
    </row>
    <row r="799" spans="12:12" x14ac:dyDescent="0.25">
      <c r="L799" s="15"/>
    </row>
    <row r="800" spans="12:12" x14ac:dyDescent="0.25">
      <c r="L800" s="15"/>
    </row>
    <row r="801" spans="12:12" x14ac:dyDescent="0.25">
      <c r="L801" s="15"/>
    </row>
    <row r="802" spans="12:12" x14ac:dyDescent="0.25">
      <c r="L802" s="15"/>
    </row>
    <row r="803" spans="12:12" x14ac:dyDescent="0.25">
      <c r="L803" s="15"/>
    </row>
    <row r="804" spans="12:12" x14ac:dyDescent="0.25">
      <c r="L804" s="15"/>
    </row>
    <row r="805" spans="12:12" x14ac:dyDescent="0.25">
      <c r="L805" s="15"/>
    </row>
    <row r="806" spans="12:12" x14ac:dyDescent="0.25">
      <c r="L806" s="15"/>
    </row>
    <row r="807" spans="12:12" x14ac:dyDescent="0.25">
      <c r="L807" s="15"/>
    </row>
    <row r="808" spans="12:12" x14ac:dyDescent="0.25">
      <c r="L808" s="15"/>
    </row>
    <row r="809" spans="12:12" x14ac:dyDescent="0.25">
      <c r="L809" s="15"/>
    </row>
    <row r="810" spans="12:12" x14ac:dyDescent="0.25">
      <c r="L810" s="15"/>
    </row>
    <row r="811" spans="12:12" x14ac:dyDescent="0.25">
      <c r="L811" s="15"/>
    </row>
    <row r="812" spans="12:12" x14ac:dyDescent="0.25">
      <c r="L812" s="15"/>
    </row>
    <row r="813" spans="12:12" x14ac:dyDescent="0.25">
      <c r="L813" s="15"/>
    </row>
    <row r="814" spans="12:12" x14ac:dyDescent="0.25">
      <c r="L814" s="15"/>
    </row>
    <row r="815" spans="12:12" x14ac:dyDescent="0.25">
      <c r="L815" s="15"/>
    </row>
    <row r="816" spans="12:12" x14ac:dyDescent="0.25">
      <c r="L816" s="15"/>
    </row>
    <row r="817" spans="12:12" x14ac:dyDescent="0.25">
      <c r="L817" s="15"/>
    </row>
    <row r="818" spans="12:12" x14ac:dyDescent="0.25">
      <c r="L818" s="15"/>
    </row>
    <row r="819" spans="12:12" x14ac:dyDescent="0.25">
      <c r="L819" s="15"/>
    </row>
    <row r="820" spans="12:12" x14ac:dyDescent="0.25">
      <c r="L820" s="15"/>
    </row>
    <row r="821" spans="12:12" x14ac:dyDescent="0.25">
      <c r="L821" s="15"/>
    </row>
    <row r="822" spans="12:12" x14ac:dyDescent="0.25">
      <c r="L822" s="15"/>
    </row>
    <row r="823" spans="12:12" x14ac:dyDescent="0.25">
      <c r="L823" s="15"/>
    </row>
    <row r="824" spans="12:12" x14ac:dyDescent="0.25">
      <c r="L824" s="15"/>
    </row>
    <row r="825" spans="12:12" x14ac:dyDescent="0.25">
      <c r="L825" s="15"/>
    </row>
    <row r="826" spans="12:12" x14ac:dyDescent="0.25">
      <c r="L826" s="15"/>
    </row>
    <row r="827" spans="12:12" x14ac:dyDescent="0.25">
      <c r="L827" s="15"/>
    </row>
    <row r="828" spans="12:12" x14ac:dyDescent="0.25">
      <c r="L828" s="15"/>
    </row>
    <row r="829" spans="12:12" x14ac:dyDescent="0.25">
      <c r="L829" s="15"/>
    </row>
    <row r="830" spans="12:12" x14ac:dyDescent="0.25">
      <c r="L830" s="15"/>
    </row>
    <row r="831" spans="12:12" x14ac:dyDescent="0.25">
      <c r="L831" s="15"/>
    </row>
    <row r="832" spans="12:12" x14ac:dyDescent="0.25">
      <c r="L832" s="15"/>
    </row>
    <row r="833" spans="12:12" x14ac:dyDescent="0.25">
      <c r="L833" s="15"/>
    </row>
    <row r="834" spans="12:12" x14ac:dyDescent="0.25">
      <c r="L834" s="15"/>
    </row>
    <row r="835" spans="12:12" x14ac:dyDescent="0.25">
      <c r="L835" s="15"/>
    </row>
    <row r="836" spans="12:12" x14ac:dyDescent="0.25">
      <c r="L836" s="15"/>
    </row>
    <row r="837" spans="12:12" x14ac:dyDescent="0.25">
      <c r="L837" s="15"/>
    </row>
    <row r="838" spans="12:12" x14ac:dyDescent="0.25">
      <c r="L838" s="15"/>
    </row>
    <row r="839" spans="12:12" x14ac:dyDescent="0.25">
      <c r="L839" s="15"/>
    </row>
    <row r="840" spans="12:12" x14ac:dyDescent="0.25">
      <c r="L840" s="15"/>
    </row>
    <row r="841" spans="12:12" x14ac:dyDescent="0.25">
      <c r="L841" s="15"/>
    </row>
    <row r="842" spans="12:12" x14ac:dyDescent="0.25">
      <c r="L842" s="15"/>
    </row>
    <row r="843" spans="12:12" x14ac:dyDescent="0.25">
      <c r="L843" s="15"/>
    </row>
    <row r="844" spans="12:12" x14ac:dyDescent="0.25">
      <c r="L844" s="15"/>
    </row>
    <row r="845" spans="12:12" x14ac:dyDescent="0.25">
      <c r="L845" s="15"/>
    </row>
    <row r="846" spans="12:12" x14ac:dyDescent="0.25">
      <c r="L846" s="15"/>
    </row>
    <row r="847" spans="12:12" x14ac:dyDescent="0.25">
      <c r="L847" s="15"/>
    </row>
    <row r="848" spans="12:12" x14ac:dyDescent="0.25">
      <c r="L848" s="15"/>
    </row>
    <row r="849" spans="12:12" x14ac:dyDescent="0.25">
      <c r="L849" s="15"/>
    </row>
    <row r="850" spans="12:12" x14ac:dyDescent="0.25">
      <c r="L850" s="15"/>
    </row>
    <row r="851" spans="12:12" x14ac:dyDescent="0.25">
      <c r="L851" s="15"/>
    </row>
    <row r="852" spans="12:12" x14ac:dyDescent="0.25">
      <c r="L852" s="15"/>
    </row>
    <row r="853" spans="12:12" x14ac:dyDescent="0.25">
      <c r="L853" s="15"/>
    </row>
    <row r="854" spans="12:12" x14ac:dyDescent="0.25">
      <c r="L854" s="15"/>
    </row>
    <row r="855" spans="12:12" x14ac:dyDescent="0.25">
      <c r="L855" s="15"/>
    </row>
    <row r="856" spans="12:12" x14ac:dyDescent="0.25">
      <c r="L856" s="15"/>
    </row>
    <row r="857" spans="12:12" x14ac:dyDescent="0.25">
      <c r="L857" s="15"/>
    </row>
    <row r="858" spans="12:12" x14ac:dyDescent="0.25">
      <c r="L858" s="15"/>
    </row>
    <row r="859" spans="12:12" x14ac:dyDescent="0.25">
      <c r="L859" s="15"/>
    </row>
    <row r="860" spans="12:12" x14ac:dyDescent="0.25">
      <c r="L860" s="15"/>
    </row>
    <row r="861" spans="12:12" x14ac:dyDescent="0.25">
      <c r="L861" s="15"/>
    </row>
    <row r="862" spans="12:12" x14ac:dyDescent="0.25">
      <c r="L862" s="15"/>
    </row>
    <row r="863" spans="12:12" x14ac:dyDescent="0.25">
      <c r="L863" s="15"/>
    </row>
    <row r="864" spans="12:12" x14ac:dyDescent="0.25">
      <c r="L864" s="15"/>
    </row>
    <row r="865" spans="12:12" x14ac:dyDescent="0.25">
      <c r="L865" s="15"/>
    </row>
    <row r="866" spans="12:12" x14ac:dyDescent="0.25">
      <c r="L866" s="15"/>
    </row>
    <row r="867" spans="12:12" x14ac:dyDescent="0.25">
      <c r="L867" s="15"/>
    </row>
    <row r="868" spans="12:12" x14ac:dyDescent="0.25">
      <c r="L868" s="15"/>
    </row>
    <row r="869" spans="12:12" x14ac:dyDescent="0.25">
      <c r="L869" s="15"/>
    </row>
    <row r="870" spans="12:12" x14ac:dyDescent="0.25">
      <c r="L870" s="15"/>
    </row>
    <row r="871" spans="12:12" x14ac:dyDescent="0.25">
      <c r="L871" s="15"/>
    </row>
    <row r="872" spans="12:12" x14ac:dyDescent="0.25">
      <c r="L872" s="15"/>
    </row>
    <row r="873" spans="12:12" x14ac:dyDescent="0.25">
      <c r="L873" s="15"/>
    </row>
    <row r="874" spans="12:12" x14ac:dyDescent="0.25">
      <c r="L874" s="15"/>
    </row>
    <row r="875" spans="12:12" x14ac:dyDescent="0.25">
      <c r="L875" s="15"/>
    </row>
    <row r="876" spans="12:12" x14ac:dyDescent="0.25">
      <c r="L876" s="15"/>
    </row>
    <row r="877" spans="12:12" x14ac:dyDescent="0.25">
      <c r="L877" s="15"/>
    </row>
    <row r="878" spans="12:12" x14ac:dyDescent="0.25">
      <c r="L878" s="15"/>
    </row>
    <row r="879" spans="12:12" x14ac:dyDescent="0.25">
      <c r="L879" s="15"/>
    </row>
    <row r="880" spans="12:12" x14ac:dyDescent="0.25">
      <c r="L880" s="15"/>
    </row>
    <row r="881" spans="12:12" x14ac:dyDescent="0.25">
      <c r="L881" s="15"/>
    </row>
    <row r="882" spans="12:12" x14ac:dyDescent="0.25">
      <c r="L882" s="15"/>
    </row>
    <row r="883" spans="12:12" x14ac:dyDescent="0.25">
      <c r="L883" s="15"/>
    </row>
    <row r="884" spans="12:12" x14ac:dyDescent="0.25">
      <c r="L884" s="15"/>
    </row>
    <row r="885" spans="12:12" x14ac:dyDescent="0.25">
      <c r="L885" s="15"/>
    </row>
    <row r="886" spans="12:12" x14ac:dyDescent="0.25">
      <c r="L886" s="15"/>
    </row>
    <row r="887" spans="12:12" x14ac:dyDescent="0.25">
      <c r="L887" s="15"/>
    </row>
    <row r="888" spans="12:12" x14ac:dyDescent="0.25">
      <c r="L888" s="15"/>
    </row>
    <row r="889" spans="12:12" x14ac:dyDescent="0.25">
      <c r="L889" s="15"/>
    </row>
    <row r="890" spans="12:12" x14ac:dyDescent="0.25">
      <c r="L890" s="15"/>
    </row>
    <row r="891" spans="12:12" x14ac:dyDescent="0.25">
      <c r="L891" s="15"/>
    </row>
    <row r="892" spans="12:12" x14ac:dyDescent="0.25">
      <c r="L892" s="15"/>
    </row>
    <row r="893" spans="12:12" x14ac:dyDescent="0.25">
      <c r="L893" s="15"/>
    </row>
    <row r="894" spans="12:12" x14ac:dyDescent="0.25">
      <c r="L894" s="15"/>
    </row>
    <row r="895" spans="12:12" x14ac:dyDescent="0.25">
      <c r="L895" s="15"/>
    </row>
    <row r="896" spans="12:12" x14ac:dyDescent="0.25">
      <c r="L896" s="15"/>
    </row>
    <row r="897" spans="12:12" x14ac:dyDescent="0.25">
      <c r="L897" s="15"/>
    </row>
    <row r="898" spans="12:12" x14ac:dyDescent="0.25">
      <c r="L898" s="15"/>
    </row>
    <row r="899" spans="12:12" x14ac:dyDescent="0.25">
      <c r="L899" s="15"/>
    </row>
    <row r="900" spans="12:12" x14ac:dyDescent="0.25">
      <c r="L900" s="15"/>
    </row>
    <row r="901" spans="12:12" x14ac:dyDescent="0.25">
      <c r="L901" s="15"/>
    </row>
    <row r="902" spans="12:12" x14ac:dyDescent="0.25">
      <c r="L902" s="15"/>
    </row>
    <row r="903" spans="12:12" x14ac:dyDescent="0.25">
      <c r="L903" s="15"/>
    </row>
    <row r="904" spans="12:12" x14ac:dyDescent="0.25">
      <c r="L904" s="15"/>
    </row>
    <row r="905" spans="12:12" x14ac:dyDescent="0.25">
      <c r="L905" s="15"/>
    </row>
    <row r="906" spans="12:12" x14ac:dyDescent="0.25">
      <c r="L906" s="15"/>
    </row>
    <row r="907" spans="12:12" x14ac:dyDescent="0.25">
      <c r="L907" s="15"/>
    </row>
    <row r="908" spans="12:12" x14ac:dyDescent="0.25">
      <c r="L908" s="15"/>
    </row>
    <row r="909" spans="12:12" x14ac:dyDescent="0.25">
      <c r="L909" s="15"/>
    </row>
    <row r="910" spans="12:12" x14ac:dyDescent="0.25">
      <c r="L910" s="15"/>
    </row>
    <row r="911" spans="12:12" x14ac:dyDescent="0.25">
      <c r="L911" s="15"/>
    </row>
    <row r="912" spans="12:12" x14ac:dyDescent="0.25">
      <c r="L912" s="15"/>
    </row>
    <row r="913" spans="12:12" x14ac:dyDescent="0.25">
      <c r="L913" s="15"/>
    </row>
    <row r="914" spans="12:12" x14ac:dyDescent="0.25">
      <c r="L914" s="15"/>
    </row>
    <row r="915" spans="12:12" x14ac:dyDescent="0.25">
      <c r="L915" s="15"/>
    </row>
    <row r="916" spans="12:12" x14ac:dyDescent="0.25">
      <c r="L916" s="15"/>
    </row>
    <row r="917" spans="12:12" x14ac:dyDescent="0.25">
      <c r="L917" s="15"/>
    </row>
    <row r="918" spans="12:12" x14ac:dyDescent="0.25">
      <c r="L918" s="15"/>
    </row>
    <row r="919" spans="12:12" x14ac:dyDescent="0.25">
      <c r="L919" s="15"/>
    </row>
    <row r="920" spans="12:12" x14ac:dyDescent="0.25">
      <c r="L920" s="15"/>
    </row>
    <row r="921" spans="12:12" x14ac:dyDescent="0.25">
      <c r="L921" s="15"/>
    </row>
    <row r="922" spans="12:12" x14ac:dyDescent="0.25">
      <c r="L922" s="15"/>
    </row>
    <row r="923" spans="12:12" x14ac:dyDescent="0.25">
      <c r="L923" s="15"/>
    </row>
    <row r="924" spans="12:12" x14ac:dyDescent="0.25">
      <c r="L924" s="15"/>
    </row>
    <row r="925" spans="12:12" x14ac:dyDescent="0.25">
      <c r="L925" s="15"/>
    </row>
    <row r="926" spans="12:12" x14ac:dyDescent="0.25">
      <c r="L926" s="15"/>
    </row>
    <row r="927" spans="12:12" x14ac:dyDescent="0.25">
      <c r="L927" s="15"/>
    </row>
    <row r="928" spans="12:12" x14ac:dyDescent="0.25">
      <c r="L928" s="15"/>
    </row>
    <row r="929" spans="12:12" x14ac:dyDescent="0.25">
      <c r="L929" s="15"/>
    </row>
    <row r="930" spans="12:12" x14ac:dyDescent="0.25">
      <c r="L930" s="15"/>
    </row>
    <row r="931" spans="12:12" x14ac:dyDescent="0.25">
      <c r="L931" s="15"/>
    </row>
    <row r="932" spans="12:12" x14ac:dyDescent="0.25">
      <c r="L932" s="15"/>
    </row>
    <row r="933" spans="12:12" x14ac:dyDescent="0.25">
      <c r="L933" s="15"/>
    </row>
    <row r="934" spans="12:12" x14ac:dyDescent="0.25">
      <c r="L934" s="15"/>
    </row>
    <row r="935" spans="12:12" x14ac:dyDescent="0.25">
      <c r="L935" s="15"/>
    </row>
    <row r="936" spans="12:12" x14ac:dyDescent="0.25">
      <c r="L936" s="15"/>
    </row>
    <row r="937" spans="12:12" x14ac:dyDescent="0.25">
      <c r="L937" s="15"/>
    </row>
    <row r="938" spans="12:12" x14ac:dyDescent="0.25">
      <c r="L938" s="15"/>
    </row>
    <row r="939" spans="12:12" x14ac:dyDescent="0.25">
      <c r="L939" s="15"/>
    </row>
    <row r="940" spans="12:12" x14ac:dyDescent="0.25">
      <c r="L940" s="15"/>
    </row>
    <row r="941" spans="12:12" x14ac:dyDescent="0.25">
      <c r="L941" s="15"/>
    </row>
    <row r="942" spans="12:12" x14ac:dyDescent="0.25">
      <c r="L942" s="15"/>
    </row>
    <row r="943" spans="12:12" x14ac:dyDescent="0.25">
      <c r="L943" s="15"/>
    </row>
    <row r="944" spans="12:12" x14ac:dyDescent="0.25">
      <c r="L944" s="15"/>
    </row>
    <row r="945" spans="12:12" x14ac:dyDescent="0.25">
      <c r="L945" s="15"/>
    </row>
    <row r="946" spans="12:12" x14ac:dyDescent="0.25">
      <c r="L946" s="15"/>
    </row>
    <row r="947" spans="12:12" x14ac:dyDescent="0.25">
      <c r="L947" s="15"/>
    </row>
    <row r="948" spans="12:12" x14ac:dyDescent="0.25">
      <c r="L948" s="15"/>
    </row>
    <row r="949" spans="12:12" x14ac:dyDescent="0.25">
      <c r="L949" s="15"/>
    </row>
    <row r="950" spans="12:12" x14ac:dyDescent="0.25">
      <c r="L950" s="15"/>
    </row>
    <row r="951" spans="12:12" x14ac:dyDescent="0.25">
      <c r="L951" s="15"/>
    </row>
    <row r="952" spans="12:12" x14ac:dyDescent="0.25">
      <c r="L952" s="15"/>
    </row>
    <row r="953" spans="12:12" x14ac:dyDescent="0.25">
      <c r="L953" s="15"/>
    </row>
    <row r="954" spans="12:12" x14ac:dyDescent="0.25">
      <c r="L954" s="15"/>
    </row>
    <row r="955" spans="12:12" x14ac:dyDescent="0.25">
      <c r="L955" s="15"/>
    </row>
    <row r="956" spans="12:12" x14ac:dyDescent="0.25">
      <c r="L956" s="15"/>
    </row>
    <row r="957" spans="12:12" x14ac:dyDescent="0.25">
      <c r="L957" s="15"/>
    </row>
    <row r="958" spans="12:12" x14ac:dyDescent="0.25">
      <c r="L958" s="15"/>
    </row>
    <row r="959" spans="12:12" x14ac:dyDescent="0.25">
      <c r="L959" s="15"/>
    </row>
    <row r="960" spans="12:12" x14ac:dyDescent="0.25">
      <c r="L960" s="15"/>
    </row>
    <row r="961" spans="12:12" x14ac:dyDescent="0.25">
      <c r="L961" s="15"/>
    </row>
    <row r="962" spans="12:12" x14ac:dyDescent="0.25">
      <c r="L962" s="15"/>
    </row>
    <row r="963" spans="12:12" x14ac:dyDescent="0.25">
      <c r="L963" s="15"/>
    </row>
    <row r="964" spans="12:12" x14ac:dyDescent="0.25">
      <c r="L964" s="15"/>
    </row>
    <row r="965" spans="12:12" x14ac:dyDescent="0.25">
      <c r="L965" s="15"/>
    </row>
    <row r="966" spans="12:12" x14ac:dyDescent="0.25">
      <c r="L966" s="15"/>
    </row>
    <row r="967" spans="12:12" x14ac:dyDescent="0.25">
      <c r="L967" s="15"/>
    </row>
    <row r="968" spans="12:12" x14ac:dyDescent="0.25">
      <c r="L968" s="15"/>
    </row>
    <row r="969" spans="12:12" x14ac:dyDescent="0.25">
      <c r="L969" s="15"/>
    </row>
    <row r="970" spans="12:12" x14ac:dyDescent="0.25">
      <c r="L970" s="15"/>
    </row>
    <row r="971" spans="12:12" x14ac:dyDescent="0.25">
      <c r="L971" s="15"/>
    </row>
    <row r="972" spans="12:12" x14ac:dyDescent="0.25">
      <c r="L972" s="15"/>
    </row>
    <row r="973" spans="12:12" x14ac:dyDescent="0.25">
      <c r="L973" s="15"/>
    </row>
    <row r="974" spans="12:12" x14ac:dyDescent="0.25">
      <c r="L974" s="15"/>
    </row>
    <row r="975" spans="12:12" x14ac:dyDescent="0.25">
      <c r="L975" s="15"/>
    </row>
    <row r="976" spans="12:12" x14ac:dyDescent="0.25">
      <c r="L976" s="15"/>
    </row>
    <row r="977" spans="12:12" x14ac:dyDescent="0.25">
      <c r="L977" s="15"/>
    </row>
    <row r="978" spans="12:12" x14ac:dyDescent="0.25">
      <c r="L978" s="15"/>
    </row>
    <row r="979" spans="12:12" x14ac:dyDescent="0.25">
      <c r="L979" s="15"/>
    </row>
    <row r="980" spans="12:12" x14ac:dyDescent="0.25">
      <c r="L980" s="15"/>
    </row>
    <row r="981" spans="12:12" x14ac:dyDescent="0.25">
      <c r="L981" s="15"/>
    </row>
    <row r="982" spans="12:12" x14ac:dyDescent="0.25">
      <c r="L982" s="15"/>
    </row>
    <row r="983" spans="12:12" x14ac:dyDescent="0.25">
      <c r="L983" s="15"/>
    </row>
    <row r="984" spans="12:12" x14ac:dyDescent="0.25">
      <c r="L984" s="15"/>
    </row>
    <row r="985" spans="12:12" x14ac:dyDescent="0.25">
      <c r="L985" s="15"/>
    </row>
    <row r="986" spans="12:12" x14ac:dyDescent="0.25">
      <c r="L986" s="15"/>
    </row>
    <row r="987" spans="12:12" x14ac:dyDescent="0.25">
      <c r="L987" s="15"/>
    </row>
    <row r="988" spans="12:12" x14ac:dyDescent="0.25">
      <c r="L988" s="15"/>
    </row>
    <row r="989" spans="12:12" x14ac:dyDescent="0.25">
      <c r="L989" s="15"/>
    </row>
    <row r="990" spans="12:12" x14ac:dyDescent="0.25">
      <c r="L990" s="15"/>
    </row>
    <row r="991" spans="12:12" x14ac:dyDescent="0.25">
      <c r="L991" s="15"/>
    </row>
    <row r="992" spans="12:12" x14ac:dyDescent="0.25">
      <c r="L992" s="15"/>
    </row>
    <row r="993" spans="12:12" x14ac:dyDescent="0.25">
      <c r="L993" s="15"/>
    </row>
    <row r="994" spans="12:12" x14ac:dyDescent="0.25">
      <c r="L994" s="15"/>
    </row>
    <row r="995" spans="12:12" x14ac:dyDescent="0.25">
      <c r="L995" s="15"/>
    </row>
    <row r="996" spans="12:12" x14ac:dyDescent="0.25">
      <c r="L996" s="15"/>
    </row>
    <row r="997" spans="12:12" x14ac:dyDescent="0.25">
      <c r="L997" s="15"/>
    </row>
    <row r="998" spans="12:12" x14ac:dyDescent="0.25">
      <c r="L998" s="15"/>
    </row>
    <row r="999" spans="12:12" x14ac:dyDescent="0.25">
      <c r="L999" s="15"/>
    </row>
    <row r="1000" spans="12:12" x14ac:dyDescent="0.25">
      <c r="L1000" s="15"/>
    </row>
    <row r="1001" spans="12:12" x14ac:dyDescent="0.25">
      <c r="L1001" s="15"/>
    </row>
    <row r="1002" spans="12:12" x14ac:dyDescent="0.25">
      <c r="L1002" s="15"/>
    </row>
    <row r="1003" spans="12:12" x14ac:dyDescent="0.25">
      <c r="L1003" s="15"/>
    </row>
    <row r="1004" spans="12:12" x14ac:dyDescent="0.25">
      <c r="L1004" s="15"/>
    </row>
    <row r="1005" spans="12:12" x14ac:dyDescent="0.25">
      <c r="L1005" s="15"/>
    </row>
    <row r="1006" spans="12:12" x14ac:dyDescent="0.25">
      <c r="L1006" s="15"/>
    </row>
    <row r="1007" spans="12:12" x14ac:dyDescent="0.25">
      <c r="L1007" s="15"/>
    </row>
    <row r="1008" spans="12:12" x14ac:dyDescent="0.25">
      <c r="L1008" s="15"/>
    </row>
    <row r="1009" spans="12:12" x14ac:dyDescent="0.25">
      <c r="L1009" s="15"/>
    </row>
    <row r="1010" spans="12:12" x14ac:dyDescent="0.25">
      <c r="L1010" s="15"/>
    </row>
    <row r="1011" spans="12:12" x14ac:dyDescent="0.25">
      <c r="L1011" s="15"/>
    </row>
    <row r="1012" spans="12:12" x14ac:dyDescent="0.25">
      <c r="L1012" s="15"/>
    </row>
    <row r="1013" spans="12:12" x14ac:dyDescent="0.25">
      <c r="L1013" s="15"/>
    </row>
    <row r="1014" spans="12:12" x14ac:dyDescent="0.25">
      <c r="L1014" s="15"/>
    </row>
    <row r="1015" spans="12:12" x14ac:dyDescent="0.25">
      <c r="L1015" s="15"/>
    </row>
    <row r="1016" spans="12:12" x14ac:dyDescent="0.25">
      <c r="L1016" s="15"/>
    </row>
    <row r="1017" spans="12:12" x14ac:dyDescent="0.25">
      <c r="L1017" s="15"/>
    </row>
    <row r="1018" spans="12:12" x14ac:dyDescent="0.25">
      <c r="L1018" s="15"/>
    </row>
    <row r="1019" spans="12:12" x14ac:dyDescent="0.25">
      <c r="L1019" s="15"/>
    </row>
    <row r="1020" spans="12:12" x14ac:dyDescent="0.25">
      <c r="L1020" s="15"/>
    </row>
    <row r="1021" spans="12:12" x14ac:dyDescent="0.25">
      <c r="L1021" s="15"/>
    </row>
    <row r="1022" spans="12:12" x14ac:dyDescent="0.25">
      <c r="L1022" s="15"/>
    </row>
    <row r="1023" spans="12:12" x14ac:dyDescent="0.25">
      <c r="L1023" s="15"/>
    </row>
    <row r="1024" spans="12:12" x14ac:dyDescent="0.25">
      <c r="L1024" s="15"/>
    </row>
    <row r="1025" spans="12:12" x14ac:dyDescent="0.25">
      <c r="L1025" s="15"/>
    </row>
    <row r="1026" spans="12:12" x14ac:dyDescent="0.25">
      <c r="L1026" s="15"/>
    </row>
    <row r="1027" spans="12:12" x14ac:dyDescent="0.25">
      <c r="L1027" s="15"/>
    </row>
    <row r="1028" spans="12:12" x14ac:dyDescent="0.25">
      <c r="L1028" s="15"/>
    </row>
    <row r="1029" spans="12:12" x14ac:dyDescent="0.25">
      <c r="L1029" s="15"/>
    </row>
    <row r="1030" spans="12:12" x14ac:dyDescent="0.25">
      <c r="L1030" s="15"/>
    </row>
    <row r="1031" spans="12:12" x14ac:dyDescent="0.25">
      <c r="L1031" s="15"/>
    </row>
    <row r="1032" spans="12:12" x14ac:dyDescent="0.25">
      <c r="L1032" s="15"/>
    </row>
    <row r="1033" spans="12:12" x14ac:dyDescent="0.25">
      <c r="L1033" s="15"/>
    </row>
    <row r="1034" spans="12:12" x14ac:dyDescent="0.25">
      <c r="L1034" s="15"/>
    </row>
    <row r="1035" spans="12:12" x14ac:dyDescent="0.25">
      <c r="L1035" s="15"/>
    </row>
    <row r="1036" spans="12:12" x14ac:dyDescent="0.25">
      <c r="L1036" s="15"/>
    </row>
    <row r="1037" spans="12:12" x14ac:dyDescent="0.25">
      <c r="L1037" s="15"/>
    </row>
    <row r="1038" spans="12:12" x14ac:dyDescent="0.25">
      <c r="L1038" s="15"/>
    </row>
    <row r="1039" spans="12:12" x14ac:dyDescent="0.25">
      <c r="L1039" s="15"/>
    </row>
    <row r="1040" spans="12:12" x14ac:dyDescent="0.25">
      <c r="L1040" s="15"/>
    </row>
    <row r="1041" spans="12:12" x14ac:dyDescent="0.25">
      <c r="L1041" s="15"/>
    </row>
    <row r="1042" spans="12:12" x14ac:dyDescent="0.25">
      <c r="L1042" s="15"/>
    </row>
    <row r="1043" spans="12:12" x14ac:dyDescent="0.25">
      <c r="L1043" s="15"/>
    </row>
    <row r="1044" spans="12:12" x14ac:dyDescent="0.25">
      <c r="L1044" s="15"/>
    </row>
    <row r="1045" spans="12:12" x14ac:dyDescent="0.25">
      <c r="L1045" s="15"/>
    </row>
    <row r="1046" spans="12:12" x14ac:dyDescent="0.25">
      <c r="L1046" s="15"/>
    </row>
    <row r="1047" spans="12:12" x14ac:dyDescent="0.25">
      <c r="L1047" s="15"/>
    </row>
    <row r="1048" spans="12:12" x14ac:dyDescent="0.25">
      <c r="L1048" s="15"/>
    </row>
    <row r="1049" spans="12:12" x14ac:dyDescent="0.25">
      <c r="L1049" s="15"/>
    </row>
    <row r="1050" spans="12:12" x14ac:dyDescent="0.25">
      <c r="L1050" s="15"/>
    </row>
    <row r="1051" spans="12:12" x14ac:dyDescent="0.25">
      <c r="L1051" s="15"/>
    </row>
    <row r="1052" spans="12:12" x14ac:dyDescent="0.25">
      <c r="L1052" s="15"/>
    </row>
    <row r="1053" spans="12:12" x14ac:dyDescent="0.25">
      <c r="L1053" s="15"/>
    </row>
    <row r="1054" spans="12:12" x14ac:dyDescent="0.25">
      <c r="L1054" s="15"/>
    </row>
    <row r="1055" spans="12:12" x14ac:dyDescent="0.25">
      <c r="L1055" s="15"/>
    </row>
    <row r="1056" spans="12:12" x14ac:dyDescent="0.25">
      <c r="L1056" s="15"/>
    </row>
    <row r="1057" spans="12:12" x14ac:dyDescent="0.25">
      <c r="L1057" s="15"/>
    </row>
    <row r="1058" spans="12:12" x14ac:dyDescent="0.25">
      <c r="L1058" s="15"/>
    </row>
    <row r="1059" spans="12:12" x14ac:dyDescent="0.25">
      <c r="L1059" s="15"/>
    </row>
    <row r="1060" spans="12:12" x14ac:dyDescent="0.25">
      <c r="L1060" s="15"/>
    </row>
    <row r="1061" spans="12:12" x14ac:dyDescent="0.25">
      <c r="L1061" s="15"/>
    </row>
    <row r="1062" spans="12:12" x14ac:dyDescent="0.25">
      <c r="L1062" s="15"/>
    </row>
    <row r="1063" spans="12:12" x14ac:dyDescent="0.25">
      <c r="L1063" s="15"/>
    </row>
    <row r="1064" spans="12:12" x14ac:dyDescent="0.25">
      <c r="L1064" s="15"/>
    </row>
    <row r="1065" spans="12:12" x14ac:dyDescent="0.25">
      <c r="L1065" s="15"/>
    </row>
    <row r="1066" spans="12:12" x14ac:dyDescent="0.25">
      <c r="L1066" s="15"/>
    </row>
    <row r="1067" spans="12:12" x14ac:dyDescent="0.25">
      <c r="L1067" s="15"/>
    </row>
    <row r="1068" spans="12:12" x14ac:dyDescent="0.25">
      <c r="L1068" s="15"/>
    </row>
    <row r="1069" spans="12:12" x14ac:dyDescent="0.25">
      <c r="L1069" s="15"/>
    </row>
    <row r="1070" spans="12:12" x14ac:dyDescent="0.25">
      <c r="L1070" s="15"/>
    </row>
    <row r="1071" spans="12:12" x14ac:dyDescent="0.25">
      <c r="L1071" s="15"/>
    </row>
    <row r="1072" spans="12:12" x14ac:dyDescent="0.25">
      <c r="L1072" s="15"/>
    </row>
    <row r="1073" spans="12:12" x14ac:dyDescent="0.25">
      <c r="L1073" s="15"/>
    </row>
    <row r="1074" spans="12:12" x14ac:dyDescent="0.25">
      <c r="L1074" s="15"/>
    </row>
    <row r="1075" spans="12:12" x14ac:dyDescent="0.25">
      <c r="L1075" s="15"/>
    </row>
    <row r="1076" spans="12:12" x14ac:dyDescent="0.25">
      <c r="L1076" s="15"/>
    </row>
    <row r="1077" spans="12:12" x14ac:dyDescent="0.25">
      <c r="L1077" s="15"/>
    </row>
    <row r="1078" spans="12:12" x14ac:dyDescent="0.25">
      <c r="L1078" s="15"/>
    </row>
    <row r="1079" spans="12:12" x14ac:dyDescent="0.25">
      <c r="L1079" s="15"/>
    </row>
    <row r="1080" spans="12:12" x14ac:dyDescent="0.25">
      <c r="L1080" s="15"/>
    </row>
    <row r="1081" spans="12:12" x14ac:dyDescent="0.25">
      <c r="L1081" s="15"/>
    </row>
    <row r="1082" spans="12:12" x14ac:dyDescent="0.25">
      <c r="L1082" s="15"/>
    </row>
    <row r="1083" spans="12:12" x14ac:dyDescent="0.25">
      <c r="L1083" s="15"/>
    </row>
    <row r="1084" spans="12:12" x14ac:dyDescent="0.25">
      <c r="L1084" s="15"/>
    </row>
    <row r="1085" spans="12:12" x14ac:dyDescent="0.25">
      <c r="L1085" s="15"/>
    </row>
    <row r="1086" spans="12:12" x14ac:dyDescent="0.25">
      <c r="L1086" s="15"/>
    </row>
    <row r="1087" spans="12:12" x14ac:dyDescent="0.25">
      <c r="L1087" s="15"/>
    </row>
    <row r="1088" spans="12:12" x14ac:dyDescent="0.25">
      <c r="L1088" s="15"/>
    </row>
    <row r="1089" spans="12:12" x14ac:dyDescent="0.25">
      <c r="L1089" s="15"/>
    </row>
    <row r="1090" spans="12:12" x14ac:dyDescent="0.25">
      <c r="L1090" s="15"/>
    </row>
    <row r="1091" spans="12:12" x14ac:dyDescent="0.25">
      <c r="L1091" s="15"/>
    </row>
    <row r="1092" spans="12:12" x14ac:dyDescent="0.25">
      <c r="L1092" s="15"/>
    </row>
    <row r="1093" spans="12:12" x14ac:dyDescent="0.25">
      <c r="L1093" s="15"/>
    </row>
    <row r="1094" spans="12:12" x14ac:dyDescent="0.25">
      <c r="L1094" s="15"/>
    </row>
    <row r="1095" spans="12:12" x14ac:dyDescent="0.25">
      <c r="L1095" s="15"/>
    </row>
    <row r="1096" spans="12:12" x14ac:dyDescent="0.25">
      <c r="L1096" s="15"/>
    </row>
    <row r="1097" spans="12:12" x14ac:dyDescent="0.25">
      <c r="L1097" s="15"/>
    </row>
    <row r="1098" spans="12:12" x14ac:dyDescent="0.25">
      <c r="L1098" s="15"/>
    </row>
    <row r="1099" spans="12:12" x14ac:dyDescent="0.25">
      <c r="L1099" s="15"/>
    </row>
    <row r="1100" spans="12:12" x14ac:dyDescent="0.25">
      <c r="L1100" s="15"/>
    </row>
    <row r="1101" spans="12:12" x14ac:dyDescent="0.25">
      <c r="L1101" s="15"/>
    </row>
    <row r="1102" spans="12:12" x14ac:dyDescent="0.25">
      <c r="L1102" s="15"/>
    </row>
    <row r="1103" spans="12:12" x14ac:dyDescent="0.25">
      <c r="L1103" s="15"/>
    </row>
    <row r="1104" spans="12:12" x14ac:dyDescent="0.25">
      <c r="L1104" s="15"/>
    </row>
    <row r="1105" spans="12:12" x14ac:dyDescent="0.25">
      <c r="L1105" s="15"/>
    </row>
    <row r="1106" spans="12:12" x14ac:dyDescent="0.25">
      <c r="L1106" s="15"/>
    </row>
    <row r="1107" spans="12:12" x14ac:dyDescent="0.25">
      <c r="L1107" s="15"/>
    </row>
    <row r="1108" spans="12:12" x14ac:dyDescent="0.25">
      <c r="L1108" s="15"/>
    </row>
    <row r="1109" spans="12:12" x14ac:dyDescent="0.25">
      <c r="L1109" s="15"/>
    </row>
    <row r="1110" spans="12:12" x14ac:dyDescent="0.25">
      <c r="L1110" s="15"/>
    </row>
    <row r="1111" spans="12:12" x14ac:dyDescent="0.25">
      <c r="L1111" s="15"/>
    </row>
    <row r="1112" spans="12:12" x14ac:dyDescent="0.25">
      <c r="L1112" s="15"/>
    </row>
    <row r="1113" spans="12:12" x14ac:dyDescent="0.25">
      <c r="L1113" s="15"/>
    </row>
    <row r="1114" spans="12:12" x14ac:dyDescent="0.25">
      <c r="L1114" s="15"/>
    </row>
    <row r="1115" spans="12:12" x14ac:dyDescent="0.25">
      <c r="L1115" s="15"/>
    </row>
    <row r="1116" spans="12:12" x14ac:dyDescent="0.25">
      <c r="L1116" s="15"/>
    </row>
    <row r="1117" spans="12:12" x14ac:dyDescent="0.25">
      <c r="L1117" s="15"/>
    </row>
    <row r="1118" spans="12:12" x14ac:dyDescent="0.25">
      <c r="L1118" s="15"/>
    </row>
    <row r="1119" spans="12:12" x14ac:dyDescent="0.25">
      <c r="L1119" s="15"/>
    </row>
    <row r="1120" spans="12:12" x14ac:dyDescent="0.25">
      <c r="L1120" s="15"/>
    </row>
    <row r="1121" spans="12:12" x14ac:dyDescent="0.25">
      <c r="L1121" s="15"/>
    </row>
    <row r="1122" spans="12:12" x14ac:dyDescent="0.25">
      <c r="L1122" s="15"/>
    </row>
    <row r="1123" spans="12:12" x14ac:dyDescent="0.25">
      <c r="L1123" s="15"/>
    </row>
    <row r="1124" spans="12:12" x14ac:dyDescent="0.25">
      <c r="L1124" s="15"/>
    </row>
    <row r="1125" spans="12:12" x14ac:dyDescent="0.25">
      <c r="L1125" s="15"/>
    </row>
    <row r="1126" spans="12:12" x14ac:dyDescent="0.25">
      <c r="L1126" s="15"/>
    </row>
    <row r="1127" spans="12:12" x14ac:dyDescent="0.25">
      <c r="L1127" s="15"/>
    </row>
    <row r="1128" spans="12:12" x14ac:dyDescent="0.25">
      <c r="L1128" s="15"/>
    </row>
    <row r="1129" spans="12:12" x14ac:dyDescent="0.25">
      <c r="L1129" s="15"/>
    </row>
    <row r="1130" spans="12:12" x14ac:dyDescent="0.25">
      <c r="L1130" s="15"/>
    </row>
    <row r="1131" spans="12:12" x14ac:dyDescent="0.25">
      <c r="L1131" s="15"/>
    </row>
    <row r="1132" spans="12:12" x14ac:dyDescent="0.25">
      <c r="L1132" s="15"/>
    </row>
    <row r="1133" spans="12:12" x14ac:dyDescent="0.25">
      <c r="L1133" s="15"/>
    </row>
    <row r="1134" spans="12:12" x14ac:dyDescent="0.25">
      <c r="L1134" s="15"/>
    </row>
    <row r="1135" spans="12:12" x14ac:dyDescent="0.25">
      <c r="L1135" s="15"/>
    </row>
    <row r="1136" spans="12:12" x14ac:dyDescent="0.25">
      <c r="L1136" s="15"/>
    </row>
    <row r="1137" spans="12:12" x14ac:dyDescent="0.25">
      <c r="L1137" s="15"/>
    </row>
    <row r="1138" spans="12:12" x14ac:dyDescent="0.25">
      <c r="L1138" s="15"/>
    </row>
    <row r="1139" spans="12:12" x14ac:dyDescent="0.25">
      <c r="L1139" s="15"/>
    </row>
    <row r="1140" spans="12:12" x14ac:dyDescent="0.25">
      <c r="L1140" s="15"/>
    </row>
    <row r="1141" spans="12:12" x14ac:dyDescent="0.25">
      <c r="L1141" s="15"/>
    </row>
    <row r="1142" spans="12:12" x14ac:dyDescent="0.25">
      <c r="L1142" s="15"/>
    </row>
    <row r="1143" spans="12:12" x14ac:dyDescent="0.25">
      <c r="L1143" s="15"/>
    </row>
    <row r="1144" spans="12:12" x14ac:dyDescent="0.25">
      <c r="L1144" s="15"/>
    </row>
    <row r="1145" spans="12:12" x14ac:dyDescent="0.25">
      <c r="L1145" s="15"/>
    </row>
    <row r="1146" spans="12:12" x14ac:dyDescent="0.25">
      <c r="L1146" s="15"/>
    </row>
    <row r="1147" spans="12:12" x14ac:dyDescent="0.25">
      <c r="L1147" s="15"/>
    </row>
    <row r="1148" spans="12:12" x14ac:dyDescent="0.25">
      <c r="L1148" s="15"/>
    </row>
    <row r="1149" spans="12:12" x14ac:dyDescent="0.25">
      <c r="L1149" s="15"/>
    </row>
    <row r="1150" spans="12:12" x14ac:dyDescent="0.25">
      <c r="L1150" s="15"/>
    </row>
    <row r="1151" spans="12:12" x14ac:dyDescent="0.25">
      <c r="L1151" s="15"/>
    </row>
    <row r="1152" spans="12:12" x14ac:dyDescent="0.25">
      <c r="L1152" s="15"/>
    </row>
    <row r="1153" spans="12:12" x14ac:dyDescent="0.25">
      <c r="L1153" s="15"/>
    </row>
    <row r="1154" spans="12:12" x14ac:dyDescent="0.25">
      <c r="L1154" s="15"/>
    </row>
    <row r="1155" spans="12:12" x14ac:dyDescent="0.25">
      <c r="L1155" s="15"/>
    </row>
    <row r="1156" spans="12:12" x14ac:dyDescent="0.25">
      <c r="L1156" s="15"/>
    </row>
    <row r="1157" spans="12:12" x14ac:dyDescent="0.25">
      <c r="L1157" s="15"/>
    </row>
    <row r="1158" spans="12:12" x14ac:dyDescent="0.25">
      <c r="L1158" s="15"/>
    </row>
    <row r="1159" spans="12:12" x14ac:dyDescent="0.25">
      <c r="L1159" s="15"/>
    </row>
    <row r="1160" spans="12:12" x14ac:dyDescent="0.25">
      <c r="L1160" s="15"/>
    </row>
    <row r="1161" spans="12:12" x14ac:dyDescent="0.25">
      <c r="L1161" s="15"/>
    </row>
    <row r="1162" spans="12:12" x14ac:dyDescent="0.25">
      <c r="L1162" s="15"/>
    </row>
    <row r="1163" spans="12:12" x14ac:dyDescent="0.25">
      <c r="L1163" s="15"/>
    </row>
    <row r="1164" spans="12:12" x14ac:dyDescent="0.25">
      <c r="L1164" s="15"/>
    </row>
    <row r="1165" spans="12:12" x14ac:dyDescent="0.25">
      <c r="L1165" s="15"/>
    </row>
    <row r="1166" spans="12:12" x14ac:dyDescent="0.25">
      <c r="L1166" s="15"/>
    </row>
    <row r="1167" spans="12:12" x14ac:dyDescent="0.25">
      <c r="L1167" s="15"/>
    </row>
    <row r="1168" spans="12:12" x14ac:dyDescent="0.25">
      <c r="L1168" s="15"/>
    </row>
    <row r="1169" spans="12:12" x14ac:dyDescent="0.25">
      <c r="L1169" s="15"/>
    </row>
    <row r="1170" spans="12:12" x14ac:dyDescent="0.25">
      <c r="L1170" s="15"/>
    </row>
    <row r="1171" spans="12:12" x14ac:dyDescent="0.25">
      <c r="L1171" s="15"/>
    </row>
    <row r="1172" spans="12:12" x14ac:dyDescent="0.25">
      <c r="L1172" s="15"/>
    </row>
    <row r="1173" spans="12:12" x14ac:dyDescent="0.25">
      <c r="L1173" s="15"/>
    </row>
    <row r="1174" spans="12:12" x14ac:dyDescent="0.25">
      <c r="L1174" s="15"/>
    </row>
    <row r="1175" spans="12:12" x14ac:dyDescent="0.25">
      <c r="L1175" s="15"/>
    </row>
    <row r="1176" spans="12:12" x14ac:dyDescent="0.25">
      <c r="L1176" s="15"/>
    </row>
    <row r="1177" spans="12:12" x14ac:dyDescent="0.25">
      <c r="L1177" s="15"/>
    </row>
    <row r="1178" spans="12:12" x14ac:dyDescent="0.25">
      <c r="L1178" s="15"/>
    </row>
    <row r="1179" spans="12:12" x14ac:dyDescent="0.25">
      <c r="L1179" s="15"/>
    </row>
    <row r="1180" spans="12:12" x14ac:dyDescent="0.25">
      <c r="L1180" s="15"/>
    </row>
    <row r="1181" spans="12:12" x14ac:dyDescent="0.25">
      <c r="L1181" s="15"/>
    </row>
    <row r="1182" spans="12:12" x14ac:dyDescent="0.25">
      <c r="L1182" s="15"/>
    </row>
    <row r="1183" spans="12:12" x14ac:dyDescent="0.25">
      <c r="L1183" s="15"/>
    </row>
    <row r="1184" spans="12:12" x14ac:dyDescent="0.25">
      <c r="L1184" s="15"/>
    </row>
    <row r="1185" spans="12:12" x14ac:dyDescent="0.25">
      <c r="L1185" s="15"/>
    </row>
    <row r="1186" spans="12:12" x14ac:dyDescent="0.25">
      <c r="L1186" s="15"/>
    </row>
    <row r="1187" spans="12:12" x14ac:dyDescent="0.25">
      <c r="L1187" s="15"/>
    </row>
    <row r="1188" spans="12:12" x14ac:dyDescent="0.25">
      <c r="L1188" s="15"/>
    </row>
    <row r="1189" spans="12:12" x14ac:dyDescent="0.25">
      <c r="L1189" s="15"/>
    </row>
    <row r="1190" spans="12:12" x14ac:dyDescent="0.25">
      <c r="L1190" s="15"/>
    </row>
    <row r="1191" spans="12:12" x14ac:dyDescent="0.25">
      <c r="L1191" s="15"/>
    </row>
    <row r="1192" spans="12:12" x14ac:dyDescent="0.25">
      <c r="L1192" s="15"/>
    </row>
    <row r="1193" spans="12:12" x14ac:dyDescent="0.25">
      <c r="L1193" s="15"/>
    </row>
    <row r="1194" spans="12:12" x14ac:dyDescent="0.25">
      <c r="L1194" s="15"/>
    </row>
    <row r="1195" spans="12:12" x14ac:dyDescent="0.25">
      <c r="L1195" s="15"/>
    </row>
    <row r="1196" spans="12:12" x14ac:dyDescent="0.25">
      <c r="L1196" s="15"/>
    </row>
    <row r="1197" spans="12:12" x14ac:dyDescent="0.25">
      <c r="L1197" s="15"/>
    </row>
    <row r="1198" spans="12:12" x14ac:dyDescent="0.25">
      <c r="L1198" s="15"/>
    </row>
    <row r="1199" spans="12:12" x14ac:dyDescent="0.25">
      <c r="L1199" s="15"/>
    </row>
    <row r="1200" spans="12:12" x14ac:dyDescent="0.25">
      <c r="L1200" s="15"/>
    </row>
    <row r="1201" spans="12:12" x14ac:dyDescent="0.25">
      <c r="L1201" s="15"/>
    </row>
    <row r="1202" spans="12:12" x14ac:dyDescent="0.25">
      <c r="L1202" s="15"/>
    </row>
    <row r="1203" spans="12:12" x14ac:dyDescent="0.25">
      <c r="L1203" s="15"/>
    </row>
    <row r="1204" spans="12:12" x14ac:dyDescent="0.25">
      <c r="L1204" s="15"/>
    </row>
    <row r="1205" spans="12:12" x14ac:dyDescent="0.25">
      <c r="L1205" s="15"/>
    </row>
    <row r="1206" spans="12:12" x14ac:dyDescent="0.25">
      <c r="L1206" s="15"/>
    </row>
    <row r="1207" spans="12:12" x14ac:dyDescent="0.25">
      <c r="L1207" s="15"/>
    </row>
    <row r="1208" spans="12:12" x14ac:dyDescent="0.25">
      <c r="L1208" s="15"/>
    </row>
    <row r="1209" spans="12:12" x14ac:dyDescent="0.25">
      <c r="L1209" s="15"/>
    </row>
    <row r="1210" spans="12:12" x14ac:dyDescent="0.25">
      <c r="L1210" s="15"/>
    </row>
    <row r="1211" spans="12:12" x14ac:dyDescent="0.25">
      <c r="L1211" s="15"/>
    </row>
    <row r="1212" spans="12:12" x14ac:dyDescent="0.25">
      <c r="L1212" s="15"/>
    </row>
    <row r="1213" spans="12:12" x14ac:dyDescent="0.25">
      <c r="L1213" s="15"/>
    </row>
    <row r="1214" spans="12:12" x14ac:dyDescent="0.25">
      <c r="L1214" s="15"/>
    </row>
    <row r="1215" spans="12:12" x14ac:dyDescent="0.25">
      <c r="L1215" s="15"/>
    </row>
    <row r="1216" spans="12:12" x14ac:dyDescent="0.25">
      <c r="L1216" s="15"/>
    </row>
    <row r="1217" spans="12:12" x14ac:dyDescent="0.25">
      <c r="L1217" s="15"/>
    </row>
    <row r="1218" spans="12:12" x14ac:dyDescent="0.25">
      <c r="L1218" s="15"/>
    </row>
    <row r="1219" spans="12:12" x14ac:dyDescent="0.25">
      <c r="L1219" s="15"/>
    </row>
    <row r="1220" spans="12:12" x14ac:dyDescent="0.25">
      <c r="L1220" s="15"/>
    </row>
    <row r="1221" spans="12:12" x14ac:dyDescent="0.25">
      <c r="L1221" s="15"/>
    </row>
    <row r="1222" spans="12:12" x14ac:dyDescent="0.25">
      <c r="L1222" s="15"/>
    </row>
    <row r="1223" spans="12:12" x14ac:dyDescent="0.25">
      <c r="L1223" s="15"/>
    </row>
    <row r="1224" spans="12:12" x14ac:dyDescent="0.25">
      <c r="L1224" s="15"/>
    </row>
    <row r="1225" spans="12:12" x14ac:dyDescent="0.25">
      <c r="L1225" s="15"/>
    </row>
    <row r="1226" spans="12:12" x14ac:dyDescent="0.25">
      <c r="L1226" s="15"/>
    </row>
    <row r="1227" spans="12:12" x14ac:dyDescent="0.25">
      <c r="L1227" s="15"/>
    </row>
    <row r="1228" spans="12:12" x14ac:dyDescent="0.25">
      <c r="L1228" s="15"/>
    </row>
    <row r="1229" spans="12:12" x14ac:dyDescent="0.25">
      <c r="L1229" s="15"/>
    </row>
    <row r="1230" spans="12:12" x14ac:dyDescent="0.25">
      <c r="L1230" s="15"/>
    </row>
    <row r="1231" spans="12:12" x14ac:dyDescent="0.25">
      <c r="L1231" s="15"/>
    </row>
    <row r="1232" spans="12:12" x14ac:dyDescent="0.25">
      <c r="L1232" s="15"/>
    </row>
    <row r="1233" spans="12:12" x14ac:dyDescent="0.25">
      <c r="L1233" s="15"/>
    </row>
    <row r="1234" spans="12:12" x14ac:dyDescent="0.25">
      <c r="L1234" s="15"/>
    </row>
    <row r="1235" spans="12:12" x14ac:dyDescent="0.25">
      <c r="L1235" s="15"/>
    </row>
    <row r="1236" spans="12:12" x14ac:dyDescent="0.25">
      <c r="L1236" s="15"/>
    </row>
    <row r="1237" spans="12:12" x14ac:dyDescent="0.25">
      <c r="L1237" s="15"/>
    </row>
    <row r="1238" spans="12:12" x14ac:dyDescent="0.25">
      <c r="L1238" s="15"/>
    </row>
    <row r="1239" spans="12:12" x14ac:dyDescent="0.25">
      <c r="L1239" s="15"/>
    </row>
    <row r="1240" spans="12:12" x14ac:dyDescent="0.25">
      <c r="L1240" s="15"/>
    </row>
  </sheetData>
  <dataValidations count="2">
    <dataValidation type="list" allowBlank="1" showInputMessage="1" showErrorMessage="1" sqref="K2:K400" xr:uid="{8A3742F3-C365-4853-844F-2E6B9E4DE2A3}">
      <formula1>"H10, H25, Solid"</formula1>
    </dataValidation>
    <dataValidation type="list" allowBlank="1" showInputMessage="1" showErrorMessage="1" sqref="J2:J400" xr:uid="{5A42317B-F490-4F55-B41B-9D5633E290BF}">
      <formula1>"Round w Frame, Drop In, Domed, Domed w Frame, Square Hinged 12  15, Curb Inlet 2x2 or 2x3, Traffic Inlet 2x2 or 2x3, No Grate 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Rodriguez</dc:creator>
  <cp:lastModifiedBy>TJ Rodriguez</cp:lastModifiedBy>
  <dcterms:created xsi:type="dcterms:W3CDTF">2025-03-07T17:52:21Z</dcterms:created>
  <dcterms:modified xsi:type="dcterms:W3CDTF">2026-01-22T22:44:35Z</dcterms:modified>
</cp:coreProperties>
</file>